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79"/>
  <sheetViews>
    <sheetView workbookViewId="0">
      <selection activeCell="A1" sqref="A1"/>
    </sheetView>
  </sheetViews>
  <sheetFormatPr baseColWidth="8" defaultRowHeight="15"/>
  <sheetData>
    <row r="1">
      <c r="A1" s="1" t="inlineStr">
        <is>
          <t>Repository</t>
        </is>
      </c>
      <c r="B1" s="1" t="inlineStr">
        <is>
          <t>File Name</t>
        </is>
      </c>
      <c r="C1" s="1" t="inlineStr">
        <is>
          <t>File Link</t>
        </is>
      </c>
      <c r="D1" s="1" t="inlineStr">
        <is>
          <t>Zero Summary</t>
        </is>
      </c>
      <c r="E1" s="1" t="inlineStr">
        <is>
          <t>BLEU Zero</t>
        </is>
      </c>
      <c r="F1" s="1" t="inlineStr">
        <is>
          <t>ROUGE Zero</t>
        </is>
      </c>
      <c r="G1" s="1" t="inlineStr">
        <is>
          <t>METEOR Zero</t>
        </is>
      </c>
      <c r="H1" s="1" t="inlineStr">
        <is>
          <t>Few Summary</t>
        </is>
      </c>
      <c r="I1" s="1" t="inlineStr">
        <is>
          <t>BLEU Few</t>
        </is>
      </c>
      <c r="J1" s="1" t="inlineStr">
        <is>
          <t>ROUGE Few</t>
        </is>
      </c>
      <c r="K1" s="1" t="inlineStr">
        <is>
          <t>METEOR Few</t>
        </is>
      </c>
      <c r="L1" s="1" t="inlineStr">
        <is>
          <t>Adv Summary</t>
        </is>
      </c>
      <c r="M1" s="1" t="inlineStr">
        <is>
          <t>BLEU Adv</t>
        </is>
      </c>
      <c r="N1" s="1" t="inlineStr">
        <is>
          <t>ROUGE Adv</t>
        </is>
      </c>
      <c r="O1" s="1" t="inlineStr">
        <is>
          <t>METEOR Adv</t>
        </is>
      </c>
    </row>
    <row r="2">
      <c r="A2" t="inlineStr">
        <is>
          <t>butterknife</t>
        </is>
      </c>
      <c r="B2" t="inlineStr">
        <is>
          <t>butterknife-integration-test/src/androidTestReflect/java/com/example/butterknife/functional/BindBoolFailureTest.java</t>
        </is>
      </c>
      <c r="C2">
        <f>HYPERLINK("https://github.com/JakeWharton/butterknife/blob/master/butterknife-integration-test/src/androidTestReflect/java/com/example/butterknife/functional/BindBoolFailureTest.java")</f>
        <v/>
      </c>
      <c r="D2" t="inlineStr">
        <is>
          <t>The provided Java code is part of a unit test for the Butter Knife library in Android development. It specifically tests that attempting to bind a non-boolean type using `@BindBool` will result in an `IllegalStateException`. The test creates a view tree, defines a target class with a boolean field annotated with `@BindBool`, and then attempts to bind this target to the view tree. If</t>
        </is>
      </c>
      <c r="E2" t="n">
        <v>0.0028</v>
      </c>
      <c r="F2" t="n">
        <v>0.0274</v>
      </c>
      <c r="G2" t="n">
        <v>0.1103</v>
      </c>
      <c r="H2" t="inlineStr">
        <is>
          <t>The code is a test for the `@BindBool` annotation in Butter Knife library to ensure that it only binds fields of type boolean. The test creates a view tree and attempts to bind a non-boolean field using the annotation. If the binding fails due to incorrect field type, it checks if the exception message matches the expected error message.</t>
        </is>
      </c>
      <c r="I2" t="n">
        <v>0.0031</v>
      </c>
      <c r="J2" t="n">
        <v>0.0294</v>
      </c>
      <c r="K2" t="n">
        <v>0.07630000000000001</v>
      </c>
      <c r="L2" t="inlineStr">
        <is>
          <t>The `BindBoolFailureTest` class tests that attempting to bind a non-boolean field annotated with `@BindBool` results in an `IllegalStateException`. The test creates a mock view tree and attempts to bind a `String` field to it using Butter Knife's binding mechanism. If successful, it fails; otherwise, it checks if the exception message is as expected.</t>
        </is>
      </c>
      <c r="M2" t="n">
        <v>0.0035</v>
      </c>
      <c r="N2" t="n">
        <v>0.0317</v>
      </c>
      <c r="O2" t="n">
        <v>0.08</v>
      </c>
    </row>
    <row r="3">
      <c r="A3" t="inlineStr">
        <is>
          <t>butterknife</t>
        </is>
      </c>
      <c r="B3" t="inlineStr">
        <is>
          <t>butterknife-integration-test/src/androidTestReflect/java/com/example/butterknife/functional/BindViewFailureTest.java</t>
        </is>
      </c>
      <c r="C3">
        <f>HYPERLINK("https://github.com/JakeWharton/butterknife/blob/master/butterknife-integration-test/src/androidTestReflect/java/com/example/butterknife/functional/BindViewFailureTest.java")</f>
        <v/>
      </c>
      <c r="D3" t="inlineStr">
        <is>
          <t>The code is a test case for the `@BindView` annotation in Butter Knife library. It checks if attempting to bind a non-View field with `@BindView` results in an `IllegalStateException`. The test creates a mock view tree, defines a class `NotView` with a non-View field annotated with `@BindView`, and attempts to bind this object using Butter Knife's binding mechanism</t>
        </is>
      </c>
      <c r="E3" t="n">
        <v>0.0031</v>
      </c>
      <c r="F3" t="n">
        <v>0.029</v>
      </c>
      <c r="G3" t="n">
        <v>0.1154</v>
      </c>
      <c r="H3" t="inlineStr">
        <is>
          <t>Tests that `@BindView` annotations on non-View classes will throw an exception with a specific error message.</t>
        </is>
      </c>
      <c r="I3" t="n">
        <v>0</v>
      </c>
      <c r="J3" t="n">
        <v>0</v>
      </c>
      <c r="K3" t="n">
        <v>0</v>
      </c>
      <c r="L3" t="inlineStr">
        <is>
          <t>The `BindViewFailureTest` tests that attempting to bind non-view objects using Butter Knife will result in an `IllegalStateException`. The test creates a `NotView` object with a field annotated with `@BindView`, which is expected to throw an exception when bound to a view tree.</t>
        </is>
      </c>
      <c r="M3" t="n">
        <v>0</v>
      </c>
      <c r="N3" t="n">
        <v>0</v>
      </c>
      <c r="O3" t="n">
        <v>0.0439</v>
      </c>
    </row>
    <row r="4">
      <c r="A4" t="inlineStr">
        <is>
          <t>butterknife</t>
        </is>
      </c>
      <c r="B4" t="inlineStr">
        <is>
          <t>butterknife-integration-test/src/androidTestReflect/java/com/example/butterknife/functional/BindFloatFailureTest.java</t>
        </is>
      </c>
      <c r="C4">
        <f>HYPERLINK("https://github.com/JakeWharton/butterknife/blob/master/butterknife-integration-test/src/androidTestReflect/java/com/example/butterknife/functional/BindFloatFailureTest.java")</f>
        <v/>
      </c>
      <c r="D4" t="inlineStr">
        <is>
          <t>The code is a test case for the `@BindFloat` annotation in Butter Knife library. It checks that attempting to bind a non-float type to a `@BindFloat` annotated field results in an `IllegalStateException`. The test creates a view tree, defines a `Target` class with a `String` field annotated as `@BindFloat`, and attempts to bind it using Butter Knife</t>
        </is>
      </c>
      <c r="E4" t="n">
        <v>0.0032</v>
      </c>
      <c r="F4" t="n">
        <v>0.0303</v>
      </c>
      <c r="G4" t="n">
        <v>0.0775</v>
      </c>
      <c r="H4" t="inlineStr">
        <is>
          <t>The provided code is a JUnit test case for the Butter Knife library's `@BindFloat` annotation in Android development. It checks that attempting to bind a non-float type to a float field using Butter Knife results in an `IllegalStateException`. The test creates a view tree, defines a target class with a `String` field annotated as `@BindFloat`, and attempts to bind this target</t>
        </is>
      </c>
      <c r="I4" t="n">
        <v>0.003</v>
      </c>
      <c r="J4" t="n">
        <v>0.0282</v>
      </c>
      <c r="K4" t="n">
        <v>0.1128</v>
      </c>
      <c r="L4" t="inlineStr">
        <is>
          <t>This test checks that attempting to bind a non-float type using `@BindFloat` results in an `IllegalStateException`. The test creates a mock view tree and attempts to bind a `String` field annotated with `@BindFloat`, expecting the binding process to throw an exception indicating that the field type must be `float`.</t>
        </is>
      </c>
      <c r="M4" t="n">
        <v>0.0045</v>
      </c>
      <c r="N4" t="n">
        <v>0.06900000000000001</v>
      </c>
      <c r="O4" t="n">
        <v>0.124</v>
      </c>
    </row>
    <row r="5">
      <c r="A5" t="inlineStr">
        <is>
          <t>butterknife</t>
        </is>
      </c>
      <c r="B5" t="inlineStr">
        <is>
          <t>butterknife-integration-test/src/androidTestReflect/java/com/example/butterknife/functional/BindAnimFailureTest.java</t>
        </is>
      </c>
      <c r="C5">
        <f>HYPERLINK("https://github.com/JakeWharton/butterknife/blob/master/butterknife-integration-test/src/androidTestReflect/java/com/example/butterknife/functional/BindAnimFailureTest.java")</f>
        <v/>
      </c>
      <c r="D5" t="inlineStr">
        <is>
          <t>The code tests that using `@BindAnim` with a non-animation type in Butter Knife will result in an `IllegalStateException`. The test creates a view tree, defines a `Target` class with a `String` annotated with `@BindAnim`, and attempts to bind it using Butter Knife. If successful, it fails; otherwise, it checks if the exception message is correct.</t>
        </is>
      </c>
      <c r="E5" t="n">
        <v>0.0033</v>
      </c>
      <c r="F5" t="n">
        <v>0.0312</v>
      </c>
      <c r="G5" t="n">
        <v>0.07870000000000001</v>
      </c>
      <c r="H5" t="inlineStr">
        <is>
          <t>The provided Java code is part of a test suite for the Butter Knife library in Android development. It tests that attempting to bind an `@BindAnim` annotation with a non-animation type results in an `IllegalStateException`. The test creates a view tree and attempts to bind it to a `Target` object with a `String` field annotated with `@BindAnim`, expecting the binding process to throw</t>
        </is>
      </c>
      <c r="I5" t="n">
        <v>0.0029</v>
      </c>
      <c r="J5" t="n">
        <v>0.0278</v>
      </c>
      <c r="K5" t="n">
        <v>0.0741</v>
      </c>
      <c r="L5" t="inlineStr">
        <is>
          <t>The `BindAnimFailureTest` class tests that attempting to bind an animation resource using Butter Knife's `@BindAnim` annotation results in an `IllegalStateException`. The test creates a view tree, defines a target class with an annotated string field, and attempts to bind the view to the target. If successful, it fails; otherwise, it checks if the exception message correctly indicates that the field type</t>
        </is>
      </c>
      <c r="M5" t="n">
        <v>0.003</v>
      </c>
      <c r="N5" t="n">
        <v>0.0286</v>
      </c>
      <c r="O5" t="n">
        <v>0.0752</v>
      </c>
    </row>
    <row r="6">
      <c r="A6" t="inlineStr">
        <is>
          <t>butterknife</t>
        </is>
      </c>
      <c r="B6" t="inlineStr">
        <is>
          <t>butterknife-integration-test/src/androidTestReflect/java/com/example/butterknife/functional/BindStringFailureTest.java</t>
        </is>
      </c>
      <c r="C6">
        <f>HYPERLINK("https://github.com/JakeWharton/butterknife/blob/master/butterknife-integration-test/src/androidTestReflect/java/com/example/butterknife/functional/BindStringFailureTest.java")</f>
        <v/>
      </c>
      <c r="D6" t="inlineStr">
        <is>
          <t>The provided code is a JUnit test case for the `ButterKnife` library in Android development. It checks that attempting to bind a non-string type using the `@BindString` annotation results in an `IllegalStateException`. The test creates a mock view tree and attempts to bind it with a `Target` class containing a boolean field annotated with `@BindString`. If the binding process succeeds</t>
        </is>
      </c>
      <c r="E6" t="n">
        <v>0.003</v>
      </c>
      <c r="F6" t="n">
        <v>0.029</v>
      </c>
      <c r="G6" t="n">
        <v>0.07580000000000001</v>
      </c>
      <c r="H6" t="inlineStr">
        <is>
          <t>The code is a JUnit test for checking that `@BindString` annotations in Butter Knife bind to fields of type `String`. It fails if the annotation is used on a non-String field. The complexity is linear with respect to the number of fields annotated with `@BindString`, as it iterates over each field.</t>
        </is>
      </c>
      <c r="I6" t="n">
        <v>0</v>
      </c>
      <c r="J6" t="n">
        <v>0</v>
      </c>
      <c r="K6" t="n">
        <v>0.0407</v>
      </c>
      <c r="L6" t="inlineStr">
        <is>
          <t>The `BindStringFailureTest` class tests that attempting to bind a non-string value using the `@BindString` annotation results in an `IllegalStateException`. The test creates a mock view and attempts to bind a boolean variable annotated with `@BindString`, expecting the binding process to throw an exception indicating that the field type must be `String`. If no exception is thrown, the test fails.</t>
        </is>
      </c>
      <c r="M6" t="n">
        <v>0.0031</v>
      </c>
      <c r="N6" t="n">
        <v>0.0294</v>
      </c>
      <c r="O6" t="n">
        <v>0.07630000000000001</v>
      </c>
    </row>
    <row r="7">
      <c r="A7" t="inlineStr">
        <is>
          <t>butterknife</t>
        </is>
      </c>
      <c r="B7" t="inlineStr">
        <is>
          <t>butterknife-integration-test/src/androidTestReflect/java/com/example/butterknife/functional/BindDimenFailureTest.java</t>
        </is>
      </c>
      <c r="C7">
        <f>HYPERLINK("https://github.com/JakeWharton/butterknife/blob/master/butterknife-integration-test/src/androidTestReflect/java/com/example/butterknife/functional/BindDimenFailureTest.java")</f>
        <v/>
      </c>
      <c r="D7" t="inlineStr">
        <is>
          <t>The provided Java code is part of a unit test for the `ButterKnife` library in Android development. It specifically tests that attempting to bind a non-integer or float value using the `@BindDimen` annotation results in an `IllegalStateException`. The test creates a mock view (`tree`) and a target object with a field annotated as `@BindDimen`, expecting this binding to</t>
        </is>
      </c>
      <c r="E7" t="n">
        <v>0.0031</v>
      </c>
      <c r="F7" t="n">
        <v>0.0299</v>
      </c>
      <c r="G7" t="n">
        <v>0.1154</v>
      </c>
      <c r="H7" t="inlineStr">
        <is>
          <t>Tests that `@BindDimen` fields in Butter Knife must have integer or float types.</t>
        </is>
      </c>
      <c r="I7" t="n">
        <v>0</v>
      </c>
      <c r="J7" t="n">
        <v>0</v>
      </c>
      <c r="K7" t="n">
        <v>0</v>
      </c>
      <c r="L7" t="inlineStr">
        <is>
          <t>This test checks that attempting to bind a `String` field annotated with `@BindDimen` results in an `IllegalStateException`, ensuring proper validation of annotation types during binding process.</t>
        </is>
      </c>
      <c r="M7" t="n">
        <v>0.0073</v>
      </c>
      <c r="N7" t="n">
        <v>0.0588</v>
      </c>
      <c r="O7" t="n">
        <v>0.051</v>
      </c>
    </row>
    <row r="8">
      <c r="A8" t="inlineStr">
        <is>
          <t>butterknife</t>
        </is>
      </c>
      <c r="B8" t="inlineStr">
        <is>
          <t>butterknife-integration-test/src/androidTestReflect/java/com/example/butterknife/functional/BindViewsFailureTest.java</t>
        </is>
      </c>
      <c r="C8">
        <f>HYPERLINK("https://github.com/JakeWharton/butterknife/blob/master/butterknife-integration-test/src/androidTestReflect/java/com/example/butterknife/functional/BindViewsFailureTest.java")</f>
        <v/>
      </c>
      <c r="D8" t="inlineStr">
        <is>
          <t>The provided Java code is part of a unit test suite for the Butter Knife library in Android development. It tests the behavior of the `@BindViews` annotation when used incorrectly. The key functionalities include:
1. **Testing with Empty IDs**: 
   - A test case checks that using `@BindViews({})` without specifying any view IDs will throw an `IllegalStateException`. This ensures that</t>
        </is>
      </c>
      <c r="E8" t="n">
        <v>0.0031</v>
      </c>
      <c r="F8" t="n">
        <v>0.0303</v>
      </c>
      <c r="G8" t="n">
        <v>0.07630000000000001</v>
      </c>
      <c r="H8" t="inlineStr">
        <is>
          <t>The repository contains backend software components implementing core algorithms with complexity O(N), using Java and Google Guava for testing. The code size is 1000 lines, and it includes comments explaining the implementation details.</t>
        </is>
      </c>
      <c r="I8" t="n">
        <v>0.0074</v>
      </c>
      <c r="J8" t="n">
        <v>0.1905</v>
      </c>
      <c r="K8" t="n">
        <v>0.2381</v>
      </c>
      <c r="L8" t="inlineStr">
        <is>
          <t>The `BindViewsFailureTest` class tests the `ButterKnife` library's ability to handle cases where no IDs are specified for binding views using annotations. The test checks that attempting to bind views without any IDs results in an `IllegalStateException`, providing a specific error message indicating that at least one ID is required.</t>
        </is>
      </c>
      <c r="M8" t="n">
        <v>0</v>
      </c>
      <c r="N8" t="n">
        <v>0</v>
      </c>
      <c r="O8" t="n">
        <v>0.0413</v>
      </c>
    </row>
    <row r="9">
      <c r="A9" t="inlineStr">
        <is>
          <t>butterknife</t>
        </is>
      </c>
      <c r="B9" t="inlineStr">
        <is>
          <t>butterknife-integration-test/src/androidTestReflect/java/com/example/butterknife/functional/BindArrayFailureTest.java</t>
        </is>
      </c>
      <c r="C9">
        <f>HYPERLINK("https://github.com/JakeWharton/butterknife/blob/master/butterknife-integration-test/src/androidTestReflect/java/com/example/butterknife/functional/BindArrayFailureTest.java")</f>
        <v/>
      </c>
      <c r="D9" t="inlineStr">
        <is>
          <t>The provided Java code is part of a unit test for the Butter Knife library in Android development. It specifically tests that attempting to bind a `@BindArray` annotation with a non-supported array type results in an `IllegalStateException`. The test creates a view tree, defines a `Target` class with a `@BindArray` annotated string field, and attempts to bind this target to the view tree</t>
        </is>
      </c>
      <c r="E9" t="n">
        <v>0.0029</v>
      </c>
      <c r="F9" t="n">
        <v>0.0278</v>
      </c>
      <c r="G9" t="n">
        <v>0.1111</v>
      </c>
      <c r="H9" t="inlineStr">
        <is>
          <t>The code is a JUnit test for checking that `@BindArray` in Butter Knife does not support unsupported types. It creates a view tree with a single node and attempts to bind it to a `Target` object with an array field annotated with `@BindArray`. If the binding fails due to an `IllegalStateException`, it checks if the error message matches the expected format indicating that only certain</t>
        </is>
      </c>
      <c r="I9" t="n">
        <v>0.0028</v>
      </c>
      <c r="J9" t="n">
        <v>0.0274</v>
      </c>
      <c r="K9" t="n">
        <v>0.0365</v>
      </c>
      <c r="L9" t="inlineStr">
        <is>
          <t>The `BindArrayFailureTest` class tests that attempting to bind a non-supported array type using Butter Knife results in an appropriate exception being thrown. The test creates a mock view and attempts to bind a `@BindArray` annotated field of unsupported types (`int[]`, `CharSequence[]`, and `android.content.res.TypedArray`). It verifies that each attempt fails by catching an `IllegalStateException`</t>
        </is>
      </c>
      <c r="M9" t="n">
        <v>0.0035</v>
      </c>
      <c r="N9" t="n">
        <v>0.0308</v>
      </c>
      <c r="O9" t="n">
        <v>0.08</v>
      </c>
    </row>
    <row r="10">
      <c r="A10" t="inlineStr">
        <is>
          <t>butterknife</t>
        </is>
      </c>
      <c r="B10" t="inlineStr">
        <is>
          <t>butterknife-integration-test/src/androidTestReflect/java/com/example/butterknife/functional/BindBitmapFailureTest.java</t>
        </is>
      </c>
      <c r="C10">
        <f>HYPERLINK("https://github.com/JakeWharton/butterknife/blob/master/butterknife-integration-test/src/androidTestReflect/java/com/example/butterknife/functional/BindBitmapFailureTest.java")</f>
        <v/>
      </c>
      <c r="D10" t="inlineStr">
        <is>
          <t>The code tests that attempting to bind a non-Bitmap type using `@BindBitmap` in Butter Knife will result in an `IllegalStateException`. The test creates a view tree, defines a `Target` class with a `String` field annotated with `@BindBitmap`, and attempts to bind this view to the target object. If successful, it fails; otherwise, it checks if the exception message</t>
        </is>
      </c>
      <c r="E10" t="n">
        <v>0.0031</v>
      </c>
      <c r="F10" t="n">
        <v>0.0299</v>
      </c>
      <c r="G10" t="n">
        <v>0.1154</v>
      </c>
      <c r="H10" t="inlineStr">
        <is>
          <t>The code is a unit test for the `@BindBitmap` annotation in Butter Knife library, specifically testing that it throws an exception when applied to a non-Bitmap field. The complexity is O(1) as it involves a single method call and comparison operation.</t>
        </is>
      </c>
      <c r="I10" t="n">
        <v>0.0045</v>
      </c>
      <c r="J10" t="n">
        <v>0.0392</v>
      </c>
      <c r="K10" t="n">
        <v>0.0442</v>
      </c>
      <c r="L10" t="inlineStr">
        <is>
          <t>This test checks that attempting to bind a non-Bitmap type using `@BindBitmap` results in an `IllegalStateException`. The test creates a view tree, defines a target class with a `String` field annotated with `@BindBitmap`, and attempts to bind the target to the view tree. If successful, it fails; otherwise, it asserts that the exception message matches the expected error message indicating</t>
        </is>
      </c>
      <c r="M10" t="n">
        <v>0.0036</v>
      </c>
      <c r="N10" t="n">
        <v>0.058</v>
      </c>
      <c r="O10" t="n">
        <v>0.1136</v>
      </c>
    </row>
    <row r="11">
      <c r="A11" t="inlineStr">
        <is>
          <t>butterknife</t>
        </is>
      </c>
      <c r="B11" t="inlineStr">
        <is>
          <t>butterknife-integration-test/src/androidTestReflect/java/com/example/butterknife/functional/BindIntFailureTest.java</t>
        </is>
      </c>
      <c r="C11">
        <f>HYPERLINK("https://github.com/JakeWharton/butterknife/blob/master/butterknife-integration-test/src/androidTestReflect/java/com/example/butterknife/functional/BindIntFailureTest.java")</f>
        <v/>
      </c>
      <c r="D11" t="inlineStr">
        <is>
          <t>The code is a JUnit test for the `ButterKnife` library's behavior when binding an integer value to a non-integer field using the `@BindInt` annotation. The test checks that attempting to bind an integer value to a string field results in an `IllegalStateException`.</t>
        </is>
      </c>
      <c r="E11" t="n">
        <v>0</v>
      </c>
      <c r="F11" t="n">
        <v>0</v>
      </c>
      <c r="G11" t="n">
        <v>0.0439</v>
      </c>
      <c r="H11" t="inlineStr">
        <is>
          <t>The provided Java code is part of a test suite for Butter Knife library's `@BindInt` annotation in Android development. It checks that attempting to bind a non-integer type to a `@BindInt` annotated field results in an `IllegalStateException`. The complexity is linear with respect to the number of fields being tested, as it iterates over each field to check its type.</t>
        </is>
      </c>
      <c r="I11" t="n">
        <v>0</v>
      </c>
      <c r="J11" t="n">
        <v>0</v>
      </c>
      <c r="K11" t="n">
        <v>0.0379</v>
      </c>
      <c r="L11" t="inlineStr">
        <is>
          <t>This test checks that `@BindInt` fields must have an integer type. It creates a view tree, defines a target class with an incorrect integer binding, attempts to bind the view to the target, and asserts that an exception is thrown with the correct error message indicating the expected integer type for the annotated field.</t>
        </is>
      </c>
      <c r="M11" t="n">
        <v>0.004</v>
      </c>
      <c r="N11" t="n">
        <v>0.0645</v>
      </c>
      <c r="O11" t="n">
        <v>0.0794</v>
      </c>
    </row>
    <row r="12">
      <c r="A12" t="inlineStr">
        <is>
          <t>butterknife</t>
        </is>
      </c>
      <c r="B12" t="inlineStr">
        <is>
          <t>butterknife-integration-test/src/androidTestReflect/java/com/example/butterknife/functional/BindFontFailureTest.java</t>
        </is>
      </c>
      <c r="C12">
        <f>HYPERLINK("https://github.com/JakeWharton/butterknife/blob/master/butterknife-integration-test/src/androidTestReflect/java/com/example/butterknife/functional/BindFontFailureTest.java")</f>
        <v/>
      </c>
      <c r="D12" t="inlineStr">
        <is>
          <t>The provided code is part of a test suite for the Butter Knife library in Android development. It specifically tests the `@BindFont` annotation to ensure that it correctly binds font resources from the application's resource directory (`R.font`) to fields annotated with this annotation. The test checks if attempting to bind a non-Typeface field results in an `IllegalStateException`, providing a specific error message indicating the expected</t>
        </is>
      </c>
      <c r="E12" t="n">
        <v>0</v>
      </c>
      <c r="F12" t="n">
        <v>0.0263</v>
      </c>
      <c r="G12" t="n">
        <v>0.073</v>
      </c>
      <c r="H12" t="inlineStr">
        <is>
          <t>The repository contains backend software components that implement core algorithms with a time complexity of \(O(N)\), using Java for implementation. The code size is 1000 lines, and it includes comments explaining the implementation details.</t>
        </is>
      </c>
      <c r="I12" t="n">
        <v>0.0072</v>
      </c>
      <c r="J12" t="n">
        <v>0.186</v>
      </c>
      <c r="K12" t="n">
        <v>0.2358</v>
      </c>
      <c r="L12" t="inlineStr">
        <is>
          <t>The `BindFontFailureTest` class tests that the `@BindFont` annotation correctly enforces that the annotated field is of type `android.graphics.Typeface`. The test creates a view tree, defines a target class with a field annotated as `@BindFont`, and attempts to bind the view to the target using Butter Knife. If the binding fails due to the incorrect field type, it asserts</t>
        </is>
      </c>
      <c r="M12" t="n">
        <v>0.0031</v>
      </c>
      <c r="N12" t="n">
        <v>0.0294</v>
      </c>
      <c r="O12" t="n">
        <v>0.0769</v>
      </c>
    </row>
    <row r="13">
      <c r="A13" t="inlineStr">
        <is>
          <t>butterknife</t>
        </is>
      </c>
      <c r="B13" t="inlineStr">
        <is>
          <t>butterknife-integration-test/src/androidTestReflect/java/com/example/butterknife/functional/BindColorFailureTest.java</t>
        </is>
      </c>
      <c r="C13">
        <f>HYPERLINK("https://github.com/JakeWharton/butterknife/blob/master/butterknife-integration-test/src/androidTestReflect/java/com/example/butterknife/functional/BindColorFailureTest.java")</f>
        <v/>
      </c>
      <c r="D13" t="inlineStr">
        <is>
          <t>The provided Java code is part of a unit test for the Butter Knife library in Android development. It specifically tests that attempting to bind a `@BindColor` annotation with a non-integer or ColorStateList type results in an `IllegalStateException`. The test creates a mock view (`tree`) and a `Target` class with a `@BindColor` annotated string field. When trying to bind</t>
        </is>
      </c>
      <c r="E13" t="n">
        <v>0.0031</v>
      </c>
      <c r="F13" t="n">
        <v>0.0294</v>
      </c>
      <c r="G13" t="n">
        <v>0.07630000000000001</v>
      </c>
      <c r="H13" t="inlineStr">
        <is>
          <t>The provided code is a test case for the `@BindColor` annotation in Butter Knife library. It checks that attempting to bind a non-integer or ColorStateList type to a view results in an IllegalStateException with a specific error message. The complexity is O(1) as it involves basic operations like creating a view and binding annotations.</t>
        </is>
      </c>
      <c r="I13" t="n">
        <v>0.0034</v>
      </c>
      <c r="J13" t="n">
        <v>0.0312</v>
      </c>
      <c r="K13" t="n">
        <v>0.0397</v>
      </c>
      <c r="L13" t="inlineStr">
        <is>
          <t>This test checks that attempting to bind a `String` field annotated with `@BindColor` results in an `IllegalStateException`, ensuring that only fields of type `int` or `ColorStateList` can be bound using Butter Knife's annotation processor.</t>
        </is>
      </c>
      <c r="M13" t="n">
        <v>0.0055</v>
      </c>
      <c r="N13" t="n">
        <v>0.0465</v>
      </c>
      <c r="O13" t="n">
        <v>0.09429999999999999</v>
      </c>
    </row>
    <row r="14">
      <c r="A14" t="inlineStr">
        <is>
          <t>butterknife</t>
        </is>
      </c>
      <c r="B14" t="inlineStr">
        <is>
          <t>butterknife-integration-test/src/androidTestReflect/java/com/example/butterknife/functional/BindDrawableFailureTest.java</t>
        </is>
      </c>
      <c r="C14">
        <f>HYPERLINK("https://github.com/JakeWharton/butterknife/blob/master/butterknife-integration-test/src/androidTestReflect/java/com/example/butterknife/functional/BindDrawableFailureTest.java")</f>
        <v/>
      </c>
      <c r="D14" t="inlineStr">
        <is>
          <t>The code is a unit test for the `ButterKnife` library's `@BindDrawable` annotation in Android development. It checks that attempting to bind a non-Drawable type using this annotation results in an `IllegalStateException`. The test creates a mock view (`tree`) and attempts to bind it with a `Target` object containing a `String` field annotated with `@BindDrawable`.</t>
        </is>
      </c>
      <c r="E14" t="n">
        <v>0.0034</v>
      </c>
      <c r="F14" t="n">
        <v>0.0625</v>
      </c>
      <c r="G14" t="n">
        <v>0.119</v>
      </c>
      <c r="H14" t="inlineStr">
        <is>
          <t>Tests that `@BindDrawable` fields in Butter Knife must have a Drawable type.</t>
        </is>
      </c>
      <c r="I14" t="n">
        <v>0</v>
      </c>
      <c r="J14" t="n">
        <v>0</v>
      </c>
      <c r="K14" t="n">
        <v>0</v>
      </c>
      <c r="L14" t="inlineStr">
        <is>
          <t>This test checks that attempting to bind a non-Drawable type using `@BindDrawable` results in an `IllegalStateException`. The test creates a mock view and attempts to bind a string field annotated with `@BindDrawable`, expecting the binding process to throw an exception due to the incorrect type.</t>
        </is>
      </c>
      <c r="M14" t="n">
        <v>0.0049</v>
      </c>
      <c r="N14" t="n">
        <v>0.0741</v>
      </c>
      <c r="O14" t="n">
        <v>0.1282</v>
      </c>
    </row>
    <row r="15">
      <c r="A15" t="inlineStr">
        <is>
          <t>butterknife</t>
        </is>
      </c>
      <c r="B15" t="inlineStr">
        <is>
          <t>butterknife-integration-test/src/main/java/com/example/butterknife/SimpleApp.java</t>
        </is>
      </c>
      <c r="C15">
        <f>HYPERLINK("https://github.com/JakeWharton/butterknife/blob/master/butterknife-integration-test/src/main/java/com/example/butterknife/SimpleApp.java")</f>
        <v/>
      </c>
      <c r="D15" t="inlineStr">
        <is>
          <t>The `SimpleApp` class is an Android application that initializes Butter Knife for debugging purposes during development. It sets the debug mode based on the value of `BuildConfig.DEBUG`. The complexity is O(1) as it involves setting a single configuration flag.</t>
        </is>
      </c>
      <c r="E15" t="n">
        <v>0</v>
      </c>
      <c r="F15" t="n">
        <v>0</v>
      </c>
      <c r="G15" t="n">
        <v>0</v>
      </c>
      <c r="H15" t="inlineStr">
        <is>
          <t>Manages Butter Knife dependency injection in Android applications during app startup.</t>
        </is>
      </c>
      <c r="I15" t="n">
        <v>0</v>
      </c>
      <c r="J15" t="n">
        <v>0</v>
      </c>
      <c r="K15" t="n">
        <v>0</v>
      </c>
      <c r="L15" t="inlineStr">
        <is>
          <t>This Android application initializes Butter Knife for debugging purposes during development by setting `BuildConfig.DEBUG` as true in the `onCreate()` method of the `SimpleApp` class.</t>
        </is>
      </c>
      <c r="M15" t="n">
        <v>0.007900000000000001</v>
      </c>
      <c r="N15" t="n">
        <v>0.0606</v>
      </c>
      <c r="O15" t="n">
        <v>0.0521</v>
      </c>
    </row>
    <row r="16">
      <c r="A16" t="inlineStr">
        <is>
          <t>butterknife</t>
        </is>
      </c>
      <c r="B16" t="inlineStr">
        <is>
          <t>butterknife-integration-test/src/main/java/com/example/butterknife/unbinder/D.java</t>
        </is>
      </c>
      <c r="C16">
        <f>HYPERLINK("https://github.com/JakeWharton/butterknife/blob/master/butterknife-integration-test/src/main/java/com/example/butterknife/unbinder/D.java")</f>
        <v/>
      </c>
      <c r="D16" t="inlineStr">
        <is>
          <t>The provided code is a Java class `D` that extends another class `C`. It uses Butter Knife for binding views to fields annotated with `@BindColor`, specifically setting the color field `grayColor` to a darker gray color defined in Android's resources (`android.R.color.darker_gray`). The constructor initializes the superclass with the given view and binds the UI elements using Butter Knife. This setup</t>
        </is>
      </c>
      <c r="E16" t="n">
        <v>0.0036</v>
      </c>
      <c r="F16" t="n">
        <v>0.0274</v>
      </c>
      <c r="G16" t="n">
        <v>0.1136</v>
      </c>
      <c r="H16" t="inlineStr">
        <is>
          <t>This Java code defines a Butter Knife unbinder for Android views in the `com.example.butterknife.unbinder` package. The `D` class extends another class `C`, adding a color binding using Butter Knife's `@BindColor` annotation to bind the darker gray color resource from `android.R.color`. It includes a constructor that initializes the superclass with the given view and binds the UI</t>
        </is>
      </c>
      <c r="I16" t="n">
        <v>0.0039</v>
      </c>
      <c r="J16" t="n">
        <v>0.0571</v>
      </c>
      <c r="K16" t="n">
        <v>0.1172</v>
      </c>
      <c r="L16" t="inlineStr">
        <is>
          <t>The `D` class extends `C`, binding a darker gray color resource using Butter Knife's `@BindColor`. The constructor initializes the superclass with the given view and binds the UI elements defined by Butter Knife annotations.</t>
        </is>
      </c>
      <c r="M16" t="n">
        <v>0.0055</v>
      </c>
      <c r="N16" t="n">
        <v>0.0465</v>
      </c>
      <c r="O16" t="n">
        <v>0.09429999999999999</v>
      </c>
    </row>
    <row r="17">
      <c r="A17" t="inlineStr">
        <is>
          <t>butterknife</t>
        </is>
      </c>
      <c r="B17" t="inlineStr">
        <is>
          <t>butterknife-integration-test/src/main/java/com/example/butterknife/unbinder/E.java</t>
        </is>
      </c>
      <c r="C17">
        <f>HYPERLINK("https://github.com/JakeWharton/butterknife/blob/master/butterknife-integration-test/src/main/java/com/example/butterknife/unbinder/E.java")</f>
        <v/>
      </c>
      <c r="D17" t="inlineStr">
        <is>
          <t>The provided Java code defines a subclass `E` that extends another class `C`. It uses Butter Knife for binding views to fields annotated with `@BindColor`, specifically setting the `backgroundDarkColor` field to the color defined by `android.R.color.background_dark`. The constructor initializes the superclass with the given view and binds the views using Butter Knife. This setup is part of a larger project focused</t>
        </is>
      </c>
      <c r="E17" t="n">
        <v>0.0036</v>
      </c>
      <c r="F17" t="n">
        <v>0.0274</v>
      </c>
      <c r="G17" t="n">
        <v>0.1128</v>
      </c>
      <c r="H17" t="inlineStr">
        <is>
          <t>This Java package contains backend software components that implement core algorithms. The complexity is O(N), indicating linear time complexity in relation to input size.</t>
        </is>
      </c>
      <c r="I17" t="n">
        <v>0.0104</v>
      </c>
      <c r="J17" t="n">
        <v>0.2424</v>
      </c>
      <c r="K17" t="n">
        <v>0.3288</v>
      </c>
      <c r="L17" t="inlineStr">
        <is>
          <t>This Java class `E` is a subclass of `C`, which likely represents a UI component binder using Butter Knife for Android development. The constructor initializes the superclass with a View object and binds views annotated with `@BindColor`. It uses the `backgroundDarkColor` field from the `android.R.color` package to set a specific color for the background. The use of Butter Knife simplifies the</t>
        </is>
      </c>
      <c r="M17" t="n">
        <v>0.0036</v>
      </c>
      <c r="N17" t="n">
        <v>0.0563</v>
      </c>
      <c r="O17" t="n">
        <v>0.1128</v>
      </c>
    </row>
    <row r="18">
      <c r="A18" t="inlineStr">
        <is>
          <t>butterknife</t>
        </is>
      </c>
      <c r="B18" t="inlineStr">
        <is>
          <t>butterknife-integration-test/src/main/java/com/example/butterknife/unbinder/C.java</t>
        </is>
      </c>
      <c r="C18">
        <f>HYPERLINK("https://github.com/JakeWharton/butterknife/blob/master/butterknife-integration-test/src/main/java/com/example/butterknife/unbinder/C.java")</f>
        <v/>
      </c>
      <c r="D18" t="inlineStr">
        <is>
          <t>The provided Java code defines a class `C` that extends another class `B`. It uses Butter Knife for binding views to fields annotated with `@BindView`, specifically targeting the Android ID `android:id/button1`. Additionally, it binds a color resource using `@BindColor` from the Android framework's colors package. The constructor initializes the superclass and performs the binding process on the given view. This</t>
        </is>
      </c>
      <c r="E18" t="n">
        <v>0.0036</v>
      </c>
      <c r="F18" t="n">
        <v>0.0282</v>
      </c>
      <c r="G18" t="n">
        <v>0.1136</v>
      </c>
      <c r="H18" t="inlineStr">
        <is>
          <t>The provided code is a Java class `C` that extends another class `B`. It uses Butter Knife for binding views in Android development. The class has two fields annotated with `@BindColor` to bind color resources from the Android framework (`android.R.color.transparent`) and `@BindView` to bind a specific view ID (`android.R.id.button1`). The constructor initializes these bindings using Butter Knife</t>
        </is>
      </c>
      <c r="I18" t="n">
        <v>0.0032</v>
      </c>
      <c r="J18" t="n">
        <v>0.0282</v>
      </c>
      <c r="K18" t="n">
        <v>0.0775</v>
      </c>
      <c r="L18" t="inlineStr">
        <is>
          <t>This Java class `C` extends another class `B`. It uses Butter Knife library for binding views and colors from XML layouts to fields annotated with `@BindView` and `@BindColor`, respectively. The constructor initializes the superclass with the given view and binds the views using Butter Knife's `bind` method.</t>
        </is>
      </c>
      <c r="M18" t="n">
        <v>0.0046</v>
      </c>
      <c r="N18" t="n">
        <v>0.07140000000000001</v>
      </c>
      <c r="O18" t="n">
        <v>0.1261</v>
      </c>
    </row>
    <row r="19">
      <c r="A19" t="inlineStr">
        <is>
          <t>butterknife</t>
        </is>
      </c>
      <c r="B19" t="inlineStr">
        <is>
          <t>butterknife-integration-test/src/main/java/com/example/butterknife/unbinder/F.java</t>
        </is>
      </c>
      <c r="C19">
        <f>HYPERLINK("https://github.com/JakeWharton/butterknife/blob/master/butterknife-integration-test/src/main/java/com/example/butterknife/unbinder/F.java")</f>
        <v/>
      </c>
      <c r="D19" t="inlineStr">
        <is>
          <t>The provided code is part of a Butter Knife library for Android that simplifies binding views to their corresponding fields in Java or Kotlin classes. In this specific example:
- The `F` class extends another class `D`.
- It includes a field annotated with `@BindColor`, which specifies that it should be bound to a color resource (`android.R.color.background_light`) at runtime.
- A constructor</t>
        </is>
      </c>
      <c r="E19" t="n">
        <v>0</v>
      </c>
      <c r="F19" t="n">
        <v>0.0282</v>
      </c>
      <c r="G19" t="n">
        <v>0.0746</v>
      </c>
      <c r="H19" t="inlineStr">
        <is>
          <t>This Java code defines a Butter Knife unbinder for Android views in the `com.example.butterknife.unbinder` package. It includes a field annotated with `@BindColor` to bind a color resource (`android.R.color.background_light`) to an integer variable. The constructor initializes the superclass and binds the fields using Butter Knife's binding mechanism. The complexity is O(1), as it involves</t>
        </is>
      </c>
      <c r="I19" t="n">
        <v>0.0041</v>
      </c>
      <c r="J19" t="n">
        <v>0.0571</v>
      </c>
      <c r="K19" t="n">
        <v>0.12</v>
      </c>
      <c r="L19" t="inlineStr">
        <is>
          <t>This code is part of a Butter Knife unbinder implementation for Android views. It binds a `View` object using Butter Knife's annotation processor, specifically targeting a color resource (`android.R.color.background_light`) and binding it to an integer field named `backgroundLightColor`. The constructor initializes the superclass with the given `View`, then uses Butter Knife to bind the annotated fields to their respective values from the</t>
        </is>
      </c>
      <c r="M19" t="n">
        <v>0.0035</v>
      </c>
      <c r="N19" t="n">
        <v>0.08</v>
      </c>
      <c r="O19" t="n">
        <v>0.1493</v>
      </c>
    </row>
    <row r="20">
      <c r="A20" t="inlineStr">
        <is>
          <t>butterknife</t>
        </is>
      </c>
      <c r="B20" t="inlineStr">
        <is>
          <t>butterknife-integration-test/src/main/java/com/example/butterknife/unbinder/H.java</t>
        </is>
      </c>
      <c r="C20">
        <f>HYPERLINK("https://github.com/JakeWharton/butterknife/blob/master/butterknife-integration-test/src/main/java/com/example/butterknife/unbinder/H.java")</f>
        <v/>
      </c>
      <c r="D20" t="inlineStr">
        <is>
          <t>The provided code is a Java class `H` that extends another class `G`. It uses Butter Knife for binding views to fields annotated with `@BindView`, specifically targeting a green color resource (`android.R.color.holo_green_dark`) and a button ID (`android.R.id.button3`). The constructor initializes the superclass with the given view and binds the views using Butter Knife. This setup allows for easy</t>
        </is>
      </c>
      <c r="E20" t="n">
        <v>0.0037</v>
      </c>
      <c r="F20" t="n">
        <v>0.027</v>
      </c>
      <c r="G20" t="n">
        <v>0.1154</v>
      </c>
      <c r="H20" t="inlineStr">
        <is>
          <t>The provided code is part of a Butter Knife library for Android development. It includes classes that bind views to fields using annotations. The `H` class uses `@BindColor` and `@BindView` annotations to link specific colors and views from XML layouts to Java fields in the class. This allows for easier access to these UI elements within the application's logic.</t>
        </is>
      </c>
      <c r="I20" t="n">
        <v>0.0041</v>
      </c>
      <c r="J20" t="n">
        <v>0.0588</v>
      </c>
      <c r="K20" t="n">
        <v>0.1527</v>
      </c>
      <c r="L20" t="inlineStr">
        <is>
          <t>This Java class `H` extends another class `G`. It uses Butter Knife for binding views and colors from XML layouts. The constructor takes a `View` as input and initializes the fields using Butter Knife's bind method. The `holoGreenDark` field is bound to the green color resource defined by Android (`android.R.color.holo_green_dark`), while `button3` is bound</t>
        </is>
      </c>
      <c r="M20" t="n">
        <v>0.004</v>
      </c>
      <c r="N20" t="n">
        <v>0.0588</v>
      </c>
      <c r="O20" t="n">
        <v>0.119</v>
      </c>
    </row>
    <row r="21">
      <c r="A21" t="inlineStr">
        <is>
          <t>butterknife</t>
        </is>
      </c>
      <c r="B21" t="inlineStr">
        <is>
          <t>butterknife-integration-test/src/main/java/com/example/butterknife/unbinder/G.java</t>
        </is>
      </c>
      <c r="C21">
        <f>HYPERLINK("https://github.com/JakeWharton/butterknife/blob/master/butterknife-integration-test/src/main/java/com/example/butterknife/unbinder/G.java")</f>
        <v/>
      </c>
      <c r="D21" t="inlineStr">
        <is>
          <t>The provided code is part of a Java Android application using Butter Knife for view binding. It defines a class `G` that extends another class `E`. The class includes:
- A field annotated with `@BindColor` to bind a color resource (`darker_gray`) to an integer variable.
- Another field annotated with `@BindView` to bind a specific view ID (`android.R.id.button</t>
        </is>
      </c>
      <c r="E21" t="n">
        <v>0</v>
      </c>
      <c r="F21" t="n">
        <v>0</v>
      </c>
      <c r="G21" t="n">
        <v>0.0385</v>
      </c>
      <c r="H21" t="inlineStr">
        <is>
          <t>This Java code defines a Butter Knife unbinder for Android views in a package named `com.example.butterknife.unbinder`. It includes fields annotated with Butter Knife's `@BindColor` and `@BindView`, as well as methods annotated with `@OnClick`. The constructor initializes the unbinder using Butter Knife's `bind` method. The complexity is O(N), indicating that it involves processing</t>
        </is>
      </c>
      <c r="I21" t="n">
        <v>0.0042</v>
      </c>
      <c r="J21" t="n">
        <v>0.0606</v>
      </c>
      <c r="K21" t="n">
        <v>0.121</v>
      </c>
      <c r="L21" t="inlineStr">
        <is>
          <t>This Java class `G` is part of a Butter Knife unbinder package for Android applications. It binds views using Butter Knife annotations and includes an `onClick` method that handles clicks on the content view. The class inherits from another class `E`.</t>
        </is>
      </c>
      <c r="M21" t="n">
        <v>0.0054</v>
      </c>
      <c r="N21" t="n">
        <v>0.08160000000000001</v>
      </c>
      <c r="O21" t="n">
        <v>0.1327</v>
      </c>
    </row>
    <row r="22">
      <c r="A22" t="inlineStr">
        <is>
          <t>butterknife</t>
        </is>
      </c>
      <c r="B22" t="inlineStr">
        <is>
          <t>butterknife-integration-test/src/main/java/com/example/butterknife/unbinder/A.java</t>
        </is>
      </c>
      <c r="C22">
        <f>HYPERLINK("https://github.com/JakeWharton/butterknife/blob/master/butterknife-integration-test/src/main/java/com/example/butterknife/unbinder/A.java")</f>
        <v/>
      </c>
      <c r="D22" t="inlineStr">
        <is>
          <t>The provided code is part of a library that uses Butter Knife for binding views to their respective fields in Android applications. The `A` class has a field annotated with `@BindColor`, which binds the color resource ID `android.R.color.black` to the `blackColor` variable. The constructor initializes this field by calling `ButterKnife.bind(this, view)`, which performs the actual binding</t>
        </is>
      </c>
      <c r="E22" t="n">
        <v>0</v>
      </c>
      <c r="F22" t="n">
        <v>0.029</v>
      </c>
      <c r="G22" t="n">
        <v>0.0781</v>
      </c>
      <c r="H22" t="inlineStr">
        <is>
          <t>The code defines a Java class `A` that uses Butter Knife for binding views to fields annotated with `@BindColor`. The constructor initializes the field `blackColor` by binding it to a color resource using Butter Knife's `bind` method. This setup is part of a larger project aimed at implementing core algorithms in backend software components.</t>
        </is>
      </c>
      <c r="I22" t="n">
        <v>0.0045</v>
      </c>
      <c r="J22" t="n">
        <v>0.09520000000000001</v>
      </c>
      <c r="K22" t="n">
        <v>0.2952</v>
      </c>
      <c r="L22" t="inlineStr">
        <is>
          <t>This Java class `A` is part of a Butter Knife unbinder package for Android applications. It binds a color resource (`android.R.color.black`) to an integer field named `blackColor`. The constructor takes a `View` object as input and uses Butter Knife's binding mechanism to inject the value from the specified resource into the field.</t>
        </is>
      </c>
      <c r="M22" t="n">
        <v>0.0042</v>
      </c>
      <c r="N22" t="n">
        <v>0.0625</v>
      </c>
      <c r="O22" t="n">
        <v>0.121</v>
      </c>
    </row>
    <row r="23">
      <c r="A23" t="inlineStr">
        <is>
          <t>butterknife</t>
        </is>
      </c>
      <c r="B23" t="inlineStr">
        <is>
          <t>butterknife-integration-test/src/main/java/com/example/butterknife/unbinder/B.java</t>
        </is>
      </c>
      <c r="C23">
        <f>HYPERLINK("https://github.com/JakeWharton/butterknife/blob/master/butterknife-integration-test/src/main/java/com/example/butterknife/unbinder/B.java")</f>
        <v/>
      </c>
      <c r="D23" t="inlineStr">
        <is>
          <t>The provided code is a Java class `B` that extends another class `A`. It uses Butter Knife for binding views to fields annotated with `@BindColor`, specifically setting the color field `whiteColor` to white (`android.R.color.white`). The constructor initializes the superclass with the given view and binds the views using Butter Knife. This setup allows for easy access to UI elements through their corresponding fields</t>
        </is>
      </c>
      <c r="E23" t="n">
        <v>0.0034</v>
      </c>
      <c r="F23" t="n">
        <v>0.027</v>
      </c>
      <c r="G23" t="n">
        <v>0.1111</v>
      </c>
      <c r="H23" t="inlineStr">
        <is>
          <t>The provided Java code defines a subclass `B` that extends another class `A`. It uses Butter Knife for binding views to fields annotated with `@BindColor`, which is used to store a color resource ID as an integer field named `whiteColor`. The constructor initializes the superclass and performs the binding using Butter Knife. This setup allows for easy access to UI elements in activities or fragments through their corresponding</t>
        </is>
      </c>
      <c r="I23" t="n">
        <v>0.0032</v>
      </c>
      <c r="J23" t="n">
        <v>0.0263</v>
      </c>
      <c r="K23" t="n">
        <v>0.1071</v>
      </c>
      <c r="L23" t="inlineStr">
        <is>
          <t>This Java class `B` extends another class `A`. It includes a field annotated with `@BindColor`, which binds a color resource (`android.R.color.white`) to an integer variable named `whiteColor`. The constructor initializes the superclass with the given view and uses Butter Knife's binding mechanism to inject views into the fields marked with annotations.</t>
        </is>
      </c>
      <c r="M23" t="n">
        <v>0.0043</v>
      </c>
      <c r="N23" t="n">
        <v>0.0635</v>
      </c>
      <c r="O23" t="n">
        <v>0.122</v>
      </c>
    </row>
    <row r="24">
      <c r="A24" t="inlineStr">
        <is>
          <t>butterknife</t>
        </is>
      </c>
      <c r="B24" t="inlineStr">
        <is>
          <t>butterknife-integration-test/src/main/java/com/example/butterknife/library/SimpleActivity.java</t>
        </is>
      </c>
      <c r="C24">
        <f>HYPERLINK("https://github.com/JakeWharton/butterknife/blob/master/butterknife-integration-test/src/main/java/com/example/butterknife/library/SimpleActivity.java")</f>
        <v/>
      </c>
      <c r="D24" t="inlineStr">
        <is>
          <t>The provided Java code is part of a Butter Knife library for Android development. It defines a `SimpleActivity` class that uses ButterKnife annotations to bind views from XML layouts to fields in the activity. The class includes methods annotated with Butter Knife's click listeners (`@OnClick`) and item click listeners (`@OnItemClick`). These listeners trigger various actions such as displaying toast messages or animating view properties. The</t>
        </is>
      </c>
      <c r="E24" t="n">
        <v>0.0028</v>
      </c>
      <c r="F24" t="n">
        <v>0.027</v>
      </c>
      <c r="G24" t="n">
        <v>0.073</v>
      </c>
      <c r="H24" t="inlineStr">
        <is>
          <t>The provided code is a Java Android application using Butter Knife for view binding. It includes activities, views, animations, and event listeners to manage user interactions on a simple activity interface. The complexity is high due to the extensive use of Butter Knife annotations and the number of views involved in the UI.</t>
        </is>
      </c>
      <c r="I24" t="n">
        <v>0.0035</v>
      </c>
      <c r="J24" t="n">
        <v>0.0328</v>
      </c>
      <c r="K24" t="n">
        <v>0.08</v>
      </c>
      <c r="L24" t="inlineStr">
        <is>
          <t>The `SimpleActivity` is a basic Android activity that uses ButterKnife for view binding. It includes various Butter Knife annotations such as @BindView, @BindStrings, and @OnClick to bind views and handle user interactions. The activity displays a title text, a list view, and two buttons. When a button is clicked, it animates the visibility of another view using an AlphaAnimation. The activity also</t>
        </is>
      </c>
      <c r="M24" t="n">
        <v>0.0029</v>
      </c>
      <c r="N24" t="n">
        <v>0.0286</v>
      </c>
      <c r="O24" t="n">
        <v>0.0746</v>
      </c>
    </row>
    <row r="25">
      <c r="A25" t="inlineStr">
        <is>
          <t>butterknife</t>
        </is>
      </c>
      <c r="B25" t="inlineStr">
        <is>
          <t>butterknife-integration-test/src/main/java/com/example/butterknife/library/SimpleAdapter.java</t>
        </is>
      </c>
      <c r="C25">
        <f>HYPERLINK("https://github.com/JakeWharton/butterknife/blob/master/butterknife-integration-test/src/main/java/com/example/butterknife/library/SimpleAdapter.java")</f>
        <v/>
      </c>
      <c r="D25" t="inlineStr">
        <is>
          <t>This Java code defines a simple adapter for displaying text in a list using Android's `BaseAdapter`. It uses ButterKnife for binding views to fields within each item layout. The adapter populates a list with words from a predefined string and displays them in a TextView. The complexity is O(1) due to constant-time operations on the array of contents.</t>
        </is>
      </c>
      <c r="E25" t="n">
        <v>0.0037</v>
      </c>
      <c r="F25" t="n">
        <v>0.058</v>
      </c>
      <c r="G25" t="n">
        <v>0.1154</v>
      </c>
      <c r="H25" t="inlineStr">
        <is>
          <t>This repository contains backend software components implementing core algorithms with a complexity of O(N). The README provides details about the implementation and commits made to the initial codebase.</t>
        </is>
      </c>
      <c r="I25" t="n">
        <v>0.0095</v>
      </c>
      <c r="J25" t="n">
        <v>0.2703</v>
      </c>
      <c r="K25" t="n">
        <v>0.25</v>
      </c>
      <c r="L25" t="inlineStr">
        <is>
          <t>This Android adapter displays a list of words from the string "The quick brown fox jumps over the lazy dog" using Butter Knife for binding views. It inflates a layout for each item, binds text to TextViews, and returns the configured view. The adapter is designed to be simple and efficient, handling up to 16 items due to Butter Knife's limit.</t>
        </is>
      </c>
      <c r="M25" t="n">
        <v>0.0036</v>
      </c>
      <c r="N25" t="n">
        <v>0.0571</v>
      </c>
      <c r="O25" t="n">
        <v>0.1128</v>
      </c>
    </row>
    <row r="26">
      <c r="A26" t="inlineStr">
        <is>
          <t>butterknife</t>
        </is>
      </c>
      <c r="B26" t="inlineStr">
        <is>
          <t>butterknife-integration-test/src/androidTest/java/com/example/butterknife/functional/BindFontTest.java</t>
        </is>
      </c>
      <c r="C26">
        <f>HYPERLINK("https://github.com/JakeWharton/butterknife/blob/master/butterknife-integration-test/src/androidTest/java/com/example/butterknife/functional/BindFontTest.java")</f>
        <v/>
      </c>
      <c r="D26" t="inlineStr">
        <is>
          <t>The provided code is a test for ButterKnife's `@BindFont` annotation in Android development. It uses Mockito to create a mock view tree and checks if the `TargetTypeface` class correctly binds the font resource from `R.font.inconsolata_regular`. The test ensures that the `actual` field in `TargetTypeface` holds the correct `Typeface` object after binding.</t>
        </is>
      </c>
      <c r="E26" t="n">
        <v>0.0036</v>
      </c>
      <c r="F26" t="n">
        <v>0.0317</v>
      </c>
      <c r="G26" t="n">
        <v>0.0813</v>
      </c>
      <c r="H26" t="inlineStr">
        <is>
          <t>This repository contains backend software components that implement core algorithms with a time complexity of \(O(N)\). The README provides information about the project's purpose, complexity, comments, commits, and size.</t>
        </is>
      </c>
      <c r="I26" t="n">
        <v>0.0092</v>
      </c>
      <c r="J26" t="n">
        <v>0.2564</v>
      </c>
      <c r="K26" t="n">
        <v>0.3683</v>
      </c>
      <c r="L26" t="inlineStr">
        <is>
          <t>The `BindFontTest` class tests the `BindFont` annotation from the Butter Knife library by binding a font resource (`R.font.inconsolata_regular`) to a field annotated with `@BindFont`. The test verifies that the bound font matches the expected BOLD style using Google Truth assertions.</t>
        </is>
      </c>
      <c r="M26" t="n">
        <v>0</v>
      </c>
      <c r="N26" t="n">
        <v>0</v>
      </c>
      <c r="O26" t="n">
        <v>0.0446</v>
      </c>
    </row>
    <row r="27">
      <c r="A27" t="inlineStr">
        <is>
          <t>butterknife</t>
        </is>
      </c>
      <c r="B27" t="inlineStr">
        <is>
          <t>butterknife-integration-test/src/androidTest/java/com/example/butterknife/functional/BindDrawableTest.java</t>
        </is>
      </c>
      <c r="C27">
        <f>HYPERLINK("https://github.com/JakeWharton/butterknife/blob/master/butterknife-integration-test/src/androidTest/java/com/example/butterknife/functional/BindDrawableTest.java")</f>
        <v/>
      </c>
      <c r="D27" t="inlineStr">
        <is>
          <t>The provided code is a unit test for the `BindDrawable` annotation in the Butter Knife library using Android instrumentation testing. It tests that the `@BindDrawable` annotation correctly binds a drawable resource to a field in a view model class. The test creates a mock context and a view tree, then uses Butter Knife's binding mechanism to bind the drawable resource to a field in the `Target` class</t>
        </is>
      </c>
      <c r="E27" t="n">
        <v>0.0027</v>
      </c>
      <c r="F27" t="n">
        <v>0.0263</v>
      </c>
      <c r="G27" t="n">
        <v>0.07190000000000001</v>
      </c>
      <c r="H27" t="inlineStr">
        <is>
          <t>The repository contains backend software components that implement core algorithms. The complexity is O(N), indicating linear time complexity for certain operations. The implementation includes comments explaining the purpose of each part of the code. The commits indicate the initial creation of the codebase. The total size of the code is 1000 lines.</t>
        </is>
      </c>
      <c r="I27" t="n">
        <v>0.0042</v>
      </c>
      <c r="J27" t="n">
        <v>0.0984</v>
      </c>
      <c r="K27" t="n">
        <v>0.1613</v>
      </c>
      <c r="L27" t="inlineStr">
        <is>
          <t>The `BindDrawableTest` class tests the `@BindDrawable` annotation from the Butter Knife library by binding a drawable resource to a view's field and verifying that the bound drawable matches the expected one. The test uses JUnit for assertions and the Butter Knife framework to bind views.</t>
        </is>
      </c>
      <c r="M27" t="n">
        <v>0.0041</v>
      </c>
      <c r="N27" t="n">
        <v>0.037</v>
      </c>
      <c r="O27" t="n">
        <v>0.08550000000000001</v>
      </c>
    </row>
    <row r="28">
      <c r="A28" t="inlineStr">
        <is>
          <t>butterknife</t>
        </is>
      </c>
      <c r="B28" t="inlineStr">
        <is>
          <t>butterknife-integration-test/src/androidTest/java/com/example/butterknife/functional/BindFloatTest.java</t>
        </is>
      </c>
      <c r="C28">
        <f>HYPERLINK("https://github.com/JakeWharton/butterknife/blob/master/butterknife-integration-test/src/androidTest/java/com/example/butterknife/functional/BindFloatTest.java")</f>
        <v/>
      </c>
      <c r="D28" t="inlineStr">
        <is>
          <t>The provided Java code is part of a test suite for the Butter Knife library in Android development. It tests the `@BindFloat` annotation to ensure that it correctly binds floating-point values from resources to fields in a view model class (`Target`). The test uses JUnit for testing and Google Truth for assertions. The code sets up a mock context and a dummy view tree, creates a `Target`</t>
        </is>
      </c>
      <c r="E28" t="n">
        <v>0.0027</v>
      </c>
      <c r="F28" t="n">
        <v>0.0263</v>
      </c>
      <c r="G28" t="n">
        <v>0.07190000000000001</v>
      </c>
      <c r="H28" t="inlineStr">
        <is>
          <t>This repository contains backend software components implementing core algorithms with a time complexity of \(O(N)\), using comments to describe the implementation process. The project has been initialized with the first commit. The total size of the code is 1000 lines.</t>
        </is>
      </c>
      <c r="I28" t="n">
        <v>0.0061</v>
      </c>
      <c r="J28" t="n">
        <v>0.1633</v>
      </c>
      <c r="K28" t="n">
        <v>0.2232</v>
      </c>
      <c r="L28" t="inlineStr">
        <is>
          <t>The `BindFloatTest` class tests the functionality of Butter Knife's `@BindFloat` annotation by binding a floating-point resource dimension (`R.dimen.twelve_point_two`) to a field in a test view model. The test checks if the bound value matches the expected value obtained from the resources. It uses JUnit for testing and asserts that the values match before and after unbinding the views</t>
        </is>
      </c>
      <c r="M28" t="n">
        <v>0.0037</v>
      </c>
      <c r="N28" t="n">
        <v>0.0556</v>
      </c>
      <c r="O28" t="n">
        <v>0.0769</v>
      </c>
    </row>
    <row r="29">
      <c r="A29" t="inlineStr">
        <is>
          <t>butterknife</t>
        </is>
      </c>
      <c r="B29" t="inlineStr">
        <is>
          <t>butterknife-integration-test/src/androidTest/java/com/example/butterknife/functional/BindBitmapTest.java</t>
        </is>
      </c>
      <c r="C29">
        <f>HYPERLINK("https://github.com/JakeWharton/butterknife/blob/master/butterknife-integration-test/src/androidTest/java/com/example/butterknife/functional/BindBitmapTest.java")</f>
        <v/>
      </c>
      <c r="D29" t="inlineStr">
        <is>
          <t>The provided code is a unit test for the `BindBitmap` annotation in the Butter Knife library using Android instrumentation testing framework. It tests that the `@BindBitmap` annotation correctly binds a bitmap resource to a field in a view model class (`Target`). The test creates a mock view tree, initializes a `Target` object with a reference to a bitmap resource, binds the view model to the view</t>
        </is>
      </c>
      <c r="E29" t="n">
        <v>0</v>
      </c>
      <c r="F29" t="n">
        <v>0</v>
      </c>
      <c r="G29" t="n">
        <v>0.0362</v>
      </c>
      <c r="H29" t="inlineStr">
        <is>
          <t>The provided code is a test for the `BindBitmap` feature in the Butter Knife library, which binds a bitmap resource to a view attribute using annotations. The test checks if the bound bitmap matches the expected bitmap loaded from resources. It uses Android's instrumentation framework to set up a test environment with a mock context and view tree. The complexity is O(N), where N represents the number of operations performed</t>
        </is>
      </c>
      <c r="I29" t="n">
        <v>0.0026</v>
      </c>
      <c r="J29" t="n">
        <v>0.025</v>
      </c>
      <c r="K29" t="n">
        <v>0.0704</v>
      </c>
      <c r="L29" t="inlineStr">
        <is>
          <t>This test verifies that `@BindBitmap` correctly binds a bitmap resource from an Android drawable to a field in a view model using Butter Knife library. The test creates a mock view tree, initializes a target object with a bindable bitmap field, loads the expected bitmap from resources, binds the fields, checks for equality, unbinds the views, and confirms the bitmap remains unchanged after unbinding.</t>
        </is>
      </c>
      <c r="M29" t="n">
        <v>0.0034</v>
      </c>
      <c r="N29" t="n">
        <v>0.0556</v>
      </c>
      <c r="O29" t="n">
        <v>0.1103</v>
      </c>
    </row>
    <row r="30">
      <c r="A30" t="inlineStr">
        <is>
          <t>butterknife</t>
        </is>
      </c>
      <c r="B30" t="inlineStr">
        <is>
          <t>butterknife-integration-test/src/androidTest/java/com/example/butterknife/functional/BindViewsTest.java</t>
        </is>
      </c>
      <c r="C30">
        <f>HYPERLINK("https://github.com/JakeWharton/butterknife/blob/master/butterknife-integration-test/src/androidTest/java/com/example/butterknife/functional/BindViewsTest.java")</f>
        <v/>
      </c>
      <c r="D30" t="inlineStr">
        <is>
          <t>The provided code is part of a unit test suite for the Butter Knife library in Android development. It tests the `@BindViews` annotation to ensure that views with specified IDs can be correctly bound to fields annotated with this annotation. The test cases involve creating mock view trees, binding them using Butter Knife, and then asserting that the bound views match the expected results. After unbinding, it checks if</t>
        </is>
      </c>
      <c r="E30" t="n">
        <v>0.0026</v>
      </c>
      <c r="F30" t="n">
        <v>0.0519</v>
      </c>
      <c r="G30" t="n">
        <v>0.1064</v>
      </c>
      <c r="H30" t="inlineStr">
        <is>
          <t>This repository contains backend software components implementing core algorithms with a complexity of O(N), focusing on efficient data processing and manipulation. The commits include an initial codebase setup.</t>
        </is>
      </c>
      <c r="I30" t="n">
        <v>0.0095</v>
      </c>
      <c r="J30" t="n">
        <v>0.2703</v>
      </c>
      <c r="K30" t="n">
        <v>0.372</v>
      </c>
      <c r="L30" t="inlineStr">
        <is>
          <t>This Java test suite uses Butter Knife for binding views from XML layouts to fields annotated with `@BindViews`. It includes two tests: one for binding an array of views (`TargetViewArray`) and another for binding a list of views (`TargetViewList`). The tests verify that the views are correctly bound and unbound using Butter Knife's `bind` and `unbind` methods.</t>
        </is>
      </c>
      <c r="M30" t="n">
        <v>0.0038</v>
      </c>
      <c r="N30" t="n">
        <v>0.0606</v>
      </c>
      <c r="O30" t="n">
        <v>0.1163</v>
      </c>
    </row>
    <row r="31">
      <c r="A31" t="inlineStr">
        <is>
          <t>butterknife</t>
        </is>
      </c>
      <c r="B31" t="inlineStr">
        <is>
          <t>butterknife-integration-test/src/androidTest/java/com/example/butterknife/functional/ViewTree.java</t>
        </is>
      </c>
      <c r="C31">
        <f>HYPERLINK("https://github.com/JakeWharton/butterknife/blob/master/butterknife-integration-test/src/androidTest/java/com/example/butterknife/functional/ViewTree.java")</f>
        <v/>
      </c>
      <c r="D31" t="inlineStr">
        <is>
          <t>The `ViewTree` class provides utility methods to dynamically create Android views based on their IDs or classes. It uses reflection to instantiate views from specified classes and adds them to a frame layout. The method `create` accepts variable arguments representing resource IDs, while `create` with a class parameter allows specifying the exact type of view to be created. This is useful for testing purposes where dynamic UI elements need</t>
        </is>
      </c>
      <c r="E31" t="n">
        <v>0.0031</v>
      </c>
      <c r="F31" t="n">
        <v>0.026</v>
      </c>
      <c r="G31" t="n">
        <v>0.1064</v>
      </c>
      <c r="H31" t="inlineStr">
        <is>
          <t>This repository contains backend software components implementing core algorithms with a complexity of \(O(N)\), using Java. The README provides information about the initial codebase commit and mentions that it is focused on backend software development.</t>
        </is>
      </c>
      <c r="I31" t="n">
        <v>0.0075</v>
      </c>
      <c r="J31" t="n">
        <v>0.2273</v>
      </c>
      <c r="K31" t="n">
        <v>0.3985</v>
      </c>
      <c r="L31" t="inlineStr">
        <is>
          <t>The `ViewTree` class provides utility methods to dynamically instantiate views based on their IDs and classes within an Android application's test environment. It uses reflection to create instances of specified view classes from given resource IDs, allowing for flexible testing scenarios where complex UI structures need to be constructed programmatically. The method signatures allow users to specify either a single ID or multiple IDs, enabling the creation of nested layouts easily</t>
        </is>
      </c>
      <c r="M31" t="n">
        <v>0.0026</v>
      </c>
      <c r="N31" t="n">
        <v>0.025</v>
      </c>
      <c r="O31" t="n">
        <v>0.0699</v>
      </c>
    </row>
    <row r="32">
      <c r="A32" t="inlineStr">
        <is>
          <t>butterknife</t>
        </is>
      </c>
      <c r="B32" t="inlineStr">
        <is>
          <t>butterknife-integration-test/src/androidTest/java/com/example/butterknife/functional/OnItemLongClickTest.java</t>
        </is>
      </c>
      <c r="C32">
        <f>HYPERLINK("https://github.com/JakeWharton/butterknife/blob/master/butterknife-integration-test/src/androidTest/java/com/example/butterknife/functional/OnItemLongClickTest.java")</f>
        <v/>
      </c>
      <c r="D32" t="inlineStr">
        <is>
          <t>The `OnItemLongClickTest` class is a test case for the `OnItemLongClick` annotation in Butter Knife, which is used to handle long-click events on items within a spinner view. The test checks if the `onItemLongClick` method is correctly invoked when a user performs a long press on an item in the spinner. It uses JUnit annotations like `@UiThreadTest</t>
        </is>
      </c>
      <c r="E32" t="n">
        <v>0</v>
      </c>
      <c r="F32" t="n">
        <v>0</v>
      </c>
      <c r="G32" t="n">
        <v>0.0391</v>
      </c>
      <c r="H32" t="inlineStr">
        <is>
          <t>This repository contains backend software components implementing core algorithms.</t>
        </is>
      </c>
      <c r="I32" t="n">
        <v>0.0316</v>
      </c>
      <c r="J32" t="n">
        <v>0.4706</v>
      </c>
      <c r="K32" t="n">
        <v>0.3897</v>
      </c>
      <c r="L32" t="inlineStr">
        <is>
          <t>This test suite verifies the long-click event handling for items within a `SimpleAdapter` displayed in an `AbsSpinner`. It uses ButterKnife annotations to bind views and simulate long clicks to ensure proper interaction between the adapter and spinner. The tests check that item selection is disabled during long clicks and that the correct view is highlighted when clicked.</t>
        </is>
      </c>
      <c r="M32" t="n">
        <v>0.0038</v>
      </c>
      <c r="N32" t="n">
        <v>0.0606</v>
      </c>
      <c r="O32" t="n">
        <v>0.1163</v>
      </c>
    </row>
    <row r="33">
      <c r="A33" t="inlineStr">
        <is>
          <t>butterknife</t>
        </is>
      </c>
      <c r="B33" t="inlineStr">
        <is>
          <t>butterknife-integration-test/src/androidTest/java/com/example/butterknife/functional/BindDimenTest.java</t>
        </is>
      </c>
      <c r="C33">
        <f>HYPERLINK("https://github.com/JakeWharton/butterknife/blob/master/butterknife-integration-test/src/androidTest/java/com/example/butterknife/functional/BindDimenTest.java")</f>
        <v/>
      </c>
      <c r="D33" t="inlineStr">
        <is>
          <t>The provided code is part of a unit test for the `ButterKnife` library's `@BindDimen` annotation in Android development. It tests that the `@BindDimen` annotation correctly binds dimension resources to fields annotated with it. The test creates a mock view hierarchy using `ViewTree.create`, initializes a `Context` from the instrumentation registry, and defines two classes: `Int</t>
        </is>
      </c>
      <c r="E33" t="n">
        <v>0.0034</v>
      </c>
      <c r="F33" t="n">
        <v>0.0312</v>
      </c>
      <c r="G33" t="n">
        <v>0.0794</v>
      </c>
      <c r="H33" t="inlineStr">
        <is>
          <t>This repository contains backend software components implementing core algorithms with a complexity of \(O(N)\), using comments for implementation details. The code size is 1000 lines, and it has been initialized with a single commit.</t>
        </is>
      </c>
      <c r="I33" t="n">
        <v>0.0077</v>
      </c>
      <c r="J33" t="n">
        <v>0.2326</v>
      </c>
      <c r="K33" t="n">
        <v>0.283</v>
      </c>
      <c r="L33" t="inlineStr">
        <is>
          <t>The `BindDimenTest` class tests the `@BindDimen` annotation from the Butter Knife library using JUnit. It verifies that the annotated fields correctly bind dimension values from resources to their respective integer targets. The test creates a mock view tree, binds the dimensions to the views, checks if the values match expectations, and then unbinds the views before asserting again to ensure no side</t>
        </is>
      </c>
      <c r="M33" t="n">
        <v>0.0029</v>
      </c>
      <c r="N33" t="n">
        <v>0.0286</v>
      </c>
      <c r="O33" t="n">
        <v>0.0746</v>
      </c>
    </row>
    <row r="34">
      <c r="A34" t="inlineStr">
        <is>
          <t>butterknife</t>
        </is>
      </c>
      <c r="B34" t="inlineStr">
        <is>
          <t>butterknife-integration-test/src/androidTest/java/com/example/butterknife/functional/BindArrayTest.java</t>
        </is>
      </c>
      <c r="C34">
        <f>HYPERLINK("https://github.com/JakeWharton/butterknife/blob/master/butterknife-integration-test/src/androidTest/java/com/example/butterknife/functional/BindArrayTest.java")</f>
        <v/>
      </c>
      <c r="D34" t="inlineStr">
        <is>
          <t>The provided code is part of a test suite for the Butter Knife library in Android development. It tests the `@BindArray` annotation to ensure that it correctly binds string arrays from resources to fields annotated with this annotation. The test creates a view tree, initializes a `StringArrayTarget` object, and uses Butter Knife's binding mechanism to bind the resource array to the field. After binding, it</t>
        </is>
      </c>
      <c r="E34" t="n">
        <v>0.0028</v>
      </c>
      <c r="F34" t="n">
        <v>0.0541</v>
      </c>
      <c r="G34" t="n">
        <v>0.1095</v>
      </c>
      <c r="H34" t="inlineStr">
        <is>
          <t>The code is a test suite for Butter Knife library in Android development, specifically focusing on testing array binding using the `@BindArray` annotation. It involves creating a view tree, setting up a target object with an annotated field to hold an array from resources, binding the view to the target, asserting that the bound data matches the expected resource values, and then unbinding and verifying that the data remains</t>
        </is>
      </c>
      <c r="I34" t="n">
        <v>0.0026</v>
      </c>
      <c r="J34" t="n">
        <v>0.026</v>
      </c>
      <c r="K34" t="n">
        <v>0.0709</v>
      </c>
      <c r="L34" t="inlineStr">
        <is>
          <t>This test suite uses Butter Knife for view binding to verify that arrays can be correctly bound from resources in Android applications. The `asStringArray` method tests the binding process by creating a mock view tree, initializing a target object with a `@BindArray` annotation, setting up the binding using Butter Knife, comparing the bound array with the expected values from the resource, and ensuring proper unbinding after verification</t>
        </is>
      </c>
      <c r="M34" t="n">
        <v>0.0032</v>
      </c>
      <c r="N34" t="n">
        <v>0.0533</v>
      </c>
      <c r="O34" t="n">
        <v>0.1079</v>
      </c>
    </row>
    <row r="35">
      <c r="A35" t="inlineStr">
        <is>
          <t>butterknife</t>
        </is>
      </c>
      <c r="B35" t="inlineStr">
        <is>
          <t>butterknife-integration-test/src/androidTest/java/com/example/butterknife/functional/BindColorTest.java</t>
        </is>
      </c>
      <c r="C35">
        <f>HYPERLINK("https://github.com/JakeWharton/butterknife/blob/master/butterknife-integration-test/src/androidTest/java/com/example/butterknife/functional/BindColorTest.java")</f>
        <v/>
      </c>
      <c r="D35" t="inlineStr">
        <is>
          <t>The provided code is part of a unit test for the `ButterKnife` library in Android development. It tests the ability to bind color resources using the `@BindColor` annotation from Butter Knife. The test involves creating a simple view hierarchy, binding colors to fields annotated with `@BindColor`, and verifying that the bound values match the expected resource colors. The test also ensures that the un</t>
        </is>
      </c>
      <c r="E35" t="n">
        <v>0.0028</v>
      </c>
      <c r="F35" t="n">
        <v>0.0278</v>
      </c>
      <c r="G35" t="n">
        <v>0.0735</v>
      </c>
      <c r="H35" t="inlineStr">
        <is>
          <t>This repository contains backend software components implementing core algorithms with a time complexity of \(O(N)\), using comments to describe the implementation process. The project has been initialized with a single commit containing the initial codebase.</t>
        </is>
      </c>
      <c r="I35" t="n">
        <v>0.007</v>
      </c>
      <c r="J35" t="n">
        <v>0.1818</v>
      </c>
      <c r="K35" t="n">
        <v>0.2336</v>
      </c>
      <c r="L35" t="inlineStr">
        <is>
          <t>This test suite uses Butter Knife for binding color resources from XML layouts to Java fields. It verifies that `@BindColor` correctly binds colors from the app's resource files to integer properties in the target classes. The tests create instances of `IntTarget` and `ColorStateListTarget`, bind them using Butter Knife, and assert that the bound values match the corresponding colors defined in the resources. Finally</t>
        </is>
      </c>
      <c r="M35" t="n">
        <v>0.0034</v>
      </c>
      <c r="N35" t="n">
        <v>0.0556</v>
      </c>
      <c r="O35" t="n">
        <v>0.1111</v>
      </c>
    </row>
    <row r="36">
      <c r="A36" t="inlineStr">
        <is>
          <t>butterknife</t>
        </is>
      </c>
      <c r="B36" t="inlineStr">
        <is>
          <t>butterknife-integration-test/src/androidTest/java/com/example/butterknife/functional/OnItemSelectedTest.java</t>
        </is>
      </c>
      <c r="C36">
        <f>HYPERLINK("https://github.com/JakeWharton/butterknife/blob/master/butterknife-integration-test/src/androidTest/java/com/example/butterknife/functional/OnItemSelectedTest.java")</f>
        <v/>
      </c>
      <c r="D36" t="inlineStr">
        <is>
          <t>The provided code is part of a unit test for the `OnItemSelectedListener` annotation in the Butter Knife library. It tests that when an item is selected in a spinner, the corresponding callback method is invoked correctly. The test uses Android's instrumentation framework to run on an actual device or emulator. The code includes setup methods, assertions, and assumes certain conditions before running the test.</t>
        </is>
      </c>
      <c r="E36" t="n">
        <v>0.0028</v>
      </c>
      <c r="F36" t="n">
        <v>0.0274</v>
      </c>
      <c r="G36" t="n">
        <v>0.0735</v>
      </c>
      <c r="H36" t="inlineStr">
        <is>
          <t>This repository contains backend software components implementing core algorithms with a time complexity of \(O(N)\). The README provides information about the project's purpose, complexity, comments, commits, and size.</t>
        </is>
      </c>
      <c r="I36" t="n">
        <v>0.0095</v>
      </c>
      <c r="J36" t="n">
        <v>0.2632</v>
      </c>
      <c r="K36" t="n">
        <v>0.372</v>
      </c>
      <c r="L36" t="inlineStr">
        <is>
          <t>This test suite uses Butter Knife for view binding to handle `OnItemSelectedListener` events on a custom `AbsSpinner`. It includes tests that verify the correct handling of item selection changes, including when no item is selected, and ensures proper unbinding after testing. The tests use Android instrumentation to simulate user interactions and assertions to validate expected outcomes.</t>
        </is>
      </c>
      <c r="M36" t="n">
        <v>0.0039</v>
      </c>
      <c r="N36" t="n">
        <v>0.0625</v>
      </c>
      <c r="O36" t="n">
        <v>0.1172</v>
      </c>
    </row>
    <row r="37">
      <c r="A37" t="inlineStr">
        <is>
          <t>butterknife</t>
        </is>
      </c>
      <c r="B37" t="inlineStr">
        <is>
          <t>butterknife-integration-test/src/androidTest/java/com/example/butterknife/functional/BindStringTest.java</t>
        </is>
      </c>
      <c r="C37">
        <f>HYPERLINK("https://github.com/JakeWharton/butterknife/blob/master/butterknife-integration-test/src/androidTest/java/com/example/butterknife/functional/BindStringTest.java")</f>
        <v/>
      </c>
      <c r="D37" t="inlineStr">
        <is>
          <t>The provided code is a test case for the `ButterKnife` library's ability to bind string resources in Android development using Java annotations. The test checks if the `@BindString` annotation correctly binds a string resource from `R.string.hey` to a field named `actual` in the `Target` class. The test uses JUnit for testing and Google Truth for assertions. It also</t>
        </is>
      </c>
      <c r="E37" t="n">
        <v>0.0031</v>
      </c>
      <c r="F37" t="n">
        <v>0.029</v>
      </c>
      <c r="G37" t="n">
        <v>0.0769</v>
      </c>
      <c r="H37" t="inlineStr">
        <is>
          <t>The provided code is a test for binding string resources using Butter Knife in Android development. It tests the `@BindString` annotation to ensure that strings from the resource file can be correctly bound to fields in a Java class. The test involves creating a `Target` class with a field annotated with `@BindString`, setting up a view tree, binding the views, asserting that the bound string matches</t>
        </is>
      </c>
      <c r="I37" t="n">
        <v>0</v>
      </c>
      <c r="J37" t="n">
        <v>0</v>
      </c>
      <c r="K37" t="n">
        <v>0.0362</v>
      </c>
      <c r="L37" t="inlineStr">
        <is>
          <t>The `BindStringTest` class tests the `@BindString` annotation from the Butter Knife library by binding a string resource to a field in a test view. The test checks if the bound value matches the expected string retrieved from the resources using `context.getString`. It uses Mockito for mocking the `Context`, creates a dummy `ViewTree`, binds the fields, asserts equality, and then unbind</t>
        </is>
      </c>
      <c r="M37" t="n">
        <v>0.003</v>
      </c>
      <c r="N37" t="n">
        <v>0.029</v>
      </c>
      <c r="O37" t="n">
        <v>0.07580000000000001</v>
      </c>
    </row>
    <row r="38">
      <c r="A38" t="inlineStr">
        <is>
          <t>butterknife</t>
        </is>
      </c>
      <c r="B38" t="inlineStr">
        <is>
          <t>butterknife-integration-test/src/androidTest/java/com/example/butterknife/functional/BindViewTest.java</t>
        </is>
      </c>
      <c r="C38">
        <f>HYPERLINK("https://github.com/JakeWharton/butterknife/blob/master/butterknife-integration-test/src/androidTest/java/com/example/butterknife/functional/BindViewTest.java")</f>
        <v/>
      </c>
      <c r="D38" t="inlineStr">
        <is>
          <t>The provided code is a unit test for the `@BindView` annotation in Butter Knife library using JUnit framework. It tests binding a specific view to a field annotated with `@BindView`. The test creates a mock view hierarchy, binds it to a `TargetView` instance using Butter Knife's `bind` method, checks if the bound view matches the expected view, and then unbinds the</t>
        </is>
      </c>
      <c r="E38" t="n">
        <v>0.003</v>
      </c>
      <c r="F38" t="n">
        <v>0.0286</v>
      </c>
      <c r="G38" t="n">
        <v>0.0752</v>
      </c>
      <c r="H38" t="inlineStr">
        <is>
          <t>Tests the `@BindView` annotation in Butter Knife by binding a view to a field and ensuring it is correctly unbound after use.</t>
        </is>
      </c>
      <c r="I38" t="n">
        <v>0.008699999999999999</v>
      </c>
      <c r="J38" t="n">
        <v>0.0667</v>
      </c>
      <c r="K38" t="n">
        <v>0.0532</v>
      </c>
      <c r="L38" t="inlineStr">
        <is>
          <t>The `BindViewTest` class tests the `@BindView` annotation from the Butter Knife library by binding a view with ID 1 to a field in the `TargetView` class using `ButterKnife.bind`. The test creates a mock view hierarchy, binds the view to the target object, checks that the bound view is correct, unbinds the views, and verifies that they have been properly</t>
        </is>
      </c>
      <c r="M38" t="n">
        <v>0.0031</v>
      </c>
      <c r="N38" t="n">
        <v>0.0294</v>
      </c>
      <c r="O38" t="n">
        <v>0.07630000000000001</v>
      </c>
    </row>
    <row r="39">
      <c r="A39" t="inlineStr">
        <is>
          <t>butterknife</t>
        </is>
      </c>
      <c r="B39" t="inlineStr">
        <is>
          <t>butterknife-integration-test/src/androidTest/java/com/example/butterknife/functional/OnTouchTest.java</t>
        </is>
      </c>
      <c r="C39">
        <f>HYPERLINK("https://github.com/JakeWharton/butterknife/blob/master/butterknife-integration-test/src/androidTest/java/com/example/butterknife/functional/OnTouchTest.java")</f>
        <v/>
      </c>
      <c r="D39" t="inlineStr">
        <is>
          <t>The `OnTouchTest` class in the `com.example.butterknife.functional` package is designed to test the functionality of the `@OnTouch` annotation from the ButterKnife library. The test involves creating a simple view with a button that has an `@OnTouch` method annotated with the value `1`. When this button receives a touch event at index `1`, it increments a counter and</t>
        </is>
      </c>
      <c r="E39" t="n">
        <v>0.0039</v>
      </c>
      <c r="F39" t="n">
        <v>0.0597</v>
      </c>
      <c r="G39" t="n">
        <v>0.1172</v>
      </c>
      <c r="H39" t="inlineStr">
        <is>
          <t>This repository contains backend software components implementing core algorithms. The complexity is O(N), indicating linear time complexity in relation to input size. The comments describe the implementation of these algorithms. The commits include an initial codebase commit. The total code size is 1000 lines.</t>
        </is>
      </c>
      <c r="I39" t="n">
        <v>0.0055</v>
      </c>
      <c r="J39" t="n">
        <v>0.1509</v>
      </c>
      <c r="K39" t="n">
        <v>0.1724</v>
      </c>
      <c r="L39" t="inlineStr">
        <is>
          <t>This test suite uses Butter Knife's `@OnTouch` annotation to simulate touch events on a view and verify that the method annotated with `@OnTouch` is called correctly based on the specified action ID. The `Simple` class has a boolean field `returnValue` and an integer counter `touches`. The `touch()` method increments the `touches` count each time it is called and returns the</t>
        </is>
      </c>
      <c r="M39" t="n">
        <v>0.0036</v>
      </c>
      <c r="N39" t="n">
        <v>0.058</v>
      </c>
      <c r="O39" t="n">
        <v>0.1136</v>
      </c>
    </row>
    <row r="40">
      <c r="A40" t="inlineStr">
        <is>
          <t>butterknife</t>
        </is>
      </c>
      <c r="B40" t="inlineStr">
        <is>
          <t>butterknife-integration-test/src/androidTest/java/com/example/butterknife/functional/BindAnimTest.java</t>
        </is>
      </c>
      <c r="C40">
        <f>HYPERLINK("https://github.com/JakeWharton/butterknife/blob/master/butterknife-integration-test/src/androidTest/java/com/example/butterknife/functional/BindAnimTest.java")</f>
        <v/>
      </c>
      <c r="D40" t="inlineStr">
        <is>
          <t>The code is a test for ButterKnife's `@BindAnim` annotation in Android development. It creates a view tree with one node, binds it to a `Target` object using ButterKnife, checks that the animation is correctly bound, and then unbinds the view. The test ensures that the animation can be accessed after binding and remains accessible even after unbinding.</t>
        </is>
      </c>
      <c r="E40" t="n">
        <v>0.0032</v>
      </c>
      <c r="F40" t="n">
        <v>0.0303</v>
      </c>
      <c r="G40" t="n">
        <v>0.0775</v>
      </c>
      <c r="H40" t="inlineStr">
        <is>
          <t>The provided code is for testing the `ButterKnife` library's ability to bind animations in Android development. It includes a test case that verifies the binding of an animation resource (`android.R.anim.fade_in`) using the `@BindAnim` annotation from Butter Knife. The test creates a view tree, binds the animation to a target object, checks if the animation is correctly bound, and then un</t>
        </is>
      </c>
      <c r="I40" t="n">
        <v>0.003</v>
      </c>
      <c r="J40" t="n">
        <v>0.0274</v>
      </c>
      <c r="K40" t="n">
        <v>0.07580000000000001</v>
      </c>
      <c r="L40" t="inlineStr">
        <is>
          <t>The `BindAnimTest` class tests the Butter Knife library's ability to bind animations defined in XML resources to Java fields annotated with `@BindAnim`. The test creates a view tree, binds the animation to a field using Butter Knife, checks that the animation is correctly bound, and then unbinds the view to ensure the animation remains accessible after binding.</t>
        </is>
      </c>
      <c r="M40" t="n">
        <v>0.0032</v>
      </c>
      <c r="N40" t="n">
        <v>0.0303</v>
      </c>
      <c r="O40" t="n">
        <v>0.0775</v>
      </c>
    </row>
    <row r="41">
      <c r="A41" t="inlineStr">
        <is>
          <t>butterknife</t>
        </is>
      </c>
      <c r="B41" t="inlineStr">
        <is>
          <t>butterknife-integration-test/src/androidTest/java/com/example/butterknife/functional/OnItemClickTest.java</t>
        </is>
      </c>
      <c r="C41">
        <f>HYPERLINK("https://github.com/JakeWharton/butterknife/blob/master/butterknife-integration-test/src/androidTest/java/com/example/butterknife/functional/OnItemClickTest.java")</f>
        <v/>
      </c>
      <c r="D41" t="inlineStr">
        <is>
          <t>The `OnItemClickTest` class in the `com.example.butterknife.functional` package is a JUnit test for handling item click events on a spinner using ButterKnife library. It includes a custom `TestSpinner` class that uses a simple adapter to populate its items. The test checks if the correct view is clicked when an item is selected from the spinner.</t>
        </is>
      </c>
      <c r="E41" t="n">
        <v>0</v>
      </c>
      <c r="F41" t="n">
        <v>0.0308</v>
      </c>
      <c r="G41" t="n">
        <v>0.0397</v>
      </c>
      <c r="H41" t="inlineStr">
        <is>
          <t>This repository contains backend software components implementing core algorithms. Complexity is O(N), indicating linear time complexity for certain operations. The code size is 1000 lines.</t>
        </is>
      </c>
      <c r="I41" t="n">
        <v>0.01</v>
      </c>
      <c r="J41" t="n">
        <v>0.2353</v>
      </c>
      <c r="K41" t="n">
        <v>0.3254</v>
      </c>
      <c r="L41" t="inlineStr">
        <is>
          <t>This test suite verifies that the `OnItemClick` annotation works correctly for handling item clicks within a spinner using Butter Knife library. It includes tests for both single-click and long-click events, ensuring proper binding and invocation of click listeners. The setup involves creating a custom `AbsSpinner` subclass with a simple adapter and testing various scenarios to ensure robustness and correctness.</t>
        </is>
      </c>
      <c r="M41" t="n">
        <v>0.0037</v>
      </c>
      <c r="N41" t="n">
        <v>0.058</v>
      </c>
      <c r="O41" t="n">
        <v>0.1145</v>
      </c>
    </row>
    <row r="42">
      <c r="A42" t="inlineStr">
        <is>
          <t>butterknife</t>
        </is>
      </c>
      <c r="B42" t="inlineStr">
        <is>
          <t>butterknife-integration-test/src/androidTest/java/com/example/butterknife/functional/OnLongClickTest.java</t>
        </is>
      </c>
      <c r="C42">
        <f>HYPERLINK("https://github.com/JakeWharton/butterknife/blob/master/butterknife-integration-test/src/androidTest/java/com/example/butterknife/functional/OnLongClickTest.java")</f>
        <v/>
      </c>
      <c r="D42" t="inlineStr">
        <is>
          <t>The `OnLongClickTest` class in the `com.example.butterknife.functional` package tests the behavior of the `@OnLongClick` annotation from the ButterKnife library using Android instrumentation testing. The test involves creating a simple view hierarchy with a button that has a long-click listener defined using the `@OnLongClick` annotation. It checks if the method is called correctly when the button is</t>
        </is>
      </c>
      <c r="E42" t="n">
        <v>0</v>
      </c>
      <c r="F42" t="n">
        <v>0.0299</v>
      </c>
      <c r="G42" t="n">
        <v>0.0394</v>
      </c>
      <c r="H42" t="inlineStr">
        <is>
          <t>This repository contains backend software components implementing core algorithms with a time complexity of \(O(N)\). The code size is 1000 lines, and it includes comments explaining the implementation details.</t>
        </is>
      </c>
      <c r="I42" t="n">
        <v>0.0092</v>
      </c>
      <c r="J42" t="n">
        <v>0.2632</v>
      </c>
      <c r="K42" t="n">
        <v>0.2475</v>
      </c>
      <c r="L42" t="inlineStr">
        <is>
          <t>This test suite uses ButterKnife library for view binding and long-click event handling. It includes a simple implementation where a button's `click()` method is annotated with `@OnLongClick` to trigger when clicked more than once. The test checks if the method returns the expected value after multiple long clicks and verifies that the button's click count is incremented correctly.</t>
        </is>
      </c>
      <c r="M42" t="n">
        <v>0.0037</v>
      </c>
      <c r="N42" t="n">
        <v>0.08699999999999999</v>
      </c>
      <c r="O42" t="n">
        <v>0.1538</v>
      </c>
    </row>
    <row r="43">
      <c r="A43" t="inlineStr">
        <is>
          <t>butterknife</t>
        </is>
      </c>
      <c r="B43" t="inlineStr">
        <is>
          <t>butterknife-integration-test/src/androidTest/java/com/example/butterknife/functional/BindBoolTest.java</t>
        </is>
      </c>
      <c r="C43">
        <f>HYPERLINK("https://github.com/JakeWharton/butterknife/blob/master/butterknife-integration-test/src/androidTest/java/com/example/butterknife/functional/BindBoolTest.java")</f>
        <v/>
      </c>
      <c r="D43" t="inlineStr">
        <is>
          <t>The provided code is a JUnit test for the `ButterKnife` library's ability to bind boolean resources to fields in Android views. It uses the `@BindBool` annotation from Butter Knife to bind a boolean resource (`R.bool.just_true`) to a field named `actual` in the `Target` class. The test checks that the bound value matches the expected boolean value retrieved from the</t>
        </is>
      </c>
      <c r="E43" t="n">
        <v>0</v>
      </c>
      <c r="F43" t="n">
        <v>0</v>
      </c>
      <c r="G43" t="n">
        <v>0.0382</v>
      </c>
      <c r="H43" t="inlineStr">
        <is>
          <t>The provided code is a test for the `ButterKnife` library's ability to bind boolean resources in Android development. It uses JUnit testing framework to verify that the `@BindBool` annotation correctly binds boolean values from resource files to fields in a Java class. The complexity is high due to the extensive use of Butter Knife annotations and the need to handle multiple tests with different configurations.</t>
        </is>
      </c>
      <c r="I43" t="n">
        <v>0.0028</v>
      </c>
      <c r="J43" t="n">
        <v>0.027</v>
      </c>
      <c r="K43" t="n">
        <v>0.073</v>
      </c>
      <c r="L43" t="inlineStr">
        <is>
          <t>This test verifies that `@BindBool` correctly binds a Boolean resource from XML to a field in a Java class using Butter Knife library. The test sets up a mock view tree and checks if the bound value matches the expected Boolean resource value. It also ensures that unbinding the views leaves the state unchanged.</t>
        </is>
      </c>
      <c r="M43" t="n">
        <v>0.004</v>
      </c>
      <c r="N43" t="n">
        <v>0.0645</v>
      </c>
      <c r="O43" t="n">
        <v>0.119</v>
      </c>
    </row>
    <row r="44">
      <c r="A44" t="inlineStr">
        <is>
          <t>butterknife</t>
        </is>
      </c>
      <c r="B44" t="inlineStr">
        <is>
          <t>butterknife-integration-test/src/androidTest/java/com/example/butterknife/functional/OnClickTest.java</t>
        </is>
      </c>
      <c r="C44">
        <f>HYPERLINK("https://github.com/JakeWharton/butterknife/blob/master/butterknife-integration-test/src/androidTest/java/com/example/butterknife/functional/OnClickTest.java")</f>
        <v/>
      </c>
      <c r="D44" t="inlineStr">
        <is>
          <t>The `OnClickTest` class in the `com.example.butterknife.functional` package tests the `@OnClick` annotation from the ButterKnife library using Android's instrumentation framework. The test creates a simple view hierarchy with a button that has an ID of 1. It then simulates clicking the button multiple times and checks if the `clicks` counter is incremented accordingly. This ensures that the `@</t>
        </is>
      </c>
      <c r="E44" t="n">
        <v>0.0038</v>
      </c>
      <c r="F44" t="n">
        <v>0.0588</v>
      </c>
      <c r="G44" t="n">
        <v>0.1163</v>
      </c>
      <c r="H44" t="inlineStr">
        <is>
          <t>This repository contains backend software components implementing core algorithms. Complexity is O(N), with comments indicating implementation details. The code size is 1000 lines.</t>
        </is>
      </c>
      <c r="I44" t="n">
        <v>0.0109</v>
      </c>
      <c r="J44" t="n">
        <v>0.25</v>
      </c>
      <c r="K44" t="n">
        <v>0.2105</v>
      </c>
      <c r="L44" t="inlineStr">
        <is>
          <t>The `OnClickTest` class tests the `@OnClick` annotation from ButterKnife library for handling button clicks in Android applications. It includes a simple test case where a button is clicked multiple times, updating a counter stored in the associated view model (`Simple`). The test verifies that the counter increments correctly each time the button is pressed.</t>
        </is>
      </c>
      <c r="M44" t="n">
        <v>0</v>
      </c>
      <c r="N44" t="n">
        <v>0</v>
      </c>
      <c r="O44" t="n">
        <v>0</v>
      </c>
    </row>
    <row r="45">
      <c r="A45" t="inlineStr">
        <is>
          <t>butterknife</t>
        </is>
      </c>
      <c r="B45" t="inlineStr">
        <is>
          <t>butterknife-integration-test/src/androidTest/java/com/example/butterknife/functional/OnCheckedChangedTest.java</t>
        </is>
      </c>
      <c r="C45">
        <f>HYPERLINK("https://github.com/JakeWharton/butterknife/blob/master/butterknife-integration-test/src/androidTest/java/com/example/butterknife/functional/OnCheckedChangedTest.java")</f>
        <v/>
      </c>
      <c r="D45" t="inlineStr">
        <is>
          <t>The provided code is part of a unit test for the `ButterKnife` library in Android development. It tests the behavior of the `@OnCheckedChanged` annotation when used with a `ToggleButton`. The test creates a view hierarchy containing a single `ToggleButton`, sets up ButterKnife to bind it, and then simulates checking and unchecking the button multiple times. The number of times the associated method</t>
        </is>
      </c>
      <c r="E45" t="n">
        <v>0.0029</v>
      </c>
      <c r="F45" t="n">
        <v>0.0286</v>
      </c>
      <c r="G45" t="n">
        <v>0.0746</v>
      </c>
      <c r="H45" t="inlineStr">
        <is>
          <t>This repository contains backend software components implementing core algorithms. Complexity is O(N), with comments indicating implementation details. The code size is 1000 lines.</t>
        </is>
      </c>
      <c r="I45" t="n">
        <v>0.0109</v>
      </c>
      <c r="J45" t="n">
        <v>0.25</v>
      </c>
      <c r="K45" t="n">
        <v>0.2105</v>
      </c>
      <c r="L45" t="inlineStr">
        <is>
          <t>The `OnCheckedChangedTest` class tests the `@OnCheckedChanged` annotation from ButterKnife library, which is used for handling checked state changes in ToggleButtons. The test creates a simple view hierarchy containing a ToggleButton and verifies that the `click()` method is called when the button's state changes.</t>
        </is>
      </c>
      <c r="M45" t="n">
        <v>0.0043</v>
      </c>
      <c r="N45" t="n">
        <v>0.0385</v>
      </c>
      <c r="O45" t="n">
        <v>0.08699999999999999</v>
      </c>
    </row>
    <row r="46">
      <c r="A46" t="inlineStr">
        <is>
          <t>butterknife</t>
        </is>
      </c>
      <c r="B46" t="inlineStr">
        <is>
          <t>butterknife-integration-test/src/androidTest/java/com/example/butterknife/functional/BindIntTest.java</t>
        </is>
      </c>
      <c r="C46">
        <f>HYPERLINK("https://github.com/JakeWharton/butterknife/blob/master/butterknife-integration-test/src/androidTest/java/com/example/butterknife/functional/BindIntTest.java")</f>
        <v/>
      </c>
      <c r="D46" t="inlineStr">
        <is>
          <t>The provided code is a test for the `@BindInt` annotation in Butter Knife, a popular library for Android that simplifies view binding. The test checks if the `@BindInt` annotation correctly binds an integer resource to a field in a Java class. It uses JUnit for testing and Google Truth for assertions. The test creates a mock context and a view tree, then binds the `</t>
        </is>
      </c>
      <c r="E46" t="n">
        <v>0.0028</v>
      </c>
      <c r="F46" t="n">
        <v>0.0278</v>
      </c>
      <c r="G46" t="n">
        <v>0.073</v>
      </c>
      <c r="H46" t="inlineStr">
        <is>
          <t>The provided code is a JUnit test for ButterKnife library's `@BindInt` annotation in Android development. It tests binding an integer resource to a field using Butter Knife and verifies that the value matches the expected result from the resources file. The complexity is O(N), where N represents the number of operations performed during the test execution.</t>
        </is>
      </c>
      <c r="I46" t="n">
        <v>0.0033</v>
      </c>
      <c r="J46" t="n">
        <v>0.0303</v>
      </c>
      <c r="K46" t="n">
        <v>0.0781</v>
      </c>
      <c r="L46" t="inlineStr">
        <is>
          <t>The `BindIntTest` class tests the `@BindInt` annotation from the Butter Knife library by binding an integer resource ID to a field in a test view model. The test checks that the bound value matches the expected integer value retrieved from the resources.</t>
        </is>
      </c>
      <c r="M46" t="n">
        <v>0</v>
      </c>
      <c r="N46" t="n">
        <v>0</v>
      </c>
      <c r="O46" t="n">
        <v>0</v>
      </c>
    </row>
    <row r="47">
      <c r="A47" t="inlineStr">
        <is>
          <t>butterknife</t>
        </is>
      </c>
      <c r="B47" t="inlineStr">
        <is>
          <t>butterknife-integration-test/src/androidTest/java/com/example/butterknife/unbinder/UnbinderTest.java</t>
        </is>
      </c>
      <c r="C47">
        <f>HYPERLINK("https://github.com/JakeWharton/butterknife/blob/master/butterknife-integration-test/src/androidTest/java/com/example/butterknife/unbinder/UnbinderTest.java")</f>
        <v/>
      </c>
      <c r="D47" t="inlineStr">
        <is>
          <t>The provided code is a test for ButterKnife's unbinding mechanism in Android development. It involves creating a `FrameLayout` with three buttons and a content view, then using ButterKnife to bind these views to their respective IDs. The test checks that the unbinding process correctly removes references between the views and the Butter Knife binder.</t>
        </is>
      </c>
      <c r="E47" t="n">
        <v>0.0034</v>
      </c>
      <c r="F47" t="n">
        <v>0.0317</v>
      </c>
      <c r="G47" t="n">
        <v>0.0794</v>
      </c>
      <c r="H47" t="inlineStr">
        <is>
          <t>The provided code is part of a test suite for ButterKnife library in Android development, specifically focusing on verifying view binding with Butter Knife. It sets up a `FrameLayout` containing multiple buttons and tests that ButterKnife can correctly bind these views to their respective fields or methods. The complexity is high due to the number of views being added and tested, making it suitable for testing complex UI interactions.</t>
        </is>
      </c>
      <c r="I47" t="n">
        <v>0.0026</v>
      </c>
      <c r="J47" t="n">
        <v>0.026</v>
      </c>
      <c r="K47" t="n">
        <v>0.0709</v>
      </c>
      <c r="L47" t="inlineStr">
        <is>
          <t>The `UnbinderTest` class tests the ButterKnife library's ability to bind views within a `FrameLayout`. It creates a layout with three buttons and a content view, then uses ButterKnife to unbind these views from their respective IDs. The test verifies that the binding is correct by comparing the actual view references against expected ones.</t>
        </is>
      </c>
      <c r="M47" t="n">
        <v>0.0035</v>
      </c>
      <c r="N47" t="n">
        <v>0.0323</v>
      </c>
      <c r="O47" t="n">
        <v>0.08</v>
      </c>
    </row>
    <row r="48">
      <c r="A48" t="inlineStr">
        <is>
          <t>butterknife</t>
        </is>
      </c>
      <c r="B48" t="inlineStr">
        <is>
          <t>butterknife-integration-test/src/androidTest/java/com/example/butterknife/library/SimpleActivityTest.java</t>
        </is>
      </c>
      <c r="C48">
        <f>HYPERLINK("https://github.com/JakeWharton/butterknife/blob/master/butterknife-integration-test/src/androidTest/java/com/example/butterknife/library/SimpleActivityTest.java")</f>
        <v/>
      </c>
      <c r="D48" t="inlineStr">
        <is>
          <t>The provided code is for testing the binding of views in a `SimpleActivity` using Butter Knife library. It uses JUnit to create an `ActivityTestRule` for the `SimpleActivity`, binds the views using Butter Knife, verifies that the views are correctly bound by checking their IDs against expected resource IDs, unbinds the views, and then verifies that they are no longer bound. The complexity</t>
        </is>
      </c>
      <c r="E48" t="n">
        <v>0.0029</v>
      </c>
      <c r="F48" t="n">
        <v>0.0286</v>
      </c>
      <c r="G48" t="n">
        <v>0.0746</v>
      </c>
      <c r="H48" t="inlineStr">
        <is>
          <t>This repository contains backend software components implementing core algorithms with complexity O(N). The README provides information about the project's purpose, complexity analysis, comments on implementation, commits made to the initial codebase, and the size of the code in terms of lines.</t>
        </is>
      </c>
      <c r="I48" t="n">
        <v>0.0064</v>
      </c>
      <c r="J48" t="n">
        <v>0.1961</v>
      </c>
      <c r="K48" t="n">
        <v>0.3292</v>
      </c>
      <c r="L48" t="inlineStr">
        <is>
          <t>This test suite verifies that Butter Knife's view binding works correctly for a simple Android activity by ensuring views are properly bound during activity creation and unbinding when the activity is destroyed. The `verifyContentViewBinding` method checks if the expected view IDs match those defined in the layout XML.</t>
        </is>
      </c>
      <c r="M48" t="n">
        <v>0.0045</v>
      </c>
      <c r="N48" t="n">
        <v>0.0702</v>
      </c>
      <c r="O48" t="n">
        <v>0.125</v>
      </c>
    </row>
    <row r="49">
      <c r="A49" t="inlineStr">
        <is>
          <t>butterknife</t>
        </is>
      </c>
      <c r="B49" t="inlineStr">
        <is>
          <t>butterknife-integration-test/src/androidTest/java/com/example/butterknife/library/SimpleAdapterTest.java</t>
        </is>
      </c>
      <c r="C49">
        <f>HYPERLINK("https://github.com/JakeWharton/butterknife/blob/master/butterknife-integration-test/src/androidTest/java/com/example/butterknife/library/SimpleAdapterTest.java")</f>
        <v/>
      </c>
      <c r="D49" t="inlineStr">
        <is>
          <t>The provided Java code is a test for the `SimpleAdapter` class in the Butter Knife library. It verifies that the views within the `ViewHolder` class have the expected IDs by inflating a layout file (`simple_list_item`) and checking if the view IDs match those defined in the resource files. The test uses JUnit to assert equality between actual and expected view IDs.</t>
        </is>
      </c>
      <c r="E49" t="n">
        <v>0.003</v>
      </c>
      <c r="F49" t="n">
        <v>0.0282</v>
      </c>
      <c r="G49" t="n">
        <v>0.0752</v>
      </c>
      <c r="H49" t="inlineStr">
        <is>
          <t>Tests for `SimpleAdapter` views in the Butterknife library.</t>
        </is>
      </c>
      <c r="I49" t="n">
        <v>0</v>
      </c>
      <c r="J49" t="n">
        <v>0</v>
      </c>
      <c r="K49" t="n">
        <v>0</v>
      </c>
      <c r="L49" t="inlineStr">
        <is>
          <t>This test suite verifies that the `SimpleAdapter` correctly inflates views from `simple_list_item.xml`, setting up a `ViewHolder` instance for each inflated view. It checks if the IDs of the word, length, and position TextViews match their respective resource IDs defined in `R.id`.</t>
        </is>
      </c>
      <c r="M49" t="n">
        <v>0.0054</v>
      </c>
      <c r="N49" t="n">
        <v>0.0755</v>
      </c>
      <c r="O49" t="n">
        <v>0.0885</v>
      </c>
    </row>
    <row r="50">
      <c r="A50" t="inlineStr">
        <is>
          <t>butterknife</t>
        </is>
      </c>
      <c r="B50" t="inlineStr">
        <is>
          <t>butterknife-reflect/src/main/java/butterknife/ButterKnife.java</t>
        </is>
      </c>
      <c r="C50">
        <f>HYPERLINK("https://github.com/JakeWharton/butterknife/blob/master/butterknife-reflect/src/main/java/butterknife/ButterKnife.java")</f>
        <v/>
      </c>
      <c r="D50" t="inlineStr">
        <is>
          <t>The provided code is part of a library called Butterknife, which is used for view injection in Android applications. It includes various utility methods for handling views such as setting text, colors, animations, listeners, and more. The complexity of the implementation is O(N), where N represents the number of operations performed on the views. The comments indicate that this code implements core algorithms related to view manipulation in Android</t>
        </is>
      </c>
      <c r="E50" t="n">
        <v>0.0062</v>
      </c>
      <c r="F50" t="n">
        <v>0.0769</v>
      </c>
      <c r="G50" t="n">
        <v>0.2638</v>
      </c>
      <c r="H50" t="inlineStr">
        <is>
          <t>This repository contains backend software components implementing core algorithms. Complexity is O(N), with comments indicating implementation details. The code size is 1000 lines.</t>
        </is>
      </c>
      <c r="I50" t="n">
        <v>0.0109</v>
      </c>
      <c r="J50" t="n">
        <v>0.25</v>
      </c>
      <c r="K50" t="n">
        <v>0.2105</v>
      </c>
      <c r="L50" t="inlineStr">
        <is>
          <t>This package provides Butter Knife, a library for reducing boilerplate code when working with Android views by automatically binding UI elements to fields and methods using annotations. It simplifies view initialization and event handling, enhancing development efficiency and maintaining clean code. The library supports various types of views such as activities, dialogs, text fields, buttons, and more, making it versatile for different use cases within Android applications.</t>
        </is>
      </c>
      <c r="M50" t="n">
        <v>0.0032</v>
      </c>
      <c r="N50" t="n">
        <v>0.0533</v>
      </c>
      <c r="O50" t="n">
        <v>0.1079</v>
      </c>
    </row>
    <row r="51">
      <c r="A51" t="inlineStr">
        <is>
          <t>butterknife</t>
        </is>
      </c>
      <c r="B51" t="inlineStr">
        <is>
          <t>butterknife-reflect/src/main/java/butterknife/CompositeUnbinder.java</t>
        </is>
      </c>
      <c r="C51">
        <f>HYPERLINK("https://github.com/JakeWharton/butterknife/blob/master/butterknife-reflect/src/main/java/butterknife/CompositeUnbinder.java")</f>
        <v/>
      </c>
      <c r="D51" t="inlineStr">
        <is>
          <t>The `CompositeUnbinder` class is designed to manage multiple `Unbinder` objects in a list. It provides a method `unbind()` that iterates over each `Unbinder` in the list, calling their respective `unbind()` methods to release any resources they may be holding. After all bindings have been released, it sets the `unbinders` list to `null` to</t>
        </is>
      </c>
      <c r="E51" t="n">
        <v>0</v>
      </c>
      <c r="F51" t="n">
        <v>0</v>
      </c>
      <c r="G51" t="n">
        <v>0</v>
      </c>
      <c r="H51" t="inlineStr">
        <is>
          <t>Manages multiple `Unbinder` objects to clean up resources when needed.</t>
        </is>
      </c>
      <c r="I51" t="n">
        <v>0</v>
      </c>
      <c r="J51" t="n">
        <v>0</v>
      </c>
      <c r="K51" t="n">
        <v>0</v>
      </c>
      <c r="L51" t="inlineStr">
        <is>
          <t>The `CompositeUnbinder` class is designed to manage multiple `Unbinder` instances, allowing them to be cleanly released together when needed. It takes a list of `Unbinder` objects during initialization and iterates over each one to call their respective `unbind()` methods before setting itself to `null`. This ensures that all associated views are properly detached from their parent views, preventing memory</t>
        </is>
      </c>
      <c r="M51" t="n">
        <v>0.0037</v>
      </c>
      <c r="N51" t="n">
        <v>0.0299</v>
      </c>
      <c r="O51" t="n">
        <v>0.07630000000000001</v>
      </c>
    </row>
    <row r="52">
      <c r="A52" t="inlineStr">
        <is>
          <t>butterknife</t>
        </is>
      </c>
      <c r="B52" t="inlineStr">
        <is>
          <t>butterknife-reflect/src/main/java/butterknife/FieldUnbinder.java</t>
        </is>
      </c>
      <c r="C52">
        <f>HYPERLINK("https://github.com/JakeWharton/butterknife/blob/master/butterknife-reflect/src/main/java/butterknife/FieldUnbinder.java")</f>
        <v/>
      </c>
      <c r="D52" t="inlineStr">
        <is>
          <t>The `FieldUnbinder` class is part of the Butterknife library for Android development. It provides a mechanism to unbind views from their associated fields in an activity or fragment. The class takes two parameters: a target object (usually an instance of an Activity or Fragment) and a field that holds a reference to a view. When the `unbind()` method is called on an instance of `</t>
        </is>
      </c>
      <c r="E52" t="n">
        <v>0.0028</v>
      </c>
      <c r="F52" t="n">
        <v>0.0278</v>
      </c>
      <c r="G52" t="n">
        <v>0.073</v>
      </c>
      <c r="H52" t="inlineStr">
        <is>
          <t>Manages the binding and unbinding of fields in Android views using reflection.</t>
        </is>
      </c>
      <c r="I52" t="n">
        <v>0.017</v>
      </c>
      <c r="J52" t="n">
        <v>0.1</v>
      </c>
      <c r="K52" t="n">
        <v>0.119</v>
      </c>
      <c r="L52" t="inlineStr">
        <is>
          <t>The `FieldUnbinder` class is designed to manage the binding and unbinding of fields within objects using reflection. It provides a method `unbind()` that sets the value of the bound field to `null`, effectively removing any previously set references. The constructor takes an object and a field as parameters, allowing for the creation of a binder instance specific to those elements.</t>
        </is>
      </c>
      <c r="M52" t="n">
        <v>0.003</v>
      </c>
      <c r="N52" t="n">
        <v>0.0294</v>
      </c>
      <c r="O52" t="n">
        <v>0.1136</v>
      </c>
    </row>
    <row r="53">
      <c r="A53" t="inlineStr">
        <is>
          <t>butterknife</t>
        </is>
      </c>
      <c r="B53" t="inlineStr">
        <is>
          <t>butterknife-reflect/src/main/java/butterknife/ListenerUnbinder.java</t>
        </is>
      </c>
      <c r="C53">
        <f>HYPERLINK("https://github.com/JakeWharton/butterknife/blob/master/butterknife-reflect/src/main/java/butterknife/ListenerUnbinder.java")</f>
        <v/>
      </c>
      <c r="D53" t="inlineStr">
        <is>
          <t>The `ListenerUnbinder` class is designed to manage the binding and unbinding of listeners for multiple views in Android applications using Butterknife library. It takes a list of view targets, a setter method, and optionally a listener object as parameters. The constructor initializes these fields. The `unbind()` method uses the `ViewCollections.set()` method to remove the specified listener from each target view. This</t>
        </is>
      </c>
      <c r="E53" t="n">
        <v>0.0036</v>
      </c>
      <c r="F53" t="n">
        <v>0.0286</v>
      </c>
      <c r="G53" t="n">
        <v>0.1128</v>
      </c>
      <c r="H53" t="inlineStr">
        <is>
          <t>Manages view listeners for Android views using Butterknife library.</t>
        </is>
      </c>
      <c r="I53" t="n">
        <v>0</v>
      </c>
      <c r="J53" t="n">
        <v>0</v>
      </c>
      <c r="K53" t="n">
        <v>0.0617</v>
      </c>
      <c r="L53" t="inlineStr">
        <is>
          <t>The `ListenerUnbinder` class is designed to manage listeners for multiple views by providing methods to bind and unbind these listeners efficiently. It takes a list of view targets and a setter method, allowing for easy binding and unbinding of listeners. The constructor initializes either no listener (for unbinding only) or a specific listener for all target views. The `unbind` method uses `ViewCollections</t>
        </is>
      </c>
      <c r="M53" t="n">
        <v>0.0029</v>
      </c>
      <c r="N53" t="n">
        <v>0.0286</v>
      </c>
      <c r="O53" t="n">
        <v>0.0746</v>
      </c>
    </row>
    <row r="54">
      <c r="A54" t="inlineStr">
        <is>
          <t>butterknife</t>
        </is>
      </c>
      <c r="B54" t="inlineStr">
        <is>
          <t>butterknife-reflect/src/main/java/butterknife/EmptyTextWatcher.java</t>
        </is>
      </c>
      <c r="C54">
        <f>HYPERLINK("https://github.com/JakeWharton/butterknife/blob/master/butterknife-reflect/src/main/java/butterknife/EmptyTextWatcher.java")</f>
        <v/>
      </c>
      <c r="D54" t="inlineStr">
        <is>
          <t>The provided code defines a simple `EmptyTextWatcher` class that implements the `TextWatcher` interface from Android's `android.text` package. This class is designed to handle text changes in views without performing any specific actions during the various lifecycle events (`beforeTextChanged`, `onTextChanged`, and `afterTextChanged`). The implementation includes empty methods for each event, allowing developers to extend this class if they need</t>
        </is>
      </c>
      <c r="E54" t="n">
        <v>0.0041</v>
      </c>
      <c r="F54" t="n">
        <v>0.0588</v>
      </c>
      <c r="G54" t="n">
        <v>0.1154</v>
      </c>
      <c r="H54" t="inlineStr">
        <is>
          <t>Provides a basic implementation of a text watcher that does nothing in its methods.</t>
        </is>
      </c>
      <c r="I54" t="n">
        <v>0</v>
      </c>
      <c r="J54" t="n">
        <v>0.09089999999999999</v>
      </c>
      <c r="K54" t="n">
        <v>0.0581</v>
      </c>
      <c r="L54" t="inlineStr">
        <is>
          <t>The `EmptyTextWatcher` class is a simple implementation of the `TextWatcher` interface from Android's text processing library. It provides empty implementations for all three methods (`beforeTextChanged`, `onTextChanged`, and `afterTextChanged`) which means it doesn't perform any specific actions when text changes occur in an EditText widget. This class can be used as a placeholder if no custom text change handling is needed</t>
        </is>
      </c>
      <c r="M54" t="n">
        <v>0.0036</v>
      </c>
      <c r="N54" t="n">
        <v>0.0571</v>
      </c>
      <c r="O54" t="n">
        <v>0.1515</v>
      </c>
    </row>
    <row r="55">
      <c r="A55" t="inlineStr">
        <is>
          <t>butterknife</t>
        </is>
      </c>
      <c r="B55" t="inlineStr">
        <is>
          <t>website/static/prettify.js</t>
        </is>
      </c>
      <c r="C55">
        <f>HYPERLINK("https://github.com/JakeWharton/butterknife/blob/master/website/static/prettify.js")</f>
        <v/>
      </c>
      <c r="D55" t="inlineStr">
        <is>
          <t>The code defines a function `L` that processes strings to convert escape sequences into their corresponding characters or Unicode values. It handles various types of escape sequences such as octal, hexadecimal, backslash escapes, and character ranges. The function is used in conjunction with other functions within the same scope to process input data for further processing or display.</t>
        </is>
      </c>
      <c r="E55" t="n">
        <v>0.0031</v>
      </c>
      <c r="F55" t="n">
        <v>0.0606</v>
      </c>
      <c r="G55" t="n">
        <v>0.0769</v>
      </c>
      <c r="H55" t="inlineStr">
        <is>
          <t>Manages backend software components with core algorithm implementations. Complexity is O(N) due to potential array operations.</t>
        </is>
      </c>
      <c r="I55" t="n">
        <v>0.0146</v>
      </c>
      <c r="J55" t="n">
        <v>0.16</v>
      </c>
      <c r="K55" t="n">
        <v>0.1136</v>
      </c>
      <c r="L55" t="inlineStr">
        <is>
          <t>The provided code initializes a variable `q` to null and sets a flag for using continuations. It defines functions `L`, `m`, `e`, and `h`. The function `L` appears to be used for parsing escape sequences in strings, while `m` converts escaped characters into their corresponding Unicode values. The function `e` escapes special characters in strings, and `h`</t>
        </is>
      </c>
      <c r="M55" t="n">
        <v>0.0032</v>
      </c>
      <c r="N55" t="n">
        <v>0.0615</v>
      </c>
      <c r="O55" t="n">
        <v>0.0775</v>
      </c>
    </row>
    <row r="56">
      <c r="A56" t="inlineStr">
        <is>
          <t>butterknife</t>
        </is>
      </c>
      <c r="B56" t="inlineStr">
        <is>
          <t>website/static/jquery-maven-artifact.min.js</t>
        </is>
      </c>
      <c r="C56">
        <f>HYPERLINK("https://github.com/JakeWharton/butterknife/blob/master/website/static/jquery-maven-artifact.min.js")</f>
        <v/>
      </c>
      <c r="D56" t="inlineStr">
        <is>
          <t>The provided code is a jQuery plugin that allows users to retrieve the latest version and download URL for a specific Maven artifact based on its group ID and artifact ID. It uses AJAX to query the Maven Central Repository's Solr index to find the latest version of the specified artifact and then constructs the download URL using this information. The plugin provides two methods: `artifactVersion` for retrieving the version and download</t>
        </is>
      </c>
      <c r="E56" t="n">
        <v>0.0025</v>
      </c>
      <c r="F56" t="n">
        <v>0.0494</v>
      </c>
      <c r="G56" t="n">
        <v>0.1042</v>
      </c>
      <c r="H56" t="inlineStr">
        <is>
          <t>The code is a jQuery plugin that provides a method to retrieve the latest version of a Maven artifact from the Central Repository. It constructs a URL based on the provided group ID, artifact ID, and version, then makes a JSON request to search for the artifact using Maven's Solr index. If found, it retrieves the latest version and downloads URL, which is passed back to the user via a callback</t>
        </is>
      </c>
      <c r="I56" t="n">
        <v>0.0026</v>
      </c>
      <c r="J56" t="n">
        <v>0.025</v>
      </c>
      <c r="K56" t="n">
        <v>0.0699</v>
      </c>
      <c r="L56" t="inlineStr">
        <is>
          <t>The provided code is a jQuery plugin that retrieves the latest version of a specified Maven artifact from the central repository and provides a URL for downloading the artifact's JAR file. It uses AJAX to query the Maven Central Repository API and processes the JSON response to extract the latest version number and corresponding download URL. The plugin takes two parameters: `groupId` and `artifactId`, and requires a callback function to</t>
        </is>
      </c>
      <c r="M56" t="n">
        <v>0.0026</v>
      </c>
      <c r="N56" t="n">
        <v>0.0253</v>
      </c>
      <c r="O56" t="n">
        <v>0.0704</v>
      </c>
    </row>
    <row r="57">
      <c r="A57" t="inlineStr">
        <is>
          <t>butterknife</t>
        </is>
      </c>
      <c r="B57" t="inlineStr">
        <is>
          <t>butterknife-gradle-plugin/src/main/java/butterknife/plugin/R2Generator.kt</t>
        </is>
      </c>
      <c r="C57">
        <f>HYPERLINK("https://github.com/JakeWharton/butterknife/blob/master/butterknife-gradle-plugin/src/main/java/butterknife/plugin/R2Generator.kt")</f>
        <v/>
      </c>
      <c r="D57" t="inlineStr">
        <is>
          <t>The `R2Generator` task is a Gradle plugin that generates Java classes from resource files (`r.xml`) using the Butter Knife library. It takes input resources, package name, and class name to produce compiled Java files in the specified output directory. The task uses the `brewJava` function to perform the conversion.</t>
        </is>
      </c>
      <c r="E57" t="n">
        <v>0.0037</v>
      </c>
      <c r="F57" t="n">
        <v>0.0345</v>
      </c>
      <c r="G57" t="n">
        <v>0.08260000000000001</v>
      </c>
      <c r="H57" t="inlineStr">
        <is>
          <t>This repository contains backend software components with implementations of core algorithms. The complexity is O(N), indicating linear time complexity for certain operations.</t>
        </is>
      </c>
      <c r="I57" t="n">
        <v>0.0114</v>
      </c>
      <c r="J57" t="n">
        <v>0.2581</v>
      </c>
      <c r="K57" t="n">
        <v>0.2128</v>
      </c>
      <c r="L57" t="inlineStr">
        <is>
          <t>The `R2Generator` task is a Gradle plugin that generates Java classes based on resource files (`r.xml`) for Android projects. It takes input resources, package name, and class name, then compiles them into Java classes that map to these resources. The generated classes are placed in the specified output directory.</t>
        </is>
      </c>
      <c r="M57" t="n">
        <v>0.0037</v>
      </c>
      <c r="N57" t="n">
        <v>0.0345</v>
      </c>
      <c r="O57" t="n">
        <v>0.08260000000000001</v>
      </c>
    </row>
    <row r="58">
      <c r="A58" t="inlineStr">
        <is>
          <t>butterknife</t>
        </is>
      </c>
      <c r="B58" t="inlineStr">
        <is>
          <t>butterknife-gradle-plugin/src/main/java/butterknife/plugin/ResourceSymbolListReader.kt</t>
        </is>
      </c>
      <c r="C58">
        <f>HYPERLINK("https://github.com/JakeWharton/butterknife/blob/master/butterknife-gradle-plugin/src/main/java/butterknife/plugin/ResourceSymbolListReader.kt")</f>
        <v/>
      </c>
      <c r="D58" t="inlineStr">
        <is>
          <t>The `ResourceSymbolListReader` class reads resource symbols from a file and adds them to a `FinalRClassBuilder`. It processes each line in the file, splits it into parts, checks for valid types, and then adds fields to the builder with unique IDs based on the processed data. The complexity is O(N), where N is the number of lines in the input file.</t>
        </is>
      </c>
      <c r="E58" t="n">
        <v>0.003</v>
      </c>
      <c r="F58" t="n">
        <v>0.029</v>
      </c>
      <c r="G58" t="n">
        <v>0.0379</v>
      </c>
      <c r="H58" t="inlineStr">
        <is>
          <t>The code reads resource symbols from a file and generates JavaPoet code to define final R classes with corresponding fields for each symbol type. It processes lines in the input file, extracts relevant information, and adds resource fields to the `FinalRClassBuilder`. The complexity is linear with respect to the number of lines in the input file.</t>
        </is>
      </c>
      <c r="I58" t="n">
        <v>0.0033</v>
      </c>
      <c r="J58" t="n">
        <v>0.0312</v>
      </c>
      <c r="K58" t="n">
        <v>0.0391</v>
      </c>
      <c r="L58" t="inlineStr">
        <is>
          <t>This code reads resource symbols from a file and generates JavaPoet code for a `FinalRClassBuilder` by adding fields representing these resources. It processes each line of the input file, splitting it into parts based on spaces, and checks for valid lines containing integer types and supported symbol types before adding corresponding fields to the builder. The generated fields have unique identifiers incremented sequentially.</t>
        </is>
      </c>
      <c r="M58" t="n">
        <v>0.0034</v>
      </c>
      <c r="N58" t="n">
        <v>0.0563</v>
      </c>
      <c r="O58" t="n">
        <v>0.1111</v>
      </c>
    </row>
    <row r="59">
      <c r="A59" t="inlineStr">
        <is>
          <t>butterknife</t>
        </is>
      </c>
      <c r="B59" t="inlineStr">
        <is>
          <t>butterknife-gradle-plugin/src/main/java/butterknife/plugin/FinalRClassBuilder.kt</t>
        </is>
      </c>
      <c r="C59">
        <f>HYPERLINK("https://github.com/JakeWharton/butterknife/blob/master/butterknife-gradle-plugin/src/main/java/butterknife/plugin/FinalRClassBuilder.kt")</f>
        <v/>
      </c>
      <c r="D59" t="inlineStr">
        <is>
          <t>The `FinalRClassBuilder` class generates a Java class containing constants representing fields from Android resources (e.g., strings, colors). It supports various types of resources such as animations, arrays, attributes, etc. The generated class is marked with `@Final` and includes static fields annotated with appropriate support annotations (`@AnimRes`, `@ArrayRes`, etc.) based on the resource type.</t>
        </is>
      </c>
      <c r="E59" t="n">
        <v>0.0035</v>
      </c>
      <c r="F59" t="n">
        <v>0.0323</v>
      </c>
      <c r="G59" t="n">
        <v>0.04</v>
      </c>
      <c r="H59" t="inlineStr">
        <is>
          <t>Generates a Java class containing final static fields representing resource identifiers from Android's `res/values/` directory, with optional support annotations indicating resource types.</t>
        </is>
      </c>
      <c r="I59" t="n">
        <v>0</v>
      </c>
      <c r="J59" t="n">
        <v>0</v>
      </c>
      <c r="K59" t="n">
        <v>0</v>
      </c>
      <c r="L59" t="inlineStr">
        <is>
          <t>The `FinalRClassBuilder` generates a Java class containing constants representing all supported resource types from an Android R file. It includes static fields for each resource name prefixed by their respective package (e.g., `android.R.anim`, `android.R.array`). The builder also supports adding support annotations to specify the type of resource for each constant.</t>
        </is>
      </c>
      <c r="M59" t="n">
        <v>0</v>
      </c>
      <c r="N59" t="n">
        <v>0</v>
      </c>
      <c r="O59" t="n">
        <v>0</v>
      </c>
    </row>
    <row r="60">
      <c r="A60" t="inlineStr">
        <is>
          <t>butterknife</t>
        </is>
      </c>
      <c r="B60" t="inlineStr">
        <is>
          <t>butterknife-gradle-plugin/src/main/java/butterknife/plugin/ButterKnifePlugin.kt</t>
        </is>
      </c>
      <c r="C60">
        <f>HYPERLINK("https://github.com/JakeWharton/butterknife/blob/master/butterknife-gradle-plugin/src/main/java/butterknife/plugin/ButterKnifePlugin.kt")</f>
        <v/>
      </c>
      <c r="D60" t="inlineStr">
        <is>
          <t>The provided Kotlin plugin for Android projects (`ButterKnifePlugin`) configures Butter Knife library dependencies in Gradle build files. It applies to both application and feature modules within an Android project. The plugin sets up Butter Knife annotations processing during compilation, ensuring that views can be injected using `@BindView` and other annotations without manual setup. This simplifies view injection across different parts of the app or module</t>
        </is>
      </c>
      <c r="E60" t="n">
        <v>0.0037</v>
      </c>
      <c r="F60" t="n">
        <v>0.0548</v>
      </c>
      <c r="G60" t="n">
        <v>0.146</v>
      </c>
      <c r="H60" t="inlineStr">
        <is>
          <t>This repository contains backend software components with implementations of core algorithms. The complexity of the code is O(N), indicating linear time complexity for certain operations.</t>
        </is>
      </c>
      <c r="I60" t="n">
        <v>0.01</v>
      </c>
      <c r="J60" t="n">
        <v>0.2353</v>
      </c>
      <c r="K60" t="n">
        <v>0.2062</v>
      </c>
      <c r="L60" t="inlineStr">
        <is>
          <t>The `ButterKnifePlugin` applies Butterknife annotations to Android projects, simplifying view binding by reducing boilerplate code. It configures R files for feature modules and links application resources during build processes. The plugin supports both app and library projects.</t>
        </is>
      </c>
      <c r="M60" t="n">
        <v>0.005</v>
      </c>
      <c r="N60" t="n">
        <v>0.08890000000000001</v>
      </c>
      <c r="O60" t="n">
        <v>0.0917</v>
      </c>
    </row>
    <row r="61">
      <c r="A61" t="inlineStr">
        <is>
          <t>butterknife</t>
        </is>
      </c>
      <c r="B61" t="inlineStr">
        <is>
          <t>butterknife-gradle-plugin/src/test/resources/fixtures/R2.java</t>
        </is>
      </c>
      <c r="C61">
        <f>HYPERLINK("https://github.com/JakeWharton/butterknife/blob/master/butterknife-gradle-plugin/src/test/resources/fixtures/R2.java")</f>
        <v/>
      </c>
      <c r="D61" t="inlineStr">
        <is>
          <t>The provided code is generated by the Butter Knife Gradle plugin for Android development. It defines resource IDs using annotations to map them to their respective integer values. The `R2` class contains nested classes for each type of resource (e.g., animations, arrays, attributes) with constants representing unique integer identifiers. This setup allows developers to reference these resources in their Android application code without hardcoding the resource</t>
        </is>
      </c>
      <c r="E61" t="n">
        <v>0.0028</v>
      </c>
      <c r="F61" t="n">
        <v>0.0267</v>
      </c>
      <c r="G61" t="n">
        <v>0.0725</v>
      </c>
      <c r="H61" t="inlineStr">
        <is>
          <t>This repository contains backend software components implementing core algorithms with a time complexity of \(O(N)\). The README provides information about the project's purpose, complexity, comments, commits, and code size.</t>
        </is>
      </c>
      <c r="I61" t="n">
        <v>0.0092</v>
      </c>
      <c r="J61" t="n">
        <v>0.2564</v>
      </c>
      <c r="K61" t="n">
        <v>0.3683</v>
      </c>
      <c r="L61" t="inlineStr">
        <is>
          <t>The `R2` class is generated by the ButterKnife Gradle plugin for Android development, providing resource IDs for various UI elements such as animations, arrays, attributes, booleans, colors, dimensions, drawables, IDs, integers, layouts, menus, plurals, strings, styles, and styleable resources. These IDs can be used in the application's layout XML files to reference these resources programm</t>
        </is>
      </c>
      <c r="M61" t="n">
        <v>0.0033</v>
      </c>
      <c r="N61" t="n">
        <v>0.0312</v>
      </c>
      <c r="O61" t="n">
        <v>0.07870000000000001</v>
      </c>
    </row>
    <row r="62">
      <c r="A62" t="inlineStr">
        <is>
          <t>butterknife</t>
        </is>
      </c>
      <c r="B62" t="inlineStr">
        <is>
          <t>butterknife-gradle-plugin/src/test/fixtures/suffix_parsed_properly/src/main/java/butterknife/test/ButteryActivity.java</t>
        </is>
      </c>
      <c r="C62">
        <f>HYPERLINK("https://github.com/JakeWharton/butterknife/blob/master/butterknife-gradle-plugin/src/test/fixtures/suffix_parsed_properly/src/main/java/butterknife/test/ButteryActivity.java")</f>
        <v/>
      </c>
      <c r="D62" t="inlineStr">
        <is>
          <t>The provided code is for a simple Android application that uses Butter Knife library to bind views in an activity. The `ButteryActivity` class has a single view bound using the `@BindView` annotation from Butter Knife. In the `onCreate` method, the `ButterKnife.bind(this)` call initializes the binding process, which sets up the view references based on the IDs defined in the layout</t>
        </is>
      </c>
      <c r="E62" t="n">
        <v>0</v>
      </c>
      <c r="F62" t="n">
        <v>0.0286</v>
      </c>
      <c r="G62" t="n">
        <v>0.0379</v>
      </c>
      <c r="H62" t="inlineStr">
        <is>
          <t>The provided code is for a Butter Knife library test activity in Android development. It uses Butter Knife to bind views from XML layouts to fields annotated with `@BindView`. The class `ButteryActivity` extends `Activity`, initializes the view using `ButterKnife.bind(this)` in its `onCreate` method, and binds the `title` field to a `TextView` identified by ID `R</t>
        </is>
      </c>
      <c r="I62" t="n">
        <v>0.0033</v>
      </c>
      <c r="J62" t="n">
        <v>0.0615</v>
      </c>
      <c r="K62" t="n">
        <v>0.07870000000000001</v>
      </c>
      <c r="L62" t="inlineStr">
        <is>
          <t>This Android activity uses Butter Knife for view binding, which simplifies the process of connecting views defined in XML layouts to their corresponding fields in Java classes. The `ButterKnife.bind(this)` method initializes these bindings when the activity is created, allowing developers to access views by their IDs without manually finding them using findViewById().</t>
        </is>
      </c>
      <c r="M62" t="n">
        <v>0.0035</v>
      </c>
      <c r="N62" t="n">
        <v>0.0323</v>
      </c>
      <c r="O62" t="n">
        <v>0.0806</v>
      </c>
    </row>
    <row r="63">
      <c r="A63" t="inlineStr">
        <is>
          <t>butterknife</t>
        </is>
      </c>
      <c r="B63" t="inlineStr">
        <is>
          <t>butterknife-gradle-plugin/src/test/java/butterknife/plugin/BuildFilesRule.kt</t>
        </is>
      </c>
      <c r="C63">
        <f>HYPERLINK("https://github.com/JakeWharton/butterknife/blob/master/butterknife-gradle-plugin/src/test/java/butterknife/plugin/BuildFilesRule.kt")</f>
        <v/>
      </c>
      <c r="D63" t="inlineStr">
        <is>
          <t>The `BuildFilesRule` class is a JUnit rule that ensures both `settings.gradle` and `build.gradle` files exist in the specified directory (`root`). If either file does not exist, it creates them by writing empty strings to `settings.gradle`. The `build.gradle` file is copied from a template located at `../../build.gradle`, ensuring consistency across different projects. This setup helps maintain</t>
        </is>
      </c>
      <c r="E63" t="n">
        <v>0.004</v>
      </c>
      <c r="F63" t="n">
        <v>0.0294</v>
      </c>
      <c r="G63" t="n">
        <v>0.07870000000000001</v>
      </c>
      <c r="H63" t="inlineStr">
        <is>
          <t>Manages build files for Android projects by ensuring `settings.gradle` and `build.gradle` exist in the specified directory. If either file is missing, it creates them with default content from a template located at `../../build.gradle`.</t>
        </is>
      </c>
      <c r="I63" t="n">
        <v>0.0056</v>
      </c>
      <c r="J63" t="n">
        <v>0.0455</v>
      </c>
      <c r="K63" t="n">
        <v>0.0476</v>
      </c>
      <c r="L63" t="inlineStr">
        <is>
          <t>This rule ensures that `settings.gradle` and `build.gradle` files exist in the specified project directory. If either file is missing, it creates them by copying templates from the parent directory. The rule uses assertions to verify the existence and content of these files during tests.</t>
        </is>
      </c>
      <c r="M63" t="n">
        <v>0.005</v>
      </c>
      <c r="N63" t="n">
        <v>0.0741</v>
      </c>
      <c r="O63" t="n">
        <v>0.1293</v>
      </c>
    </row>
    <row r="64">
      <c r="A64" t="inlineStr">
        <is>
          <t>butterknife</t>
        </is>
      </c>
      <c r="B64" t="inlineStr">
        <is>
          <t>butterknife-gradle-plugin/src/test/java/butterknife/plugin/AndroidHome.kt</t>
        </is>
      </c>
      <c r="C64">
        <f>HYPERLINK("https://github.com/JakeWharton/butterknife/blob/master/butterknife-gradle-plugin/src/test/java/butterknife/plugin/AndroidHome.kt")</f>
        <v/>
      </c>
      <c r="D64" t="inlineStr">
        <is>
          <t>The `androidHome` function retrieves the path to the Android SDK by checking for the `ANDROID_HOME` environment variable first. If it's not set, it looks for a `local.properties` file in the parent directory of the current working directory, which should contain the `sdk.dir` property specifying the SDK location. If neither is found, it throws an exception indicating that the necessary configuration is missing</t>
        </is>
      </c>
      <c r="E64" t="n">
        <v>0</v>
      </c>
      <c r="F64" t="n">
        <v>0.027</v>
      </c>
      <c r="G64" t="n">
        <v>0.0373</v>
      </c>
      <c r="H64" t="inlineStr">
        <is>
          <t>Finds the Android SDK home directory by checking the `ANDROID_HOME` environment variable first, then looking for a `local.properties` file in the parent directory of the current working directory. If neither is found, it throws an exception indicating that the required environment variable or configuration file is missing.</t>
        </is>
      </c>
      <c r="I64" t="n">
        <v>0</v>
      </c>
      <c r="J64" t="n">
        <v>0</v>
      </c>
      <c r="K64" t="n">
        <v>0.042</v>
      </c>
      <c r="L64" t="inlineStr">
        <is>
          <t>The `androidHome` function retrieves the Android SDK path by checking for the `ANDROID_HOME` environment variable first. If not found, it looks for a `local.properties` file in the parent directory of the current working directory, which contains the `sdk.dir` property. If neither is available, it throws an exception indicating that the required environment variables are missing.</t>
        </is>
      </c>
      <c r="M64" t="n">
        <v>0</v>
      </c>
      <c r="N64" t="n">
        <v>0.0303</v>
      </c>
      <c r="O64" t="n">
        <v>0.0394</v>
      </c>
    </row>
    <row r="65">
      <c r="A65" t="inlineStr">
        <is>
          <t>butterknife</t>
        </is>
      </c>
      <c r="B65" t="inlineStr">
        <is>
          <t>butterknife-gradle-plugin/src/test/java/butterknife/plugin/FixturesTest.kt</t>
        </is>
      </c>
      <c r="C65">
        <f>HYPERLINK("https://github.com/JakeWharton/butterknife/blob/master/butterknife-gradle-plugin/src/test/java/butterknife/plugin/FixturesTest.kt")</f>
        <v/>
      </c>
      <c r="D65" t="inlineStr">
        <is>
          <t>The `FixturesTest` class is part of a testing suite for a library called Butter Knife using Gradle as the build tool. It tests various configurations and builds within different directories specified in the `fixtureRoot`. The test sets up the Android SDK path and runs specific Gradle tasks to clean, assemble debug, and release versions of the project. The test uses parameterized inputs with different fixture roots</t>
        </is>
      </c>
      <c r="E65" t="n">
        <v>0.0028</v>
      </c>
      <c r="F65" t="n">
        <v>0.027</v>
      </c>
      <c r="G65" t="n">
        <v>0.0725</v>
      </c>
      <c r="H65" t="inlineStr">
        <is>
          <t>The repository contains backend software components with implementations of core algorithms. The complexity is O(N), indicating linear time complexity for certain operations.</t>
        </is>
      </c>
      <c r="I65" t="n">
        <v>0.0103</v>
      </c>
      <c r="J65" t="n">
        <v>0.1935</v>
      </c>
      <c r="K65" t="n">
        <v>0.1596</v>
      </c>
      <c r="L65" t="inlineStr">
        <is>
          <t>This test suite runs various Android projects using Butter Knife for dependency injection, verifying that the plugin works correctly across different configurations such as clean builds, debug assemblies, and release assemblies. It uses parameterized testing to run tests against multiple project fixtures located under `fixtureRoot`. The setup includes setting up the Android SDK path and writing necessary properties files before executing the Gradle tasks.</t>
        </is>
      </c>
      <c r="M65" t="n">
        <v>0.0034</v>
      </c>
      <c r="N65" t="n">
        <v>0.0556</v>
      </c>
      <c r="O65" t="n">
        <v>0.1103</v>
      </c>
    </row>
    <row r="66">
      <c r="A66" t="inlineStr">
        <is>
          <t>butterknife</t>
        </is>
      </c>
      <c r="B66" t="inlineStr">
        <is>
          <t>butterknife-gradle-plugin/src/test/java/butterknife/plugin/FinalRClassBuilderTest.kt</t>
        </is>
      </c>
      <c r="C66">
        <f>HYPERLINK("https://github.com/JakeWharton/butterknife/blob/master/butterknife-gradle-plugin/src/test/java/butterknife/plugin/FinalRClassBuilderTest.kt")</f>
        <v/>
      </c>
      <c r="D66" t="inlineStr">
        <is>
          <t>The `FinalRClassBuilderTest` class is a JUnit test for the `brewJava` method in the `FinalRClassBuilder` class within the `butterknife.plugin` package. The test checks if the generated R2.java file matches the expected content by comparing them after writing to disk. It uses Google Truth for assertions and temporary folders from JUnit Rules to manage files during testing</t>
        </is>
      </c>
      <c r="E66" t="n">
        <v>0.0033</v>
      </c>
      <c r="F66" t="n">
        <v>0.0308</v>
      </c>
      <c r="G66" t="n">
        <v>0.07870000000000001</v>
      </c>
      <c r="H66" t="inlineStr">
        <is>
          <t>The code is a test suite for `FinalRClassBuilder`, which generates Java files from R.txt files. It uses Google Truth to compare generated Java files with expected ones and verifies that they match. The complexity is O(N) due to file operations and string comparisons.</t>
        </is>
      </c>
      <c r="I66" t="n">
        <v>0.0043</v>
      </c>
      <c r="J66" t="n">
        <v>0.0377</v>
      </c>
      <c r="K66" t="n">
        <v>0.08699999999999999</v>
      </c>
      <c r="L66" t="inlineStr">
        <is>
          <t>The `FinalRClassBuilder` class tests the generation of R classes from text files using Butter Knife's plugin. It uses JUnit for testing and Google Truth for assertions. The test checks if the generated Java file matches the expected content by comparing them after writing the text file to disk.</t>
        </is>
      </c>
      <c r="M66" t="n">
        <v>0.0038</v>
      </c>
      <c r="N66" t="n">
        <v>0.0351</v>
      </c>
      <c r="O66" t="n">
        <v>0.0833</v>
      </c>
    </row>
    <row r="67">
      <c r="A67" t="inlineStr">
        <is>
          <t>butterknife</t>
        </is>
      </c>
      <c r="B67" t="inlineStr">
        <is>
          <t>butterknife-annotations/src/main/java/butterknife/BindDrawable.java</t>
        </is>
      </c>
      <c r="C67">
        <f>HYPERLINK("https://github.com/JakeWharton/butterknife/blob/master/butterknife-annotations/src/main/java/butterknife/BindDrawable.java")</f>
        <v/>
      </c>
      <c r="D67" t="inlineStr">
        <is>
          <t>The provided Java annotation `@BindDrawable` from the Butterknife library allows developers to bind fields in their Android activities or fragments to specific drawable resources with optional tinting using color attributes. The annotation takes two parameters: `value`, which specifies the drawable resource ID, and `tint`, which specifies the color attribute resource ID for tinting the drawable. This makes it easier to manage UI elements</t>
        </is>
      </c>
      <c r="E67" t="n">
        <v>0.0034</v>
      </c>
      <c r="F67" t="n">
        <v>0.0282</v>
      </c>
      <c r="G67" t="n">
        <v>0.1111</v>
      </c>
      <c r="H67" t="inlineStr">
        <is>
          <t>This repository contains backend software components implementing core algorithms.</t>
        </is>
      </c>
      <c r="I67" t="n">
        <v>0.0316</v>
      </c>
      <c r="J67" t="n">
        <v>0.4706</v>
      </c>
      <c r="K67" t="n">
        <v>0.3897</v>
      </c>
      <c r="L67" t="inlineStr">
        <is>
          <t>This annotation binds a field to a drawable resource ID, allowing for optional tinting using a color attribute resource ID. It supports binding both plain and tinted drawables.</t>
        </is>
      </c>
      <c r="M67" t="n">
        <v>0.008</v>
      </c>
      <c r="N67" t="n">
        <v>0.1111</v>
      </c>
      <c r="O67" t="n">
        <v>0.15</v>
      </c>
    </row>
    <row r="68">
      <c r="A68" t="inlineStr">
        <is>
          <t>butterknife</t>
        </is>
      </c>
      <c r="B68" t="inlineStr">
        <is>
          <t>butterknife-annotations/src/main/java/butterknife/OnEditorAction.java</t>
        </is>
      </c>
      <c r="C68">
        <f>HYPERLINK("https://github.com/JakeWharton/butterknife/blob/master/butterknife-annotations/src/main/java/butterknife/OnEditorAction.java")</f>
        <v/>
      </c>
      <c r="D68" t="inlineStr">
        <is>
          <t>The provided code defines a Butterknife annotation `@OnEditorAction` that binds methods annotated with it to `TextView.OnEditorActionListener` interfaces on views identified by their IDs. The methods can have any number of parameters corresponding to the arguments in the `onEditorAction` method signature, and they must return either `void` or `boolean`. This allows developers to easily handle editor action events directly</t>
        </is>
      </c>
      <c r="E68" t="n">
        <v>0.0037</v>
      </c>
      <c r="F68" t="n">
        <v>0.0299</v>
      </c>
      <c r="G68" t="n">
        <v>0.0769</v>
      </c>
      <c r="H68" t="inlineStr">
        <is>
          <t>This repository contains backend software components implementing core algorithms with a time complexity of O(N), featuring detailed comments explaining implementation details and initial commits. The total size of the codebase is 1000 lines.</t>
        </is>
      </c>
      <c r="I68" t="n">
        <v>0.008</v>
      </c>
      <c r="J68" t="n">
        <v>0.2381</v>
      </c>
      <c r="K68" t="n">
        <v>0.2381</v>
      </c>
      <c r="L68" t="inlineStr">
        <is>
          <t>This code provides annotations for binding methods to `OnEditorActionListener` interfaces on Android views based on their IDs. It allows developers to specify which methods should handle editor action events for specific UI elements, enhancing event handling in Android applications. The annotations can take multiple parameters corresponding to the arguments expected by the listener interface's `onEditorAction` method.</t>
        </is>
      </c>
      <c r="M68" t="n">
        <v>0.0033</v>
      </c>
      <c r="N68" t="n">
        <v>0.0308</v>
      </c>
      <c r="O68" t="n">
        <v>0.0391</v>
      </c>
    </row>
    <row r="69">
      <c r="A69" t="inlineStr">
        <is>
          <t>butterknife</t>
        </is>
      </c>
      <c r="B69" t="inlineStr">
        <is>
          <t>butterknife-annotations/src/main/java/butterknife/BindDimen.java</t>
        </is>
      </c>
      <c r="C69">
        <f>HYPERLINK("https://github.com/JakeWharton/butterknife/blob/master/butterknife-annotations/src/main/java/butterknife/BindDimen.java")</f>
        <v/>
      </c>
      <c r="D69" t="inlineStr">
        <is>
          <t>The `BindDimen` annotation is used in Android development with Butterknife library to bind a field to a specific dimension resource ID. It supports both integer (pixel size) and floating-point (exact amount) values based on the type of the annotated field. The annotation targets fields and retains runtime information, allowing it to be processed by ButterKnife during binding at runtime.</t>
        </is>
      </c>
      <c r="E69" t="n">
        <v>0.0031</v>
      </c>
      <c r="F69" t="n">
        <v>0.0294</v>
      </c>
      <c r="G69" t="n">
        <v>0.07630000000000001</v>
      </c>
      <c r="H69" t="inlineStr">
        <is>
          <t>The code defines an annotation `BindDimen` that binds fields to dimension resources in Android development. It specifies that the annotated field should hold either an integer (for pixel sizes) or a float (for exact amounts). The complexity is O(N), indicating it processes N elements based on the number of dimensions being referenced.</t>
        </is>
      </c>
      <c r="I69" t="n">
        <v>0</v>
      </c>
      <c r="J69" t="n">
        <v>0</v>
      </c>
      <c r="K69" t="n">
        <v>0</v>
      </c>
      <c r="L69" t="inlineStr">
        <is>
          <t>The `BindDimen` annotation is used to bind fields to dimension resources in Android development. It supports both integer (pixel size) and floating-point values (`float`) and is applicable to class fields annotated with `@BindView`. The annotation requires specifying a dimension resource ID using the `value()` attribute.</t>
        </is>
      </c>
      <c r="M69" t="n">
        <v>0.0041</v>
      </c>
      <c r="N69" t="n">
        <v>0.037</v>
      </c>
      <c r="O69" t="n">
        <v>0.08550000000000001</v>
      </c>
    </row>
    <row r="70">
      <c r="A70" t="inlineStr">
        <is>
          <t>butterknife</t>
        </is>
      </c>
      <c r="B70" t="inlineStr">
        <is>
          <t>butterknife-annotations/src/main/java/butterknife/OnTextChanged.java</t>
        </is>
      </c>
      <c r="C70">
        <f>HYPERLINK("https://github.com/JakeWharton/butterknife/blob/master/butterknife-annotations/src/main/java/butterknife/OnTextChanged.java")</f>
        <v/>
      </c>
      <c r="D70" t="inlineStr">
        <is>
          <t>The provided code is part of a library called Butter Knife, which simplifies the process of binding UI elements in Android applications by reducing boilerplate code. The `@OnTextChanged` annotation allows developers to easily attach a method to handle changes in the text of a specific view (identified by its resource ID).
Here's a concise summary of the functionality:
- **Annotation**: `@OnTextChanged`</t>
        </is>
      </c>
      <c r="E70" t="n">
        <v>0</v>
      </c>
      <c r="F70" t="n">
        <v>0.029</v>
      </c>
      <c r="G70" t="n">
        <v>0.0376</v>
      </c>
      <c r="H70" t="inlineStr">
        <is>
          <t>The repository contains backend software components that implement core algorithms. The complexity is O(N), indicating linear time complexity in relation to input size N. Comments provide detailed implementation details, while commits include an initial codebase creation. The total code size is 1000 lines.</t>
        </is>
      </c>
      <c r="I70" t="n">
        <v>0.0051</v>
      </c>
      <c r="J70" t="n">
        <v>0.1154</v>
      </c>
      <c r="K70" t="n">
        <v>0.1304</v>
      </c>
      <c r="L70" t="inlineStr">
        <is>
          <t>The code provides annotations for binding methods to `TextWatcher` instances on views based on their IDs. It supports multiple parameters for `onTextChanged`, allowing developers to customize how they handle text changes. The annotations can also be used to bind to other types of listeners by specifying a custom callback method name.</t>
        </is>
      </c>
      <c r="M70" t="n">
        <v>0</v>
      </c>
      <c r="N70" t="n">
        <v>0</v>
      </c>
      <c r="O70" t="n">
        <v>0.0407</v>
      </c>
    </row>
    <row r="71">
      <c r="A71" t="inlineStr">
        <is>
          <t>butterknife</t>
        </is>
      </c>
      <c r="B71" t="inlineStr">
        <is>
          <t>butterknife-annotations/src/main/java/butterknife/OnCheckedChanged.java</t>
        </is>
      </c>
      <c r="C71">
        <f>HYPERLINK("https://github.com/JakeWharton/butterknife/blob/master/butterknife-annotations/src/main/java/butterknife/OnCheckedChanged.java")</f>
        <v/>
      </c>
      <c r="D71" t="inlineStr">
        <is>
          <t>The provided code is part of a library called Butterknife, which simplifies the process of binding views in Android applications by using annotations instead of findViewById(). The `@OnCheckedChanged` annotation binds a method to an `OnCheckedChangeListener` for each compound button with the specified IDs. This allows developers to handle checkbox state changes without manually setting up listeners in their activities or fragments.</t>
        </is>
      </c>
      <c r="E71" t="n">
        <v>0.003</v>
      </c>
      <c r="F71" t="n">
        <v>0.029</v>
      </c>
      <c r="G71" t="n">
        <v>0.0752</v>
      </c>
      <c r="H71" t="inlineStr">
        <is>
          <t>This repository contains backend software components that implement core algorithms. The complexity is O(N), indicating linear time complexity in relation to input size N. The comments describe the implementation of these algorithms, while the commits record the initial creation of the codebase. The total code size is 1000 lines.</t>
        </is>
      </c>
      <c r="I71" t="n">
        <v>0.0049</v>
      </c>
      <c r="J71" t="n">
        <v>0.1379</v>
      </c>
      <c r="K71" t="n">
        <v>0.1653</v>
      </c>
      <c r="L71" t="inlineStr">
        <is>
          <t>This annotation is used to bind a method to an `OnCheckedChangeListener` on multiple views identified by their IDs. It allows developers to handle compound button state changes across different UI elements efficiently. The annotated method can accept any number of parameters corresponding to the arguments of the `onCheckedChanged` callback.</t>
        </is>
      </c>
      <c r="M71" t="n">
        <v>0.0037</v>
      </c>
      <c r="N71" t="n">
        <v>0.0351</v>
      </c>
      <c r="O71" t="n">
        <v>0.08260000000000001</v>
      </c>
    </row>
    <row r="72">
      <c r="A72" t="inlineStr">
        <is>
          <t>butterknife</t>
        </is>
      </c>
      <c r="B72" t="inlineStr">
        <is>
          <t>butterknife-annotations/src/main/java/butterknife/BindAnim.java</t>
        </is>
      </c>
      <c r="C72">
        <f>HYPERLINK("https://github.com/JakeWharton/butterknife/blob/master/butterknife-annotations/src/main/java/butterknife/BindAnim.java")</f>
        <v/>
      </c>
      <c r="D72" t="inlineStr">
        <is>
          <t>The provided code defines a custom annotation `@BindAnim` in the `butterknife` package. This annotation is used to bind a field to a specific animation resource ID. The annotation targets fields and retains runtime information, allowing it to be processed by tools like Butter Knife during compilation. It includes a method `value()` that specifies the animation resource ID associated with the annotated field.</t>
        </is>
      </c>
      <c r="E72" t="n">
        <v>0.0035</v>
      </c>
      <c r="F72" t="n">
        <v>0.0571</v>
      </c>
      <c r="G72" t="n">
        <v>0.1119</v>
      </c>
      <c r="H72" t="inlineStr">
        <is>
          <t>The provided code defines a Java annotation called `BindAnim` that is used in Android development to bind fields to animation resources. The annotation specifies the animation resource ID for each annotated field. This allows developers to easily manage animations within their Android applications by using annotations instead of hardcoding resource IDs directly into the code.</t>
        </is>
      </c>
      <c r="I72" t="n">
        <v>0.0033</v>
      </c>
      <c r="J72" t="n">
        <v>0.0317</v>
      </c>
      <c r="K72" t="n">
        <v>0.07870000000000001</v>
      </c>
      <c r="L72" t="inlineStr">
        <is>
          <t>The `BindAnim` annotation is used to bind a field to a specific animation resource ID. It allows developers to easily specify animations for UI elements within their Android applications using Butter Knife library. The annotation targets fields and retains runtime metadata, enabling automatic binding during view inflation.</t>
        </is>
      </c>
      <c r="M72" t="n">
        <v>0.0039</v>
      </c>
      <c r="N72" t="n">
        <v>0.0364</v>
      </c>
      <c r="O72" t="n">
        <v>0.08400000000000001</v>
      </c>
    </row>
    <row r="73">
      <c r="A73" t="inlineStr">
        <is>
          <t>butterknife</t>
        </is>
      </c>
      <c r="B73" t="inlineStr">
        <is>
          <t>butterknife-annotations/src/main/java/butterknife/OnClick.java</t>
        </is>
      </c>
      <c r="C73">
        <f>HYPERLINK("https://github.com/JakeWharton/butterknife/blob/master/butterknife-annotations/src/main/java/butterknife/OnClick.java")</f>
        <v/>
      </c>
      <c r="D73" t="inlineStr">
        <is>
          <t>The provided code is part of the Butter Knife library, which is designed to simplify Android development by reducing boilerplate code related to binding views and listeners. Specifically, it allows developers to bind methods annotated with `@OnClick` directly to click events on views defined in XML layouts without manually setting up event handlers. The annotation specifies the IDs of the views that should trigger the associated method when clicked. This approach</t>
        </is>
      </c>
      <c r="E73" t="n">
        <v>0.003</v>
      </c>
      <c r="F73" t="n">
        <v>0.0253</v>
      </c>
      <c r="G73" t="n">
        <v>0.1049</v>
      </c>
      <c r="H73" t="inlineStr">
        <is>
          <t>This repository contains backend software components that implement core algorithms. Complexity is O(N), indicating linear time complexity in relation to input size N. The README provides details about the implementation and commits made to the initial codebase.</t>
        </is>
      </c>
      <c r="I73" t="n">
        <v>0.0071</v>
      </c>
      <c r="J73" t="n">
        <v>0.2174</v>
      </c>
      <c r="K73" t="n">
        <v>0.2294</v>
      </c>
      <c r="L73" t="inlineStr">
        <is>
          <t>This annotation binds methods annotated with `@OnClick` to `OnClickListener` instances on views identified by their IDs. It allows developers to easily handle click events on UI elements without manually setting listeners. The annotation supports multiple parameters for the `onClick` method, making it flexible for different use cases.</t>
        </is>
      </c>
      <c r="M73" t="n">
        <v>0.0039</v>
      </c>
      <c r="N73" t="n">
        <v>0.0364</v>
      </c>
      <c r="O73" t="n">
        <v>0.08400000000000001</v>
      </c>
    </row>
    <row r="74">
      <c r="A74" t="inlineStr">
        <is>
          <t>butterknife</t>
        </is>
      </c>
      <c r="B74" t="inlineStr">
        <is>
          <t>butterknife-annotations/src/main/java/butterknife/OnItemLongClick.java</t>
        </is>
      </c>
      <c r="C74">
        <f>HYPERLINK("https://github.com/JakeWharton/butterknife/blob/master/butterknife-annotations/src/main/java/butterknife/OnItemLongClick.java")</f>
        <v/>
      </c>
      <c r="D74" t="inlineStr">
        <is>
          <t>The provided code is part of the Butterknife library, which simplifies the process of binding views in Android applications by reducing boilerplate code. It allows developers to annotate methods with `@OnClick`, `@OnItemClick`, etc., and Butterknife will automatically generate the necessary event listeners at runtime. The example demonstrates how to bind a method to handle item-long-click events on a list view using the `</t>
        </is>
      </c>
      <c r="E74" t="n">
        <v>0.0029</v>
      </c>
      <c r="F74" t="n">
        <v>0.0278</v>
      </c>
      <c r="G74" t="n">
        <v>0.0741</v>
      </c>
      <c r="H74" t="inlineStr">
        <is>
          <t>The repository contains backend software components implementing core algorithms. Complexity is O(N), with comments indicating implementation details. The code size is 1000 lines.</t>
        </is>
      </c>
      <c r="I74" t="n">
        <v>0.0098</v>
      </c>
      <c r="J74" t="n">
        <v>0.1875</v>
      </c>
      <c r="K74" t="n">
        <v>0.1579</v>
      </c>
      <c r="L74" t="inlineStr">
        <is>
          <t>The `@OnItemLongClick` annotation binds a method to handle item-long-click events on views identified by their IDs within an AdapterView. It supports multiple parameters similar to the standard `OnItemLongClickListener`, allowing flexibility in handling click events based on various data points. The annotation is useful for implementing custom behaviors when users perform long clicks on list items.</t>
        </is>
      </c>
      <c r="M74" t="n">
        <v>0</v>
      </c>
      <c r="N74" t="n">
        <v>0.0308</v>
      </c>
      <c r="O74" t="n">
        <v>0.07870000000000001</v>
      </c>
    </row>
    <row r="75">
      <c r="A75" t="inlineStr">
        <is>
          <t>butterknife</t>
        </is>
      </c>
      <c r="B75" t="inlineStr">
        <is>
          <t>butterknife-annotations/src/main/java/butterknife/BindColor.java</t>
        </is>
      </c>
      <c r="C75">
        <f>HYPERLINK("https://github.com/JakeWharton/butterknife/blob/master/butterknife-annotations/src/main/java/butterknife/BindColor.java")</f>
        <v/>
      </c>
      <c r="D75" t="inlineStr">
        <is>
          <t>The provided Java annotation `@BindColor` is used in Android development to bind a field to a specific color resource ID. It supports both integer values and `ColorStateList`. The annotation targets fields and retains runtime information for reflection-based binding mechanisms. This allows developers to easily manage colors within their applications using annotations instead of hardcoding them directly into the code.</t>
        </is>
      </c>
      <c r="E75" t="n">
        <v>0.0037</v>
      </c>
      <c r="F75" t="n">
        <v>0.0294</v>
      </c>
      <c r="G75" t="n">
        <v>0.1145</v>
      </c>
      <c r="H75" t="inlineStr">
        <is>
          <t>The provided Java annotation `@BindColor` is used in Android development to bind fields to color resources. It allows developers to easily reference color values from XML resources within their application's code. The annotation specifies a color resource ID that corresponds to the field it decorates. This makes it easier to manage colors throughout the app by using predefined resources instead of hardcoding them directly into the code.</t>
        </is>
      </c>
      <c r="I75" t="n">
        <v>0.0027</v>
      </c>
      <c r="J75" t="n">
        <v>0.0263</v>
      </c>
      <c r="K75" t="n">
        <v>0.07190000000000001</v>
      </c>
      <c r="L75" t="inlineStr">
        <is>
          <t>The `@BindColor` annotation is used to bind a field to a specific color resource ID in Android development. It supports both integer values and `ColorStateList`, allowing for dynamic styling based on different states. The annotation targets fields and retains runtime metadata, facilitating easy integration into Butterknife's view binding library.</t>
        </is>
      </c>
      <c r="M75" t="n">
        <v>0.0037</v>
      </c>
      <c r="N75" t="n">
        <v>0.0345</v>
      </c>
      <c r="O75" t="n">
        <v>0.08260000000000001</v>
      </c>
    </row>
    <row r="76">
      <c r="A76" t="inlineStr">
        <is>
          <t>butterknife</t>
        </is>
      </c>
      <c r="B76" t="inlineStr">
        <is>
          <t>butterknife-annotations/src/main/java/butterknife/Optional.java</t>
        </is>
      </c>
      <c r="C76">
        <f>HYPERLINK("https://github.com/JakeWharton/butterknife/blob/master/butterknife-annotations/src/main/java/butterknife/Optional.java")</f>
        <v/>
      </c>
      <c r="D76" t="inlineStr">
        <is>
          <t>The `Optional` annotation in the Butterknife library indicates that a method annotated with it should handle cases where the associated view might not be present during runtime. This allows developers to safely call methods without worrying about null pointer exceptions when views are missing from the layout. The annotation targets methods and retains its information at runtime for proper processing by ButterKnife's binding mechanism.</t>
        </is>
      </c>
      <c r="E76" t="n">
        <v>0.0034</v>
      </c>
      <c r="F76" t="n">
        <v>0.0548</v>
      </c>
      <c r="G76" t="n">
        <v>0.0735</v>
      </c>
      <c r="H76" t="inlineStr">
        <is>
          <t>The code defines an annotation `@Optional` in the Butterknife library for Android development, which indicates that a view specified by the annotation may not be present during runtime. This allows developers to handle cases where views might not exist without causing errors. The complexity of this implementation is O(1), as it involves basic annotation processing.</t>
        </is>
      </c>
      <c r="I76" t="n">
        <v>0.0033</v>
      </c>
      <c r="J76" t="n">
        <v>0.0625</v>
      </c>
      <c r="K76" t="n">
        <v>0.07870000000000001</v>
      </c>
      <c r="L76" t="inlineStr">
        <is>
          <t>The `@Optional` annotation in the Butterknife library indicates that the associated view may not always be present during runtime, allowing for more flexible UI interactions without causing errors when views are missing. It allows developers to handle cases where certain views might not exist, ensuring smoother application performance and user experience.</t>
        </is>
      </c>
      <c r="M76" t="n">
        <v>0.0036</v>
      </c>
      <c r="N76" t="n">
        <v>0.0339</v>
      </c>
      <c r="O76" t="n">
        <v>0.0407</v>
      </c>
    </row>
    <row r="77">
      <c r="A77" t="inlineStr">
        <is>
          <t>butterknife</t>
        </is>
      </c>
      <c r="B77" t="inlineStr">
        <is>
          <t>butterknife-annotations/src/main/java/butterknife/OnItemClick.java</t>
        </is>
      </c>
      <c r="C77">
        <f>HYPERLINK("https://github.com/JakeWharton/butterknife/blob/master/butterknife-annotations/src/main/java/butterknife/OnItemClick.java")</f>
        <v/>
      </c>
      <c r="D77" t="inlineStr">
        <is>
          <t>The provided code is part of the Butterknife library, which simplifies the process of binding views in Android applications by reducing boilerplate code. The `@OnItemClick` annotation allows developers to bind methods to `OnItemClickListener` listeners for multiple view IDs, making it easier to manage event handling logic without manually setting up click listeners for each item in a list or grid view. This reduces redundancy and improves</t>
        </is>
      </c>
      <c r="E77" t="n">
        <v>0.0033</v>
      </c>
      <c r="F77" t="n">
        <v>0.0541</v>
      </c>
      <c r="G77" t="n">
        <v>0.1087</v>
      </c>
      <c r="H77" t="inlineStr">
        <is>
          <t>This repository contains backend software components implementing core algorithms.</t>
        </is>
      </c>
      <c r="I77" t="n">
        <v>0.0316</v>
      </c>
      <c r="J77" t="n">
        <v>0.4706</v>
      </c>
      <c r="K77" t="n">
        <v>0.3897</v>
      </c>
      <c r="L77" t="inlineStr">
        <is>
          <t>This annotation binds methods annotated with `@OnItemClick` to `OnItemClickListener` listeners on views identified by their IDs. It allows developers to easily attach click event handlers to list items within Android applications using Butterknife library. The annotation supports multiple parameters corresponding to different aspects of the `OnItemClickListener` interface.</t>
        </is>
      </c>
      <c r="M77" t="n">
        <v>0.0039</v>
      </c>
      <c r="N77" t="n">
        <v>0.0364</v>
      </c>
      <c r="O77" t="n">
        <v>0.08400000000000001</v>
      </c>
    </row>
    <row r="78">
      <c r="A78" t="inlineStr">
        <is>
          <t>butterknife</t>
        </is>
      </c>
      <c r="B78" t="inlineStr">
        <is>
          <t>butterknife-annotations/src/main/java/butterknife/OnFocusChange.java</t>
        </is>
      </c>
      <c r="C78">
        <f>HYPERLINK("https://github.com/JakeWharton/butterknife/blob/master/butterknife-annotations/src/main/java/butterknife/OnFocusChange.java")</f>
        <v/>
      </c>
      <c r="D78" t="inlineStr">
        <is>
          <t>The provided code defines a Butterknife annotation `@OnFocusChange` that binds methods to `OnFocusChangeListener` interfaces on views based on their IDs. The annotated method can have any number of parameters corresponding to the `OnFocusChangeListener` interface's `onFocusChange` method. This allows developers to easily handle focus change events in Android applications using annotations instead of writing boilerplate event listeners.</t>
        </is>
      </c>
      <c r="E78" t="n">
        <v>0.0033</v>
      </c>
      <c r="F78" t="n">
        <v>0.0308</v>
      </c>
      <c r="G78" t="n">
        <v>0.0781</v>
      </c>
      <c r="H78" t="inlineStr">
        <is>
          <t>The repository contains backend software components that implement core algorithms. Complexity is O(N), indicating linear time complexity in relation to input size N. The code size is 1000 lines, suggesting it includes multiple files or modules with various functionalities.</t>
        </is>
      </c>
      <c r="I78" t="n">
        <v>0.0056</v>
      </c>
      <c r="J78" t="n">
        <v>0.1667</v>
      </c>
      <c r="K78" t="n">
        <v>0.2843</v>
      </c>
      <c r="L78" t="inlineStr">
        <is>
          <t>The `@OnFocusChange` annotation binds a method to an `OnFocusChangeListener` on views identified by their IDs, allowing developers to handle focus change events on these views. The annotated method can accept any number of parameters corresponding to the methods of `OnFocusChangeListener`. This is useful for implementing custom behaviors when a view gains or loses focus.</t>
        </is>
      </c>
      <c r="M78" t="n">
        <v>0.0034</v>
      </c>
      <c r="N78" t="n">
        <v>0.0645</v>
      </c>
      <c r="O78" t="n">
        <v>0.119</v>
      </c>
    </row>
    <row r="79">
      <c r="A79" t="inlineStr">
        <is>
          <t>butterknife</t>
        </is>
      </c>
      <c r="B79" t="inlineStr">
        <is>
          <t>butterknife-annotations/src/main/java/butterknife/BindBool.java</t>
        </is>
      </c>
      <c r="C79">
        <f>HYPERLINK("https://github.com/JakeWharton/butterknife/blob/master/butterknife-annotations/src/main/java/butterknife/BindBool.java")</f>
        <v/>
      </c>
      <c r="D79" t="inlineStr">
        <is>
          <t>The provided Java annotation `@BindBool` from the Butterknife library allows developers to bind fields in their Android activities or fragments to boolean resources. It specifies that the annotated field should be initialized with the value of the given boolean resource ID at runtime. The annotation targets fields and retains its metadata across compilation using the RUNTIME retention policy. This enables efficient binding during layout inflation without manual initialization.</t>
        </is>
      </c>
      <c r="E79" t="n">
        <v>0.0032</v>
      </c>
      <c r="F79" t="n">
        <v>0.0263</v>
      </c>
      <c r="G79" t="n">
        <v>0.1071</v>
      </c>
      <c r="H79" t="inlineStr">
        <is>
          <t>This repository contains backend software components implementing core algorithms.</t>
        </is>
      </c>
      <c r="I79" t="n">
        <v>0.0316</v>
      </c>
      <c r="J79" t="n">
        <v>0.4706</v>
      </c>
      <c r="K79" t="n">
        <v>0.3897</v>
      </c>
      <c r="L79" t="inlineStr">
        <is>
          <t>This annotation binds a boolean field to a specific boolean resource ID using ButterKnife library, allowing for easy UI component binding in Android applications.</t>
        </is>
      </c>
      <c r="M79" t="n">
        <v>0.007900000000000001</v>
      </c>
      <c r="N79" t="n">
        <v>0.0625</v>
      </c>
      <c r="O79" t="n">
        <v>0.1042</v>
      </c>
    </row>
    <row r="80">
      <c r="A80" t="inlineStr">
        <is>
          <t>butterknife</t>
        </is>
      </c>
      <c r="B80" t="inlineStr">
        <is>
          <t>butterknife-annotations/src/main/java/butterknife/BindView.java</t>
        </is>
      </c>
      <c r="C80">
        <f>HYPERLINK("https://github.com/JakeWharton/butterknife/blob/master/butterknife-annotations/src/main/java/butterknife/BindView.java")</f>
        <v/>
      </c>
      <c r="D80" t="inlineStr">
        <is>
          <t>The `BindView` annotation is used in Android development with Butterknife library to bind views to fields within activities or fragments by their resource IDs. It simplifies the process of finding and casting views directly from XML layouts to Java objects.</t>
        </is>
      </c>
      <c r="E80" t="n">
        <v>0.0046</v>
      </c>
      <c r="F80" t="n">
        <v>0.0417</v>
      </c>
      <c r="G80" t="n">
        <v>0.0893</v>
      </c>
      <c r="H80" t="inlineStr">
        <is>
          <t>The provided Java code defines a custom annotation `@BindView` in the Butterknife library package. This annotation is used to bind fields to views by their IDs, ensuring that the views are automatically cast to the correct types. It supports binding multiple fields at once using arrays or lists. The complexity of this implementation is O(N), where N represents the number of fields annotated with `@BindView`.</t>
        </is>
      </c>
      <c r="I80" t="n">
        <v>0.0028</v>
      </c>
      <c r="J80" t="n">
        <v>0.0541</v>
      </c>
      <c r="K80" t="n">
        <v>0.1095</v>
      </c>
      <c r="L80" t="inlineStr">
        <is>
          <t>The `@BindView` annotation is used to bind fields in Android activities or fragments to views by their resource IDs. It simplifies the process of finding and casting views, reducing boilerplate code and improving readability.</t>
        </is>
      </c>
      <c r="M80" t="n">
        <v>0.0055</v>
      </c>
      <c r="N80" t="n">
        <v>0.0476</v>
      </c>
      <c r="O80" t="n">
        <v>0.09429999999999999</v>
      </c>
    </row>
    <row r="81">
      <c r="A81" t="inlineStr">
        <is>
          <t>butterknife</t>
        </is>
      </c>
      <c r="B81" t="inlineStr">
        <is>
          <t>butterknife-annotations/src/main/java/butterknife/BindViews.java</t>
        </is>
      </c>
      <c r="C81">
        <f>HYPERLINK("https://github.com/JakeWharton/butterknife/blob/master/butterknife-annotations/src/main/java/butterknife/BindViews.java")</f>
        <v/>
      </c>
      <c r="D81" t="inlineStr">
        <is>
          <t>The `BindViews` annotation is used in Android development with Butterknife library to bind multiple views to a single field. It allows developers to specify multiple view IDs that should be associated with the annotated field, which will then hold references to these views after binding. This simplifies the process of accessing multiple views within an activity or fragment by reducing boilerplate code.</t>
        </is>
      </c>
      <c r="E81" t="n">
        <v>0.0029</v>
      </c>
      <c r="F81" t="n">
        <v>0.0286</v>
      </c>
      <c r="G81" t="n">
        <v>0.0746</v>
      </c>
      <c r="H81" t="inlineStr">
        <is>
          <t>The provided code defines an annotation `@BindViews` that is used in Android development to bind multiple views with the same ID to a list or array of fields. This allows developers to easily manage collections of views by binding them directly to their respective fields. The complexity of this implementation is O(N), where N is the number of view IDs being bound.</t>
        </is>
      </c>
      <c r="I81" t="n">
        <v>0.0029</v>
      </c>
      <c r="J81" t="n">
        <v>0.0563</v>
      </c>
      <c r="K81" t="n">
        <v>0.1119</v>
      </c>
      <c r="L81" t="inlineStr">
        <is>
          <t>The `BindViews` annotation is used to bind multiple views identified by their resource IDs to a single field. It allows developers to initialize lists of views at once using annotations, enhancing code readability and reducing boilerplate.</t>
        </is>
      </c>
      <c r="M81" t="n">
        <v>0.0052</v>
      </c>
      <c r="N81" t="n">
        <v>0.0455</v>
      </c>
      <c r="O81" t="n">
        <v>0.0926</v>
      </c>
    </row>
    <row r="82">
      <c r="A82" t="inlineStr">
        <is>
          <t>butterknife</t>
        </is>
      </c>
      <c r="B82" t="inlineStr">
        <is>
          <t>butterknife-annotations/src/main/java/butterknife/OnTouch.java</t>
        </is>
      </c>
      <c r="C82">
        <f>HYPERLINK("https://github.com/JakeWharton/butterknife/blob/master/butterknife-annotations/src/main/java/butterknife/OnTouch.java")</f>
        <v/>
      </c>
      <c r="D82" t="inlineStr">
        <is>
          <t>The provided code defines a `@OnTouch` annotation in the Butterknife library, which binds methods annotated with this annotation to `OnTouchListener` listeners on views identified by their IDs. The annotated method can have any number of parameters corresponding to those expected by the `onTouch` method of `OnTouchListener`. If the method returns `void`, it implicitly returns `true`. This allows developers to easily</t>
        </is>
      </c>
      <c r="E82" t="n">
        <v>0.003</v>
      </c>
      <c r="F82" t="n">
        <v>0.0294</v>
      </c>
      <c r="G82" t="n">
        <v>0.0379</v>
      </c>
      <c r="H82" t="inlineStr">
        <is>
          <t>Manages touch listeners for views based on their IDs.</t>
        </is>
      </c>
      <c r="I82" t="n">
        <v>0</v>
      </c>
      <c r="J82" t="n">
        <v>0</v>
      </c>
      <c r="K82" t="n">
        <v>0</v>
      </c>
      <c r="L82" t="inlineStr">
        <is>
          <t>The `@OnTouch` annotation binds methods annotated with it to `OnTouchListener` listeners on views based on their IDs. It allows developers to define touch event handling logic within methods that take parameters corresponding to those expected by the `OnTouchListener`. The annotation supports any number of parameters from the `onTouch` method, returning `true` if no further processing is needed after the event handler completes.</t>
        </is>
      </c>
      <c r="M82" t="n">
        <v>0</v>
      </c>
      <c r="N82" t="n">
        <v>0.0286</v>
      </c>
      <c r="O82" t="n">
        <v>0</v>
      </c>
    </row>
    <row r="83">
      <c r="A83" t="inlineStr">
        <is>
          <t>butterknife</t>
        </is>
      </c>
      <c r="B83" t="inlineStr">
        <is>
          <t>butterknife-annotations/src/main/java/butterknife/BindFont.java</t>
        </is>
      </c>
      <c r="C83">
        <f>HYPERLINK("https://github.com/JakeWharton/butterknife/blob/master/butterknife-annotations/src/main/java/butterknife/BindFont.java")</f>
        <v/>
      </c>
      <c r="D83" t="inlineStr">
        <is>
          <t>The `BindFont` annotation is used in Android development to bind a field to a specific font resource ID from the app's assets folder. It allows developers to easily apply custom fonts to their UI elements by specifying the desired font file using its resource identifier (`R.font.`). The annotation also supports setting the font style (normal, bold, italic, or bold-italic) through the `style()`</t>
        </is>
      </c>
      <c r="E83" t="n">
        <v>0</v>
      </c>
      <c r="F83" t="n">
        <v>0</v>
      </c>
      <c r="G83" t="n">
        <v>0.0373</v>
      </c>
      <c r="H83" t="inlineStr">
        <is>
          <t>The provided code defines an annotation `@BindFont` for binding fields in Android applications to custom fonts using their resource IDs. The annotation includes methods to specify the font resource and its style. This allows developers to easily integrate custom fonts into their layouts without manually setting them up each time.</t>
        </is>
      </c>
      <c r="I83" t="n">
        <v>0.0044</v>
      </c>
      <c r="J83" t="n">
        <v>0.0345</v>
      </c>
      <c r="K83" t="n">
        <v>0.123</v>
      </c>
      <c r="L83" t="inlineStr">
        <is>
          <t>The `BindFont` annotation is used to bind a field to a specific font resource ID from the Android framework. It allows developers to easily apply custom fonts to UI elements by specifying the desired font and style within their layout files. The annotation supports various styles such as normal, bold, italic, and bold italic.</t>
        </is>
      </c>
      <c r="M83" t="n">
        <v>0.0034</v>
      </c>
      <c r="N83" t="n">
        <v>0.0323</v>
      </c>
      <c r="O83" t="n">
        <v>0.0794</v>
      </c>
    </row>
    <row r="84">
      <c r="A84" t="inlineStr">
        <is>
          <t>butterknife</t>
        </is>
      </c>
      <c r="B84" t="inlineStr">
        <is>
          <t>butterknife-annotations/src/main/java/butterknife/BindString.java</t>
        </is>
      </c>
      <c r="C84">
        <f>HYPERLINK("https://github.com/JakeWharton/butterknife/blob/master/butterknife-annotations/src/main/java/butterknife/BindString.java")</f>
        <v/>
      </c>
      <c r="D84" t="inlineStr">
        <is>
          <t>The provided Java annotation `@BindString` is used in Android development with Butterknife library to bind a field to a specific string resource ID. This allows for easy access to strings defined in the application's resources within the annotated fields. The annotation includes a single attribute `value()` that specifies the integer resource ID of the desired string.</t>
        </is>
      </c>
      <c r="E84" t="n">
        <v>0.0033</v>
      </c>
      <c r="F84" t="n">
        <v>0.0308</v>
      </c>
      <c r="G84" t="n">
        <v>0.0781</v>
      </c>
      <c r="H84" t="inlineStr">
        <is>
          <t>The code defines a custom annotation `@BindString` that is used in Android development to bind fields to string resources. The annotation takes a single parameter specifying the string resource ID. This allows developers to easily reference strings within their application without hardcoding them directly into the code.</t>
        </is>
      </c>
      <c r="I84" t="n">
        <v>0.0039</v>
      </c>
      <c r="J84" t="n">
        <v>0.0364</v>
      </c>
      <c r="K84" t="n">
        <v>0.08400000000000001</v>
      </c>
      <c r="L84" t="inlineStr">
        <is>
          <t>The `BindString` annotation is used to bind a field to a specific string resource ID, allowing for easy localization and dynamic text updates within Android applications. It simplifies the process of accessing strings by reducing boilerplate code and improving code readability.</t>
        </is>
      </c>
      <c r="M84" t="n">
        <v>0.0045</v>
      </c>
      <c r="N84" t="n">
        <v>0.0408</v>
      </c>
      <c r="O84" t="n">
        <v>0.0885</v>
      </c>
    </row>
    <row r="85">
      <c r="A85" t="inlineStr">
        <is>
          <t>butterknife</t>
        </is>
      </c>
      <c r="B85" t="inlineStr">
        <is>
          <t>butterknife-annotations/src/main/java/butterknife/OnItemSelected.java</t>
        </is>
      </c>
      <c r="C85">
        <f>HYPERLINK("https://github.com/JakeWharton/butterknife/blob/master/butterknife-annotations/src/main/java/butterknife/OnItemSelected.java")</f>
        <v/>
      </c>
      <c r="D85" t="inlineStr">
        <is>
          <t>The provided code is part of a library called Butterknife, which is used for binding views in Android applications. The `@OnItemSelected` annotation allows developers to specify that a particular method should be called whenever an item is selected in an AdapterView (such as ListView or Spinner).
Here's a concise summary:
**Functionality:**
- **Annotation:** `@OnItemSelected`
- **Purpose:** B</t>
        </is>
      </c>
      <c r="E85" t="n">
        <v>0</v>
      </c>
      <c r="F85" t="n">
        <v>0.0312</v>
      </c>
      <c r="G85" t="n">
        <v>0.0388</v>
      </c>
      <c r="H85" t="inlineStr">
        <is>
          <t>The repository contains backend software components that implement core algorithms. The complexity is O(N), indicating linear time complexity in relation to input size N. Comments provide details about the implementation of these algorithms.</t>
        </is>
      </c>
      <c r="I85" t="n">
        <v>0.0067</v>
      </c>
      <c r="J85" t="n">
        <v>0.1429</v>
      </c>
      <c r="K85" t="n">
        <v>0.1429</v>
      </c>
      <c r="L85" t="inlineStr">
        <is>
          <t>This package provides annotations and utilities for binding event listeners to views using ButterKnife library. It allows developers to specify which methods should handle different events (e.g., `onItemSelected`) on specific views by their IDs. The library simplifies the process of attaching event handlers without manually writing boilerplate code for each listener interface.</t>
        </is>
      </c>
      <c r="M85" t="n">
        <v>0.0042</v>
      </c>
      <c r="N85" t="n">
        <v>0.06560000000000001</v>
      </c>
      <c r="O85" t="n">
        <v>0.121</v>
      </c>
    </row>
    <row r="86">
      <c r="A86" t="inlineStr">
        <is>
          <t>butterknife</t>
        </is>
      </c>
      <c r="B86" t="inlineStr">
        <is>
          <t>butterknife-annotations/src/main/java/butterknife/OnPageChange.java</t>
        </is>
      </c>
      <c r="C86">
        <f>HYPERLINK("https://github.com/JakeWharton/butterknife/blob/master/butterknife-annotations/src/main/java/butterknife/OnPageChange.java")</f>
        <v/>
      </c>
      <c r="D86" t="inlineStr">
        <is>
          <t>The provided code is part of a library called Butterknife, which simplifies the process of binding views in Android applications using annotations. The `@OnPageChange` annotation binds a method to an `OnPageChangeListener` on a given view, allowing developers to handle page change events such as selection or scroll state changes. This makes it easier to manage UI interactions without manually setting up listeners in Java code</t>
        </is>
      </c>
      <c r="E86" t="n">
        <v>0.0028</v>
      </c>
      <c r="F86" t="n">
        <v>0.0274</v>
      </c>
      <c r="G86" t="n">
        <v>0.073</v>
      </c>
      <c r="H86" t="inlineStr">
        <is>
          <t>The repository contains backend software components with complexity O(N), implementing core algorithms. The README provides information about the project's purpose and structure.</t>
        </is>
      </c>
      <c r="I86" t="n">
        <v>0.0114</v>
      </c>
      <c r="J86" t="n">
        <v>0.25</v>
      </c>
      <c r="K86" t="n">
        <v>0.3358</v>
      </c>
      <c r="L86" t="inlineStr">
        <is>
          <t>The code defines annotations `@OnPageChange` and `@ListenerClass` for binding page change listeners to views using Butterknife library. It allows developers to easily attach event handlers to specific IDs within Android layouts, enhancing code organization and reducing boilerplate. The annotations support multiple parameters and can be applied to any method signature that matches the listener interface's method signatures.</t>
        </is>
      </c>
      <c r="M86" t="n">
        <v>0.0032</v>
      </c>
      <c r="N86" t="n">
        <v>0.0303</v>
      </c>
      <c r="O86" t="n">
        <v>0.0775</v>
      </c>
    </row>
    <row r="87">
      <c r="A87" t="inlineStr">
        <is>
          <t>butterknife</t>
        </is>
      </c>
      <c r="B87" t="inlineStr">
        <is>
          <t>butterknife-annotations/src/main/java/butterknife/BindBitmap.java</t>
        </is>
      </c>
      <c r="C87">
        <f>HYPERLINK("https://github.com/JakeWharton/butterknife/blob/master/butterknife-annotations/src/main/java/butterknife/BindBitmap.java")</f>
        <v/>
      </c>
      <c r="D87" t="inlineStr">
        <is>
          <t>The provided code defines a custom annotation `@BindBitmap` in the `butterknife` package. This annotation is used to bind a field to a `Bitmap` object that is obtained by loading a drawable resource with the specified ID. The annotation targets fields and retains its metadata at runtime. It requires specifying a drawable resource ID using the `value()` attribute.</t>
        </is>
      </c>
      <c r="E87" t="n">
        <v>0.0038</v>
      </c>
      <c r="F87" t="n">
        <v>0.0615</v>
      </c>
      <c r="G87" t="n">
        <v>0.1163</v>
      </c>
      <c r="H87" t="inlineStr">
        <is>
          <t>This repository contains backend software components that implement core algorithms. The complexity is O(N), indicating linear time complexity for certain operations.</t>
        </is>
      </c>
      <c r="I87" t="n">
        <v>0.012</v>
      </c>
      <c r="J87" t="n">
        <v>0.2667</v>
      </c>
      <c r="K87" t="n">
        <v>0.3394</v>
      </c>
      <c r="L87" t="inlineStr">
        <is>
          <t>This annotation binds a field to a `Bitmap` loaded from a specified drawable resource ID, allowing for easy integration of image resources into Android applications using Butterknife library.</t>
        </is>
      </c>
      <c r="M87" t="n">
        <v>0.0067</v>
      </c>
      <c r="N87" t="n">
        <v>0.0556</v>
      </c>
      <c r="O87" t="n">
        <v>0.1</v>
      </c>
    </row>
    <row r="88">
      <c r="A88" t="inlineStr">
        <is>
          <t>butterknife</t>
        </is>
      </c>
      <c r="B88" t="inlineStr">
        <is>
          <t>butterknife-annotations/src/main/java/butterknife/BindInt.java</t>
        </is>
      </c>
      <c r="C88">
        <f>HYPERLINK("https://github.com/JakeWharton/butterknife/blob/master/butterknife-annotations/src/main/java/butterknife/BindInt.java")</f>
        <v/>
      </c>
      <c r="D88" t="inlineStr">
        <is>
          <t>The `BindInt` annotation is used in Android development with Butterknife library to bind fields to integer resources. It allows developers to easily access and manipulate integer values from XML layouts directly within Java or Kotlin classes. The annotation specifies the integer resource ID that corresponds to the field it decorates. This makes it easier to manage UI-related data bindings without manually looking up resource IDs each time they're needed.</t>
        </is>
      </c>
      <c r="E88" t="n">
        <v>0.0031</v>
      </c>
      <c r="F88" t="n">
        <v>0.0253</v>
      </c>
      <c r="G88" t="n">
        <v>0.1064</v>
      </c>
      <c r="H88" t="inlineStr">
        <is>
          <t>The provided Java code defines an annotation `@BindInt` that is used in Android development to bind fields to integer resources. The annotation specifies an integer resource ID where the annotated field should be initialized with its corresponding value from the resource file. This allows for easy access to resources within the application's layout files.</t>
        </is>
      </c>
      <c r="I88" t="n">
        <v>0.0034</v>
      </c>
      <c r="J88" t="n">
        <v>0.0317</v>
      </c>
      <c r="K88" t="n">
        <v>0.0794</v>
      </c>
      <c r="L88" t="inlineStr">
        <is>
          <t>This annotation is used to bind a field to an integer resource ID, allowing for easy access to resources within Android applications. The `value()` method specifies the resource ID associated with the annotated field.</t>
        </is>
      </c>
      <c r="M88" t="n">
        <v>0.0055</v>
      </c>
      <c r="N88" t="n">
        <v>0.0476</v>
      </c>
      <c r="O88" t="n">
        <v>0.09429999999999999</v>
      </c>
    </row>
    <row r="89">
      <c r="A89" t="inlineStr">
        <is>
          <t>butterknife</t>
        </is>
      </c>
      <c r="B89" t="inlineStr">
        <is>
          <t>butterknife-annotations/src/main/java/butterknife/BindArray.java</t>
        </is>
      </c>
      <c r="C89">
        <f>HYPERLINK("https://github.com/JakeWharton/butterknife/blob/master/butterknife-annotations/src/main/java/butterknife/BindArray.java")</f>
        <v/>
      </c>
      <c r="D89" t="inlineStr">
        <is>
          <t>The `BindArray` annotation is used in Android development to bind fields to array resources. It supports different types of arrays such as string, integer, character sequence, and typed arrays. The annotation specifies the resource ID of the array to be bound to the annotated field. This allows for easy access to array data within activities or fragments.</t>
        </is>
      </c>
      <c r="E89" t="n">
        <v>0.0038</v>
      </c>
      <c r="F89" t="n">
        <v>0.0308</v>
      </c>
      <c r="G89" t="n">
        <v>0.1163</v>
      </c>
      <c r="H89" t="inlineStr">
        <is>
          <t>The `BindArray` annotation is used in Android development to bind fields to array resources, allowing for easy access to arrays defined in XML layout files. It supports various types of arrays such as strings, integers, character sequences, and `TypedArray`. This annotation helps streamline data binding processes by reducing boilerplate code.</t>
        </is>
      </c>
      <c r="I89" t="n">
        <v>0.0044</v>
      </c>
      <c r="J89" t="n">
        <v>0.0345</v>
      </c>
      <c r="K89" t="n">
        <v>0.123</v>
      </c>
      <c r="L89" t="inlineStr">
        <is>
          <t>The `@BindArray` annotation is used to bind fields to specific array resources within Android applications. It supports various types of arrays such as string, integer, character sequence, and `TypedArray`, allowing developers to easily access these resources during runtime.</t>
        </is>
      </c>
      <c r="M89" t="n">
        <v>0.0049</v>
      </c>
      <c r="N89" t="n">
        <v>0.0435</v>
      </c>
      <c r="O89" t="n">
        <v>0.09089999999999999</v>
      </c>
    </row>
    <row r="90">
      <c r="A90" t="inlineStr">
        <is>
          <t>butterknife</t>
        </is>
      </c>
      <c r="B90" t="inlineStr">
        <is>
          <t>butterknife-annotations/src/main/java/butterknife/BindFloat.java</t>
        </is>
      </c>
      <c r="C90">
        <f>HYPERLINK("https://github.com/JakeWharton/butterknife/blob/master/butterknife-annotations/src/main/java/butterknife/BindFloat.java")</f>
        <v/>
      </c>
      <c r="D90" t="inlineStr">
        <is>
          <t>The `BindFloat` annotation in the Butterknife library allows developers to bind a floating-point field to a specific dimension resource ID. It ensures that the resource is defined as a float type, providing precise control over the binding process for dimensions with fractional values. The annotation targets fields and uses runtime retention policy, making it suitable for use within Android applications.</t>
        </is>
      </c>
      <c r="E90" t="n">
        <v>0.003</v>
      </c>
      <c r="F90" t="n">
        <v>0.029</v>
      </c>
      <c r="G90" t="n">
        <v>0.07580000000000001</v>
      </c>
      <c r="H90" t="inlineStr">
        <is>
          <t>This repository contains backend software components implementing core algorithms.</t>
        </is>
      </c>
      <c r="I90" t="n">
        <v>0.0316</v>
      </c>
      <c r="J90" t="n">
        <v>0.4706</v>
      </c>
      <c r="K90" t="n">
        <v>0.3897</v>
      </c>
      <c r="L90" t="inlineStr">
        <is>
          <t>This annotation binds a field to a specific floating-point dimension resource ID, ensuring that the resource is correctly formatted as a float. It differs from standard `@BindDimen` by requiring explicit definition of the resource's type as float.</t>
        </is>
      </c>
      <c r="M90" t="n">
        <v>0.005</v>
      </c>
      <c r="N90" t="n">
        <v>0.0426</v>
      </c>
      <c r="O90" t="n">
        <v>0.0459</v>
      </c>
    </row>
    <row r="91">
      <c r="A91" t="inlineStr">
        <is>
          <t>butterknife</t>
        </is>
      </c>
      <c r="B91" t="inlineStr">
        <is>
          <t>butterknife-annotations/src/main/java/butterknife/OnLongClick.java</t>
        </is>
      </c>
      <c r="C91">
        <f>HYPERLINK("https://github.com/JakeWharton/butterknife/blob/master/butterknife-annotations/src/main/java/butterknife/OnLongClick.java")</f>
        <v/>
      </c>
      <c r="D91" t="inlineStr">
        <is>
          <t>The provided code defines a Butter Knife annotation `@OnLongClick` that binds methods annotated with it to `OnLongClickListener` listeners on views identified by their resource IDs. The methods can have any number of parameters corresponding to the `OnLongClickListener`'s signature, and they can optionally return a boolean value indicating whether the event should propagate further. This allows developers to easily handle long-click events</t>
        </is>
      </c>
      <c r="E91" t="n">
        <v>0.0036</v>
      </c>
      <c r="F91" t="n">
        <v>0.0282</v>
      </c>
      <c r="G91" t="n">
        <v>0.0752</v>
      </c>
      <c r="H91" t="inlineStr">
        <is>
          <t>This repository contains backend software components that implement core algorithms. The complexity of these implementations is O(N), indicating linear time complexity in relation to the input size N. The code base has been initialized with the first commit.</t>
        </is>
      </c>
      <c r="I91" t="n">
        <v>0.0064</v>
      </c>
      <c r="J91" t="n">
        <v>0.1702</v>
      </c>
      <c r="K91" t="n">
        <v>0.1818</v>
      </c>
      <c r="L91" t="inlineStr">
        <is>
          <t>The `@OnLongClick` annotation binds a method to an `OnLongClickListener` on a specified view ID, allowing developers to handle long-click events on views efficiently. It supports multiple parameters similar to `OnLongClickListener`, returning true by default if no other return value is specified. The annotation simplifies the process of attaching long-click listeners to views without manually setting up click listeners.</t>
        </is>
      </c>
      <c r="M91" t="n">
        <v>0</v>
      </c>
      <c r="N91" t="n">
        <v>0</v>
      </c>
      <c r="O91" t="n">
        <v>0</v>
      </c>
    </row>
    <row r="92">
      <c r="A92" t="inlineStr">
        <is>
          <t>butterknife</t>
        </is>
      </c>
      <c r="B92" t="inlineStr">
        <is>
          <t>butterknife-annotations/src/main/java/butterknife/internal/Constants.java</t>
        </is>
      </c>
      <c r="C92">
        <f>HYPERLINK("https://github.com/JakeWharton/butterknife/blob/master/butterknife-annotations/src/main/java/butterknife/internal/Constants.java")</f>
        <v/>
      </c>
      <c r="D92" t="inlineStr">
        <is>
          <t>The `Constants` class in the `butterknife.internal` package defines a constant value `NO_RES_ID`, which is set to `-1`. This constant is used as a placeholder for resource IDs that do not exist or have been removed from the application's resources. The complexity of this implementation is O(1) since it involves a simple assignment operation.</t>
        </is>
      </c>
      <c r="E92" t="n">
        <v>0.0035</v>
      </c>
      <c r="F92" t="n">
        <v>0.0606</v>
      </c>
      <c r="G92" t="n">
        <v>0.12</v>
      </c>
      <c r="H92" t="inlineStr">
        <is>
          <t>Provides constants for use in Butterknife library internal classes.</t>
        </is>
      </c>
      <c r="I92" t="n">
        <v>0</v>
      </c>
      <c r="J92" t="n">
        <v>0</v>
      </c>
      <c r="K92" t="n">
        <v>0.0617</v>
      </c>
      <c r="L92" t="inlineStr">
        <is>
          <t>The `Constants` class defines a single constant, `NO_RES_ID`, which is set to `-1`. This value represents a placeholder for resource IDs that are not yet assigned or used within the application. The class includes a private constructor to prevent instantiation, ensuring that only constants can be accessed through the class itself.</t>
        </is>
      </c>
      <c r="M92" t="n">
        <v>0.0036</v>
      </c>
      <c r="N92" t="n">
        <v>0.0328</v>
      </c>
      <c r="O92" t="n">
        <v>0.0813</v>
      </c>
    </row>
    <row r="93">
      <c r="A93" t="inlineStr">
        <is>
          <t>butterknife</t>
        </is>
      </c>
      <c r="B93" t="inlineStr">
        <is>
          <t>butterknife-annotations/src/main/java/butterknife/internal/ListenerMethod.java</t>
        </is>
      </c>
      <c r="C93">
        <f>HYPERLINK("https://github.com/JakeWharton/butterknife/blob/master/butterknife-annotations/src/main/java/butterknife/internal/ListenerMethod.java")</f>
        <v/>
      </c>
      <c r="D93" t="inlineStr">
        <is>
          <t>The `ListenerMethod` annotation in the `butterknife.internal` package defines metadata for methods that should be used as listeners within Android applications. It includes attributes such as the method's name, parameter types, return type, and a default return value if no binding exists. This allows developers to easily define custom event handling logic using Butter Knife, a popular library for view injection in Android development.</t>
        </is>
      </c>
      <c r="E93" t="n">
        <v>0.0034</v>
      </c>
      <c r="F93" t="n">
        <v>0.0548</v>
      </c>
      <c r="G93" t="n">
        <v>0.1111</v>
      </c>
      <c r="H93" t="inlineStr">
        <is>
          <t>This repository contains backend software components implementing core algorithms. The complexity is O(N), indicating linear time complexity in relation to input size N.</t>
        </is>
      </c>
      <c r="I93" t="n">
        <v>0.0109</v>
      </c>
      <c r="J93" t="n">
        <v>0.25</v>
      </c>
      <c r="K93" t="n">
        <v>0.3322</v>
      </c>
      <c r="L93" t="inlineStr">
        <is>
          <t>The `ListenerMethod` annotation defines metadata for methods that serve as listeners within Android applications using Butterknife library. It specifies the method's name, parameter types, return type, and default return value if no binding exists. The annotation is used to annotate fields in activity or fragment classes where these methods will handle UI events.</t>
        </is>
      </c>
      <c r="M93" t="n">
        <v>0.0035</v>
      </c>
      <c r="N93" t="n">
        <v>0.0323</v>
      </c>
      <c r="O93" t="n">
        <v>0.08</v>
      </c>
    </row>
    <row r="94">
      <c r="A94" t="inlineStr">
        <is>
          <t>butterknife</t>
        </is>
      </c>
      <c r="B94" t="inlineStr">
        <is>
          <t>butterknife-annotations/src/main/java/butterknife/internal/ListenerClass.java</t>
        </is>
      </c>
      <c r="C94">
        <f>HYPERLINK("https://github.com/JakeWharton/butterknife/blob/master/butterknife-annotations/src/main/java/butterknife/internal/ListenerClass.java")</f>
        <v/>
      </c>
      <c r="D94" t="inlineStr">
        <is>
          <t>The `ListenerClass` annotation is used in Java to define custom listeners for views or other objects. It specifies various properties such as the target type, setter method, remover method (if applicable), fully qualified listener type, enum-based callback methods, and method data for single-method callbacks. This allows developers to easily create and manage event listeners within their applications using annotations instead of boilerplate code.</t>
        </is>
      </c>
      <c r="E94" t="n">
        <v>0.0034</v>
      </c>
      <c r="F94" t="n">
        <v>0.0548</v>
      </c>
      <c r="G94" t="n">
        <v>0.1111</v>
      </c>
      <c r="H94" t="inlineStr">
        <is>
          <t>The repository contains backend software components that implement core algorithms. The complexity is O(N), indicating linear time complexity in relation to input size N. The implementation includes comments explaining the purpose and functionality of each part of the code. The commits indicate the initial creation of the codebase. The total code size is 1000 lines.</t>
        </is>
      </c>
      <c r="I94" t="n">
        <v>0.0047</v>
      </c>
      <c r="J94" t="n">
        <v>0.125</v>
      </c>
      <c r="K94" t="n">
        <v>0.1969</v>
      </c>
      <c r="L94" t="inlineStr">
        <is>
          <t>This Java annotation defines metadata for creating listeners using Butter Knife library, specifying the target type, setter method, removal method (if applicable), listener type, callback enum, or specific method names for handling events. The annotation is retained at runtime and targets other annotations.</t>
        </is>
      </c>
      <c r="M94" t="n">
        <v>0.0051</v>
      </c>
      <c r="N94" t="n">
        <v>0.0784</v>
      </c>
      <c r="O94" t="n">
        <v>0.1304</v>
      </c>
    </row>
    <row r="95">
      <c r="A95" t="inlineStr">
        <is>
          <t>butterknife</t>
        </is>
      </c>
      <c r="B95" t="inlineStr">
        <is>
          <t>butterknife-runtime/src/main/java/butterknife/Setter.java</t>
        </is>
      </c>
      <c r="C95">
        <f>HYPERLINK("https://github.com/JakeWharton/butterknife/blob/master/butterknife-runtime/src/main/java/butterknife/Setter.java")</f>
        <v/>
      </c>
      <c r="D95" t="inlineStr">
        <is>
          <t>The `Setter` interface defines a method for setting a value on multiple views simultaneously. It takes three parameters: a view object (`T`), a value (`V`), and an index indicating which view should receive the value. The method must be executed on the UI thread due to its use of `@UiThread`. This allows for efficient batch updates to multiple views with the same property or attribute.</t>
        </is>
      </c>
      <c r="E95" t="n">
        <v>0.0033</v>
      </c>
      <c r="F95" t="n">
        <v>0.0274</v>
      </c>
      <c r="G95" t="n">
        <v>0.1095</v>
      </c>
      <c r="H95" t="inlineStr">
        <is>
          <t>The `Setter` interface defines a method for setting a value on multiple views simultaneously, with each view being accessed by its index in a list. This allows for efficient batch updates across multiple UI elements.</t>
        </is>
      </c>
      <c r="I95" t="n">
        <v>0.0053</v>
      </c>
      <c r="J95" t="n">
        <v>0.0465</v>
      </c>
      <c r="K95" t="n">
        <v>0.0467</v>
      </c>
      <c r="L95" t="inlineStr">
        <is>
          <t>This interface defines a method `set` for applying values to multiple views in a list, ensuring thread safety by using the `@UiThread` annotation. The method takes three parameters: a target view (`T`), a value (`V`), and an index indicating which view's property should be updated.</t>
        </is>
      </c>
      <c r="M95" t="n">
        <v>0.0049</v>
      </c>
      <c r="N95" t="n">
        <v>0.0741</v>
      </c>
      <c r="O95" t="n">
        <v>0.1282</v>
      </c>
    </row>
    <row r="96">
      <c r="A96" t="inlineStr">
        <is>
          <t>butterknife</t>
        </is>
      </c>
      <c r="B96" t="inlineStr">
        <is>
          <t>butterknife-runtime/src/main/java/butterknife/Unbinder.java</t>
        </is>
      </c>
      <c r="C96">
        <f>HYPERLINK("https://github.com/JakeWharton/butterknife/blob/master/butterknife-runtime/src/main/java/butterknife/Unbinder.java")</f>
        <v/>
      </c>
      <c r="D96" t="inlineStr">
        <is>
          <t>The `Unbinder` interface in the Butterknife library provides a method to unbind views from their associated objects, typically used for managing memory efficiently during UI lifecycle changes or activity destructions. The `unbind()` method is annotated with `@UiThread`, indicating it should be executed on the main thread. The `EMPTY` constant represents a no-op implementation of the `Unbinder` interface.</t>
        </is>
      </c>
      <c r="E96" t="n">
        <v>0</v>
      </c>
      <c r="F96" t="n">
        <v>0.0303</v>
      </c>
      <c r="G96" t="n">
        <v>0.0775</v>
      </c>
      <c r="H96" t="inlineStr">
        <is>
          <t>Manages view bindings in Android applications by providing an `Unbinder` interface with methods to unbind views at the UI thread.</t>
        </is>
      </c>
      <c r="I96" t="n">
        <v>0</v>
      </c>
      <c r="J96" t="n">
        <v>0</v>
      </c>
      <c r="K96" t="n">
        <v>0</v>
      </c>
      <c r="L96" t="inlineStr">
        <is>
          <t>The `Unbinder` interface provides a method `unbind()` that can be used to release resources associated with bound UI elements. It is designed for use at the `@UiThread`, ensuring thread safety when releasing views. The `EMPTY` constant implements the interface without any actual binding logic, serving as a placeholder for cases where no view binding is needed.</t>
        </is>
      </c>
      <c r="M96" t="n">
        <v>0.0033</v>
      </c>
      <c r="N96" t="n">
        <v>0.0625</v>
      </c>
      <c r="O96" t="n">
        <v>0.0781</v>
      </c>
    </row>
    <row r="97">
      <c r="A97" t="inlineStr">
        <is>
          <t>butterknife</t>
        </is>
      </c>
      <c r="B97" t="inlineStr">
        <is>
          <t>butterknife-runtime/src/main/java/butterknife/Action.java</t>
        </is>
      </c>
      <c r="C97">
        <f>HYPERLINK("https://github.com/JakeWharton/butterknife/blob/master/butterknife-runtime/src/main/java/butterknife/Action.java")</f>
        <v/>
      </c>
      <c r="D97" t="inlineStr">
        <is>
          <t>The provided code defines an `Action` interface for applying operations to lists of views. The interface includes a method `apply` that takes a view and its index as parameters and applies an operation to the view at that index. This interface is annotated with `@UiThread`, indicating that it should only be executed on the UI thread.</t>
        </is>
      </c>
      <c r="E97" t="n">
        <v>0.0039</v>
      </c>
      <c r="F97" t="n">
        <v>0.0312</v>
      </c>
      <c r="G97" t="n">
        <v>0.0781</v>
      </c>
      <c r="H97" t="inlineStr">
        <is>
          <t>The provided code defines an `Action` interface for applying operations to a list of views in Android development. The interface includes a method `apply` that takes a view and its index as parameters and applies an operation to the view at that index. This is useful for performing actions on multiple views simultaneously or sequentially.</t>
        </is>
      </c>
      <c r="I97" t="n">
        <v>0.004</v>
      </c>
      <c r="J97" t="n">
        <v>0.0317</v>
      </c>
      <c r="K97" t="n">
        <v>0.1181</v>
      </c>
      <c r="L97" t="inlineStr">
        <is>
          <t>The `Action` interface defines a method for applying actions to a list of views, ensuring that each view is processed sequentially within the UI thread.</t>
        </is>
      </c>
      <c r="M97" t="n">
        <v>0</v>
      </c>
      <c r="N97" t="n">
        <v>0</v>
      </c>
      <c r="O97" t="n">
        <v>0</v>
      </c>
    </row>
    <row r="98">
      <c r="A98" t="inlineStr">
        <is>
          <t>butterknife</t>
        </is>
      </c>
      <c r="B98" t="inlineStr">
        <is>
          <t>butterknife-runtime/src/main/java/butterknife/ViewCollections.java</t>
        </is>
      </c>
      <c r="C98">
        <f>HYPERLINK("https://github.com/JakeWharton/butterknife/blob/master/butterknife-runtime/src/main/java/butterknife/ViewCollections.java")</f>
        <v/>
      </c>
      <c r="D98" t="inlineStr">
        <is>
          <t>The `ViewCollections` class provides utility methods to apply multiple actions sequentially to lists or arrays of Android `View` objects in a thread-safe manner. The `run` method takes a collection of views and an array of actions, iterating over each view and applying all actions to it. This is useful for performing operations like setting properties on multiple views simultaneously.</t>
        </is>
      </c>
      <c r="E98" t="n">
        <v>0.0037</v>
      </c>
      <c r="F98" t="n">
        <v>0.0294</v>
      </c>
      <c r="G98" t="n">
        <v>0.1145</v>
      </c>
      <c r="H98" t="inlineStr">
        <is>
          <t>This repository contains backend software components implementing core algorithms. Complexity is O(N). Comments describe implementation details. Initial codebase commit was made. Code size is 1000 lines.</t>
        </is>
      </c>
      <c r="I98" t="n">
        <v>0.009599999999999999</v>
      </c>
      <c r="J98" t="n">
        <v>0.2286</v>
      </c>
      <c r="K98" t="n">
        <v>0.2041</v>
      </c>
      <c r="L98" t="inlineStr">
        <is>
          <t>The `ViewCollections` class provides utility methods for iterating over lists or arrays of Android views and applying custom actions to each element. The `run` method takes a collection of views and one or more actions as parameters, executing each action on every view in the collection sequentially. This is useful for performing batch updates or modifications to multiple UI elements efficiently.</t>
        </is>
      </c>
      <c r="M98" t="n">
        <v>0.0036</v>
      </c>
      <c r="N98" t="n">
        <v>0.029</v>
      </c>
      <c r="O98" t="n">
        <v>0.1128</v>
      </c>
    </row>
    <row r="99">
      <c r="A99" t="inlineStr">
        <is>
          <t>butterknife</t>
        </is>
      </c>
      <c r="B99" t="inlineStr">
        <is>
          <t>butterknife-runtime/src/main/java/butterknife/internal/DebouncingOnClickListener.java</t>
        </is>
      </c>
      <c r="C99">
        <f>HYPERLINK("https://github.com/JakeWharton/butterknife/blob/master/butterknife-runtime/src/main/java/butterknife/internal/DebouncingOnClickListener.java")</f>
        <v/>
      </c>
      <c r="D99" t="inlineStr">
        <is>
          <t>The `DebouncingOnClickListener` is a custom implementation of `View.OnClickListener` designed to prevent rapid consecutive clicks on a single UI element by disabling it temporarily during the processing of each click event. It uses a `Handler` to ensure that the enabling action occurs after the current frame's events have been processed, preventing any further clicks from being registered until the previous ones complete their execution. This approach helps</t>
        </is>
      </c>
      <c r="E99" t="n">
        <v>0.0028</v>
      </c>
      <c r="F99" t="n">
        <v>0.0263</v>
      </c>
      <c r="G99" t="n">
        <v>0.1087</v>
      </c>
      <c r="H99" t="inlineStr">
        <is>
          <t>Manages debounce logic for multiple button clicks within the Android framework by disabling other buttons during the same frame.</t>
        </is>
      </c>
      <c r="I99" t="n">
        <v>0</v>
      </c>
      <c r="J99" t="n">
        <v>0.0741</v>
      </c>
      <c r="K99" t="n">
        <v>0</v>
      </c>
      <c r="L99" t="inlineStr">
        <is>
          <t>This `DebouncingOnClickListener` is a custom implementation of a `View.OnClickListener` designed to prevent rapid consecutive clicks by disabling all buttons within the same frame after the first click has been processed. It uses a `Handler` running on the main thread to ensure that the enabling mechanism runs immediately after the initial click, preventing any further clicks from being registered until the next frame. The `doClick`</t>
        </is>
      </c>
      <c r="M99" t="n">
        <v>0.0028</v>
      </c>
      <c r="N99" t="n">
        <v>0.0548</v>
      </c>
      <c r="O99" t="n">
        <v>0.1103</v>
      </c>
    </row>
    <row r="100">
      <c r="A100" t="inlineStr">
        <is>
          <t>butterknife</t>
        </is>
      </c>
      <c r="B100" t="inlineStr">
        <is>
          <t>butterknife-runtime/src/main/java/butterknife/internal/ImmutableList.java</t>
        </is>
      </c>
      <c r="C100">
        <f>HYPERLINK("https://github.com/JakeWharton/butterknife/blob/master/butterknife-runtime/src/main/java/butterknife/internal/ImmutableList.java")</f>
        <v/>
      </c>
      <c r="D100" t="inlineStr">
        <is>
          <t>The `ImmutableList` class in the `butterknife.internal` package provides an immutable implementation of a list that wraps an array of objects. It inherits from `AbstractList` and implements `RandomAccess`, making it suitable for use as a read-only collection. The constructor takes an array of type `T` and initializes the internal field with this array. The `get` method returns the element</t>
        </is>
      </c>
      <c r="E100" t="n">
        <v>0.0037</v>
      </c>
      <c r="F100" t="n">
        <v>0.0588</v>
      </c>
      <c r="G100" t="n">
        <v>0.1538</v>
      </c>
      <c r="H100" t="inlineStr">
        <is>
          <t>Implements an immutable list of views that provides efficient access to its elements.</t>
        </is>
      </c>
      <c r="I100" t="n">
        <v>0</v>
      </c>
      <c r="J100" t="n">
        <v>0.09520000000000001</v>
      </c>
      <c r="K100" t="n">
        <v>0.0588</v>
      </c>
      <c r="L100" t="inlineStr">
        <is>
          <t>This code defines a `ImmutableList` class that provides an immutable wrapper around an array of objects, offering efficient access and iteration while maintaining immutability. The class implements the `AbstractList` interface and `RandomAccess`, allowing for fast random element retrieval. It includes methods to retrieve elements by index, determine the size of the list, and check for the presence of specific objects within the list.</t>
        </is>
      </c>
      <c r="M100" t="n">
        <v>0.0038</v>
      </c>
      <c r="N100" t="n">
        <v>0.08450000000000001</v>
      </c>
      <c r="O100" t="n">
        <v>0.1111</v>
      </c>
    </row>
    <row r="101">
      <c r="A101" t="inlineStr">
        <is>
          <t>butterknife</t>
        </is>
      </c>
      <c r="B101" t="inlineStr">
        <is>
          <t>butterknife-runtime/src/main/java/butterknife/internal/Utils.java</t>
        </is>
      </c>
      <c r="C101">
        <f>HYPERLINK("https://github.com/JakeWharton/butterknife/blob/master/butterknife-runtime/src/main/java/butterknife/internal/Utils.java")</f>
        <v/>
      </c>
      <c r="D101" t="inlineStr">
        <is>
          <t>The `Utils` class in the `butterknife.internal` package provides utility methods to retrieve themed drawables with specified tints from Android resources. It uses the `ContextCompat.getDrawable()` method along with `TypedValue` to resolve the tint attribute from the theme before applying it to the drawable using `DrawableCompat.setTint()`. The method is annotated as `@UiThread`, indicating that it</t>
        </is>
      </c>
      <c r="E101" t="n">
        <v>0</v>
      </c>
      <c r="F101" t="n">
        <v>0</v>
      </c>
      <c r="G101" t="n">
        <v>0.04</v>
      </c>
      <c r="H101" t="inlineStr">
        <is>
          <t>This repository contains backend software components implementing core algorithms with a complexity of O(N). The code size is 1000 lines, and it includes comments explaining its implementation.</t>
        </is>
      </c>
      <c r="I101" t="n">
        <v>0.009900000000000001</v>
      </c>
      <c r="J101" t="n">
        <v>0.2778</v>
      </c>
      <c r="K101" t="n">
        <v>0.3758</v>
      </c>
      <c r="L101" t="inlineStr">
        <is>
          <t>The `Utils` class provides utility methods for working with Android resources, such as retrieving drawable resources with specified tints using `ContextCompat.getDrawable()` and `DrawableCompat.setTint()`. It includes methods like `getTintedDrawable`, which takes a context, a drawable resource ID, and a tint attribute ID to return a tinted version of the drawable. The class uses `TypedValue</t>
        </is>
      </c>
      <c r="M101" t="n">
        <v>0.0035</v>
      </c>
      <c r="N101" t="n">
        <v>0.0317</v>
      </c>
      <c r="O101" t="n">
        <v>0.08</v>
      </c>
    </row>
    <row r="102">
      <c r="A102" t="inlineStr">
        <is>
          <t>butterknife</t>
        </is>
      </c>
      <c r="B102" t="inlineStr">
        <is>
          <t>butterknife-runtime/src/test/java/butterknife/UtilsTest.java</t>
        </is>
      </c>
      <c r="C102">
        <f>HYPERLINK("https://github.com/JakeWharton/butterknife/blob/master/butterknife-runtime/src/test/java/butterknife/UtilsTest.java")</f>
        <v/>
      </c>
      <c r="D102" t="inlineStr">
        <is>
          <t>The `Utils` class in this package provides utility methods for filtering lists that contain `null` values using Google Truth assertions to verify the results. The `listFilteringNull` method takes multiple arguments (which can be either non-null or null) and returns a list containing only the non-null elements. The test cases cover various scenarios including empty input, single non-null element, mixed inputs with null</t>
        </is>
      </c>
      <c r="E102" t="n">
        <v>0.0029</v>
      </c>
      <c r="F102" t="n">
        <v>0.0548</v>
      </c>
      <c r="G102" t="n">
        <v>0.1119</v>
      </c>
      <c r="H102" t="inlineStr">
        <is>
          <t>The repository contains backend software components with implementations of core algorithms. The complexity is O(N), indicating linear time operations for certain functions. The README provides information about the project's purpose, complexity, comments, commits, and code size.</t>
        </is>
      </c>
      <c r="I102" t="n">
        <v>0.0068</v>
      </c>
      <c r="J102" t="n">
        <v>0.2174</v>
      </c>
      <c r="K102" t="n">
        <v>0.1852</v>
      </c>
      <c r="L102" t="inlineStr">
        <is>
          <t>The `Utils` test class contains JUnit tests for filtering lists that may contain null values using methods from the `butterknife.internal.Utils` class. The tests verify that the `listFilteringNull` method correctly filters out any null elements from the input list and returns a new list containing only non-null elements.</t>
        </is>
      </c>
      <c r="M102" t="n">
        <v>0.0039</v>
      </c>
      <c r="N102" t="n">
        <v>0.0345</v>
      </c>
      <c r="O102" t="n">
        <v>0.08400000000000001</v>
      </c>
    </row>
    <row r="103">
      <c r="A103" t="inlineStr">
        <is>
          <t>butterknife</t>
        </is>
      </c>
      <c r="B103" t="inlineStr">
        <is>
          <t>butterknife-runtime/src/test/java/butterknife/UnbinderTest.java</t>
        </is>
      </c>
      <c r="C103">
        <f>HYPERLINK("https://github.com/JakeWharton/butterknife/blob/master/butterknife-runtime/src/test/java/butterknife/UnbinderTest.java")</f>
        <v/>
      </c>
      <c r="D103" t="inlineStr">
        <is>
          <t>The `UnbinderTest` class in the Butterknife library tests the ability to bind views with annotations such as `@BindView`, `@OnClick`, and `@OnLongClick`. It uses Google's testing framework to compile Java source files containing these annotations and verifies that the generated binding classes correctly handle the bindings. The test checks for multiple bindings on different views and methods annotated with click listeners.</t>
        </is>
      </c>
      <c r="E103" t="n">
        <v>0.003</v>
      </c>
      <c r="F103" t="n">
        <v>0.029</v>
      </c>
      <c r="G103" t="n">
        <v>0.07580000000000001</v>
      </c>
      <c r="H103" t="inlineStr">
        <is>
          <t>This repository contains backend software components with implementations of core algorithms. Complexity is O(N), indicating linear time complexity for certain operations. The README provides information about the project's structure and purpose.</t>
        </is>
      </c>
      <c r="I103" t="n">
        <v>0.008500000000000001</v>
      </c>
      <c r="J103" t="n">
        <v>0.2439</v>
      </c>
      <c r="K103" t="n">
        <v>0.2427</v>
      </c>
      <c r="L103" t="inlineStr">
        <is>
          <t>The `UnbinderTest` class tests the ButterKnife library's ability to handle multiple bindings and event listeners for views within a single activity or fragment. It uses JUnit to compile and verify that the generated binding classes correctly map views and their associated click and long-click events. The test checks for proper handling of multiple views and ensures that the generated code can be compiled without errors.</t>
        </is>
      </c>
      <c r="M103" t="n">
        <v>0.0028</v>
      </c>
      <c r="N103" t="n">
        <v>0.0267</v>
      </c>
      <c r="O103" t="n">
        <v>0.073</v>
      </c>
    </row>
    <row r="104">
      <c r="A104" t="inlineStr">
        <is>
          <t>butterknife</t>
        </is>
      </c>
      <c r="B104" t="inlineStr">
        <is>
          <t>butterknife-runtime/src/test/java/butterknife/BindFontTest.java</t>
        </is>
      </c>
      <c r="C104">
        <f>HYPERLINK("https://github.com/JakeWharton/butterknife/blob/master/butterknife-runtime/src/test/java/butterknife/BindFontTest.java")</f>
        <v/>
      </c>
      <c r="D104" t="inlineStr">
        <is>
          <t>The provided code is part of a testing suite for the ButterKnife library, which is used to bind views in Android applications using annotations. The `BindFontTest` class includes a single test method named `simpleIntSdk26`, which checks if the ButterKnife processor can correctly generate binding classes for a simple case where a view is bound to a font resource ID (1). The test uses Google's Gu</t>
        </is>
      </c>
      <c r="E104" t="n">
        <v>0</v>
      </c>
      <c r="F104" t="n">
        <v>0</v>
      </c>
      <c r="G104" t="n">
        <v>0.0365</v>
      </c>
      <c r="H104" t="inlineStr">
        <is>
          <t>The repository contains backend software components with complexity O(N), implementing core algorithms. The code size is 1000 lines.</t>
        </is>
      </c>
      <c r="I104" t="n">
        <v>0.0128</v>
      </c>
      <c r="J104" t="n">
        <v>0.2222</v>
      </c>
      <c r="K104" t="n">
        <v>0.284</v>
      </c>
      <c r="L104" t="inlineStr">
        <is>
          <t>The `BindFontTest` class tests the ButterKnife library's ability to bind font resources using annotations. It uses JUnit for testing and Google Truth for assertions. The test checks if a simple integer value is correctly mapped to a `Typeface` resource within a generated view binding class.</t>
        </is>
      </c>
      <c r="M104" t="n">
        <v>0.0041</v>
      </c>
      <c r="N104" t="n">
        <v>0.037</v>
      </c>
      <c r="O104" t="n">
        <v>0.08550000000000001</v>
      </c>
    </row>
    <row r="105">
      <c r="A105" t="inlineStr">
        <is>
          <t>butterknife</t>
        </is>
      </c>
      <c r="B105" t="inlineStr">
        <is>
          <t>butterknife-runtime/src/test/java/butterknife/BindDrawableTest.java</t>
        </is>
      </c>
      <c r="C105">
        <f>HYPERLINK("https://github.com/JakeWharton/butterknife/blob/master/butterknife-runtime/src/test/java/butterknife/BindDrawableTest.java")</f>
        <v/>
      </c>
      <c r="D105" t="inlineStr">
        <is>
          <t>The provided code is part of a testing framework for ButterKnife, a popular Android library that simplifies view injection using annotations. The `BindDrawableTest` class includes a test method named `simpleSdk21`, which checks if ButterKnife can correctly bind a drawable resource to a field annotated with `@BindDrawable`. The test uses Google's Guava Truth library to assert that the generated binding class (`Test</t>
        </is>
      </c>
      <c r="E105" t="n">
        <v>0</v>
      </c>
      <c r="F105" t="n">
        <v>0</v>
      </c>
      <c r="G105" t="n">
        <v>0.0376</v>
      </c>
      <c r="H105" t="inlineStr">
        <is>
          <t>The repository contains backend software components that implement core algorithms. The complexity is O(N), indicating linear time performance in relation to input size. The implementation includes comments explaining the purpose of each part of the code. The commits indicate the initial creation of the codebase. The total code size is 1000 lines.</t>
        </is>
      </c>
      <c r="I105" t="n">
        <v>0.0042</v>
      </c>
      <c r="J105" t="n">
        <v>0.0984</v>
      </c>
      <c r="K105" t="n">
        <v>0.1613</v>
      </c>
      <c r="L105" t="inlineStr">
        <is>
          <t>The `BindDrawableTest` class tests the ButterKnife library's ability to bind drawable resources using annotations. It uses JUnit for testing and Google Truth for assertions. The test case checks if a drawable resource is correctly bound to a field annotated with `@BindDrawable`.</t>
        </is>
      </c>
      <c r="M105" t="n">
        <v>0.0045</v>
      </c>
      <c r="N105" t="n">
        <v>0.04</v>
      </c>
      <c r="O105" t="n">
        <v>0.0885</v>
      </c>
    </row>
    <row r="106">
      <c r="A106" t="inlineStr">
        <is>
          <t>butterknife</t>
        </is>
      </c>
      <c r="B106" t="inlineStr">
        <is>
          <t>butterknife-runtime/src/test/java/butterknife/BindFloatTest.java</t>
        </is>
      </c>
      <c r="C106">
        <f>HYPERLINK("https://github.com/JakeWharton/butterknife/blob/master/butterknife-runtime/src/test/java/butterknife/BindFloatTest.java")</f>
        <v/>
      </c>
      <c r="D106" t="inlineStr">
        <is>
          <t>The provided code is a JUnit test case for the `ButterKnife` library's annotation processor to ensure that fields annotated with `@BindFloat` have the correct data type (`float`). The test checks if using a string instead of a float results in a compilation error indicating that the field type must be `float`.</t>
        </is>
      </c>
      <c r="E106" t="n">
        <v>0</v>
      </c>
      <c r="F106" t="n">
        <v>0</v>
      </c>
      <c r="G106" t="n">
        <v>0.0407</v>
      </c>
      <c r="H106" t="inlineStr">
        <is>
          <t>Tests that `@BindFloat` annotation requires fields to have a float type.</t>
        </is>
      </c>
      <c r="I106" t="n">
        <v>0</v>
      </c>
      <c r="J106" t="n">
        <v>0</v>
      </c>
      <c r="K106" t="n">
        <v>0</v>
      </c>
      <c r="L106" t="inlineStr">
        <is>
          <t>This test checks that `@BindFloat` annotations require fields of type `float`. It uses Mockito for testing and verifies that attempting to use `@BindFloat` with a non-float type results in a compilation error.</t>
        </is>
      </c>
      <c r="M106" t="n">
        <v>0.0069</v>
      </c>
      <c r="N106" t="n">
        <v>0.09760000000000001</v>
      </c>
      <c r="O106" t="n">
        <v>0.1442</v>
      </c>
    </row>
    <row r="107">
      <c r="A107" t="inlineStr">
        <is>
          <t>butterknife</t>
        </is>
      </c>
      <c r="B107" t="inlineStr">
        <is>
          <t>butterknife-runtime/src/test/java/butterknife/TestGeneratingProcessor.java</t>
        </is>
      </c>
      <c r="C107">
        <f>HYPERLINK("https://github.com/JakeWharton/butterknife/blob/master/butterknife-runtime/src/test/java/butterknife/TestGeneratingProcessor.java")</f>
        <v/>
      </c>
      <c r="D107" t="inlineStr">
        <is>
          <t>The provided code is a custom annotation processing tool for Java projects using Google Guava libraries. It generates a single Java file when annotated types meet certain criteria specified by `@PerformGeneration`. The processor uses annotations from the `com.google.testing.compile` package to compile and generate files based on input sources. This setup is useful for testing purposes or generating boilerplate code during development.</t>
        </is>
      </c>
      <c r="E107" t="n">
        <v>0.0036</v>
      </c>
      <c r="F107" t="n">
        <v>0.0278</v>
      </c>
      <c r="G107" t="n">
        <v>0.1128</v>
      </c>
      <c r="H107" t="inlineStr">
        <is>
          <t>The repository contains backend software components implementing core algorithms. The complexity is O(N), indicating linear time complexity for certain operations. Comments describe the implementation details, while commits track the initial creation of the codebase. The total size of the code is 1000 lines.</t>
        </is>
      </c>
      <c r="I107" t="n">
        <v>0.0051</v>
      </c>
      <c r="J107" t="n">
        <v>0.1154</v>
      </c>
      <c r="K107" t="n">
        <v>0.1304</v>
      </c>
      <c r="L107" t="inlineStr">
        <is>
          <t>This is a test annotation processor for generating Java files during compilation using Google Guava libraries. It processes annotated classes marked with `@PerformGeneration` and generates corresponding Java files based on predefined templates. The processor uses annotations from the `javax.annotation.processing` package and leverages Guava's `Joiner`, `ImmutableSet`, and other utilities for string manipulation and collection handling.</t>
        </is>
      </c>
      <c r="M107" t="n">
        <v>0.004</v>
      </c>
      <c r="N107" t="n">
        <v>0.0615</v>
      </c>
      <c r="O107" t="n">
        <v>0.119</v>
      </c>
    </row>
    <row r="108">
      <c r="A108" t="inlineStr">
        <is>
          <t>butterknife</t>
        </is>
      </c>
      <c r="B108" t="inlineStr">
        <is>
          <t>butterknife-runtime/src/test/java/butterknife/OnFocusChangeTest.java</t>
        </is>
      </c>
      <c r="C108">
        <f>HYPERLINK("https://github.com/JakeWharton/butterknife/blob/master/butterknife-runtime/src/test/java/butterknife/OnFocusChangeTest.java")</f>
        <v/>
      </c>
      <c r="D108" t="inlineStr">
        <is>
          <t>The provided code is part of a library called Butter Knife for Android development. It includes a test case that checks if the `@OnFocusChange` annotation works correctly in generating view binding classes. The test creates a simple Java file with an annotated method and then verifies that the corresponding view binding class is generated as expected.</t>
        </is>
      </c>
      <c r="E108" t="n">
        <v>0.0033</v>
      </c>
      <c r="F108" t="n">
        <v>0.0312</v>
      </c>
      <c r="G108" t="n">
        <v>0.0781</v>
      </c>
      <c r="H108" t="inlineStr">
        <is>
          <t>The repository contains backend software components with complexity O(N), implementing core algorithms. The code size is 1000 lines, and it includes comments explaining the implementation.</t>
        </is>
      </c>
      <c r="I108" t="n">
        <v>0.01</v>
      </c>
      <c r="J108" t="n">
        <v>0.2353</v>
      </c>
      <c r="K108" t="n">
        <v>0.3254</v>
      </c>
      <c r="L108" t="inlineStr">
        <is>
          <t>The `OnFocusChangeTest` class tests the ButterKnife library's ability to process annotations for view focus change events. It uses JUnit to compile a simple Java file containing an annotated method and checks if the generated binding source correctly includes the necessary code to handle the focus change event at index 1. The test ensures that the ButterKnife processor is functioning as expected for handling focus change listeners.</t>
        </is>
      </c>
      <c r="M108" t="n">
        <v>0.0028</v>
      </c>
      <c r="N108" t="n">
        <v>0.0267</v>
      </c>
      <c r="O108" t="n">
        <v>0.0725</v>
      </c>
    </row>
    <row r="109">
      <c r="A109" t="inlineStr">
        <is>
          <t>butterknife</t>
        </is>
      </c>
      <c r="B109" t="inlineStr">
        <is>
          <t>butterknife-runtime/src/test/java/butterknife/BindBitmapTest.java</t>
        </is>
      </c>
      <c r="C109">
        <f>HYPERLINK("https://github.com/JakeWharton/butterknife/blob/master/butterknife-runtime/src/test/java/butterknife/BindBitmapTest.java")</f>
        <v/>
      </c>
      <c r="D109" t="inlineStr">
        <is>
          <t>The `BindBitmapTest` class is a JUnit test case that checks if the `ButterKnifeProcessor` correctly identifies errors when using the `@BindBitmap` annotation with non-Bitmap types in Kotlin or Java. The test creates a simple Java file containing an invalid usage of `@BindBitmap`, processes it with the Butterknife processor, and asserts that it fails to compile with the expected</t>
        </is>
      </c>
      <c r="E109" t="n">
        <v>0.0032</v>
      </c>
      <c r="F109" t="n">
        <v>0.0303</v>
      </c>
      <c r="G109" t="n">
        <v>0.0775</v>
      </c>
      <c r="H109" t="inlineStr">
        <is>
          <t>Tests that `@BindBitmap` annotation requires the field to be of type `Bitmap`.</t>
        </is>
      </c>
      <c r="I109" t="n">
        <v>0</v>
      </c>
      <c r="J109" t="n">
        <v>0</v>
      </c>
      <c r="K109" t="n">
        <v>0</v>
      </c>
      <c r="L109" t="inlineStr">
        <is>
          <t>This unit test checks that the `@BindBitmap` annotation correctly enforces that the annotated field is of type `Bitmap`. The test creates a simple Java class with a field annotated as `@BindBitmap`, compiles it using the Butterknife processor, and asserts that compilation fails due to the incorrect type.</t>
        </is>
      </c>
      <c r="M109" t="n">
        <v>0.0046</v>
      </c>
      <c r="N109" t="n">
        <v>0.0727</v>
      </c>
      <c r="O109" t="n">
        <v>0.1261</v>
      </c>
    </row>
    <row r="110">
      <c r="A110" t="inlineStr">
        <is>
          <t>butterknife</t>
        </is>
      </c>
      <c r="B110" t="inlineStr">
        <is>
          <t>butterknife-runtime/src/test/java/butterknife/BindViewsTest.java</t>
        </is>
      </c>
      <c r="C110">
        <f>HYPERLINK("https://github.com/JakeWharton/butterknife/blob/master/butterknife-runtime/src/test/java/butterknife/BindViewsTest.java")</f>
        <v/>
      </c>
      <c r="D110" t="inlineStr">
        <is>
          <t>The `BindViewsTest` class in the Butterknife library tests the ability to bind arrays with generics using annotations. The test creates a simple Java file representing a class with generic type parameters annotated with `@BindViews`. It then checks if the generated view binding class correctly handles this scenario by comparing it against expected output.</t>
        </is>
      </c>
      <c r="E110" t="n">
        <v>0</v>
      </c>
      <c r="F110" t="n">
        <v>0.0328</v>
      </c>
      <c r="G110" t="n">
        <v>0.08</v>
      </c>
      <c r="H110" t="inlineStr">
        <is>
          <t>This repository contains backend software components implementing core algorithms. The complexity is O(N), indicating linear time performance for typical operations. Comments describe the implementation details, while commits track the initial creation of the codebase. The total size of the codebase is 1000 lines.</t>
        </is>
      </c>
      <c r="I110" t="n">
        <v>0.0056</v>
      </c>
      <c r="J110" t="n">
        <v>0.1538</v>
      </c>
      <c r="K110" t="n">
        <v>0.1739</v>
      </c>
      <c r="L110" t="inlineStr">
        <is>
          <t>The `BindViewsTest` class tests ButterKnife's ability to handle generic arrays of views during annotation processing. It uses JUnit for testing and Google Truth for assertions. The test case checks if ButterKnife can correctly bind multiple view IDs into a generic array of views.</t>
        </is>
      </c>
      <c r="M110" t="n">
        <v>0.0043</v>
      </c>
      <c r="N110" t="n">
        <v>0.0385</v>
      </c>
      <c r="O110" t="n">
        <v>0.08699999999999999</v>
      </c>
    </row>
    <row r="111">
      <c r="A111" t="inlineStr">
        <is>
          <t>butterknife</t>
        </is>
      </c>
      <c r="B111" t="inlineStr">
        <is>
          <t>butterknife-runtime/src/test/java/butterknife/OnItemLongClickTest.java</t>
        </is>
      </c>
      <c r="C111">
        <f>HYPERLINK("https://github.com/JakeWharton/butterknife/blob/master/butterknife-runtime/src/test/java/butterknife/OnItemLongClickTest.java")</f>
        <v/>
      </c>
      <c r="D111" t="inlineStr">
        <is>
          <t>The provided code is a JUnit test for the ButterKnife library's `@OnItemLongClick` annotation processor. It tests that when the `doStuff()` method in the `Test` class is annotated with `@OnItemLongClick(1)`, it generates the correct view binding code to handle long-click events on the first item in an AdapterView. The test uses Google's testing framework to</t>
        </is>
      </c>
      <c r="E111" t="n">
        <v>0</v>
      </c>
      <c r="F111" t="n">
        <v>0</v>
      </c>
      <c r="G111" t="n">
        <v>0.0397</v>
      </c>
      <c r="H111" t="inlineStr">
        <is>
          <t>The repository contains backend software components with complexity O(N), implementing core algorithms. The code size is 1000 lines.</t>
        </is>
      </c>
      <c r="I111" t="n">
        <v>0.0128</v>
      </c>
      <c r="J111" t="n">
        <v>0.2222</v>
      </c>
      <c r="K111" t="n">
        <v>0.284</v>
      </c>
      <c r="L111" t="inlineStr">
        <is>
          <t>The `OnItemLongClick` test checks if the ButterKnife annotation correctly processes an `@OnItemLongClick` method that returns a boolean value when called from an adapter view. The test uses Google's testing framework to compile Java source files and verify that the generated binding classes contain the expected methods.</t>
        </is>
      </c>
      <c r="M111" t="n">
        <v>0.004</v>
      </c>
      <c r="N111" t="n">
        <v>0.0364</v>
      </c>
      <c r="O111" t="n">
        <v>0.0847</v>
      </c>
    </row>
    <row r="112">
      <c r="A112" t="inlineStr">
        <is>
          <t>butterknife</t>
        </is>
      </c>
      <c r="B112" t="inlineStr">
        <is>
          <t>butterknife-runtime/src/test/java/butterknife/BindDimenTest.java</t>
        </is>
      </c>
      <c r="C112">
        <f>HYPERLINK("https://github.com/JakeWharton/butterknife/blob/master/butterknife-runtime/src/test/java/butterknife/BindDimenTest.java")</f>
        <v/>
      </c>
      <c r="D112" t="inlineStr">
        <is>
          <t>The provided code is a JUnit test for the `ButterKnife` library's `ButterKnifeProcessor`. It checks that attempting to use `@BindDimen` with a non-integer or float type results in a compilation error. The test creates a simple Java file with an invalid usage of `@BindDimen`, processes it using the `ButterKnifeProcessor`, and asserts that</t>
        </is>
      </c>
      <c r="E112" t="n">
        <v>0.0036</v>
      </c>
      <c r="F112" t="n">
        <v>0.0328</v>
      </c>
      <c r="G112" t="n">
        <v>0.0813</v>
      </c>
      <c r="H112" t="inlineStr">
        <is>
          <t>Tests that `@BindDimen` fields in Butterknife annotations must have integer or float types.</t>
        </is>
      </c>
      <c r="I112" t="n">
        <v>0</v>
      </c>
      <c r="J112" t="n">
        <v>0</v>
      </c>
      <c r="K112" t="n">
        <v>0</v>
      </c>
      <c r="L112" t="inlineStr">
        <is>
          <t>The `BindDimenTest` class tests that fields annotated with `@BindDimen` must have integer or float types. It uses Google's Guava Truth library for assertions and checks if compiling a Java source file containing such an error results in a compilation failure with the expected message.</t>
        </is>
      </c>
      <c r="M112" t="n">
        <v>0.0042</v>
      </c>
      <c r="N112" t="n">
        <v>0.0377</v>
      </c>
      <c r="O112" t="n">
        <v>0.0862</v>
      </c>
    </row>
    <row r="113">
      <c r="A113" t="inlineStr">
        <is>
          <t>butterknife</t>
        </is>
      </c>
      <c r="B113" t="inlineStr">
        <is>
          <t>butterknife-runtime/src/test/java/butterknife/BindArrayTest.java</t>
        </is>
      </c>
      <c r="C113">
        <f>HYPERLINK("https://github.com/JakeWharton/butterknife/blob/master/butterknife-runtime/src/test/java/butterknife/BindArrayTest.java")</f>
        <v/>
      </c>
      <c r="D113" t="inlineStr">
        <is>
          <t>The provided code is part of the ButterKnife library, which is used for view injection in Android applications. The `BindArrayTest` class includes a test case that checks if ButterKnife can correctly bind a `TypedArray` using the `@BindArray` annotation. The test uses Google's Guava Truth framework to assert that the generated binding class contains the expected field declaration for the `TypedArray`. The</t>
        </is>
      </c>
      <c r="E113" t="n">
        <v>0</v>
      </c>
      <c r="F113" t="n">
        <v>0</v>
      </c>
      <c r="G113" t="n">
        <v>0.0376</v>
      </c>
      <c r="H113" t="inlineStr">
        <is>
          <t>Manages backend software components with implementation of core algorithms.</t>
        </is>
      </c>
      <c r="I113" t="n">
        <v>0.0285</v>
      </c>
      <c r="J113" t="n">
        <v>0.3529</v>
      </c>
      <c r="K113" t="n">
        <v>0.1852</v>
      </c>
      <c r="L113" t="inlineStr">
        <is>
          <t>The `BindArrayTest` class tests the functionality of ButterKnife's array binding feature by creating a simple Android activity that uses an annotated field for a typed array resource. The test checks if ButterKnife correctly binds the specified resource ID to the field during runtime.</t>
        </is>
      </c>
      <c r="M113" t="n">
        <v>0.0043</v>
      </c>
      <c r="N113" t="n">
        <v>0.0385</v>
      </c>
      <c r="O113" t="n">
        <v>0.0435</v>
      </c>
    </row>
    <row r="114">
      <c r="A114" t="inlineStr">
        <is>
          <t>butterknife</t>
        </is>
      </c>
      <c r="B114" t="inlineStr">
        <is>
          <t>butterknife-runtime/src/test/java/butterknife/ExtendViewTest.java</t>
        </is>
      </c>
      <c r="C114">
        <f>HYPERLINK("https://github.com/JakeWharton/butterknife/blob/master/butterknife-runtime/src/test/java/butterknife/ExtendViewTest.java")</f>
        <v/>
      </c>
      <c r="D114" t="inlineStr">
        <is>
          <t>The provided code is part of a testing suite for the ButterKnife library, which is used to simplify view injection in Android applications. The `ExtendViewTest` class includes a single test method named `onlyResources`. This test checks if ButterKnife can correctly generate resource bindings for a simple subclass of `View`, specifically focusing on handling binders that do not require any additional logic beyond setting up the constructor with a</t>
        </is>
      </c>
      <c r="E114" t="n">
        <v>0.0027</v>
      </c>
      <c r="F114" t="n">
        <v>0.0526</v>
      </c>
      <c r="G114" t="n">
        <v>0.07140000000000001</v>
      </c>
      <c r="H114" t="inlineStr">
        <is>
          <t>This repository contains backend software components implementing core algorithms. Complexity is O(N), with comments indicating implementation details. Initial codebase commit. Code size is 1000 lines.</t>
        </is>
      </c>
      <c r="I114" t="n">
        <v>0.01</v>
      </c>
      <c r="J114" t="n">
        <v>0.2353</v>
      </c>
      <c r="K114" t="n">
        <v>0.2062</v>
      </c>
      <c r="L114" t="inlineStr">
        <is>
          <t>The `ExtendViewTest` class tests the ButterKnife library's ability to correctly bind boolean resources to fields within a custom view class. It uses JUnit for testing and Google Truth for assertions. The test case checks if the `@BindBool` annotation is properly applied to a field in the `Test` class, which extends `android.view.View`. The generated binding class (`Test_ViewBinding`) should</t>
        </is>
      </c>
      <c r="M114" t="n">
        <v>0.0032</v>
      </c>
      <c r="N114" t="n">
        <v>0.029</v>
      </c>
      <c r="O114" t="n">
        <v>0.0775</v>
      </c>
    </row>
    <row r="115">
      <c r="A115" t="inlineStr">
        <is>
          <t>butterknife</t>
        </is>
      </c>
      <c r="B115" t="inlineStr">
        <is>
          <t>butterknife-runtime/src/test/java/butterknife/BindColorTest.java</t>
        </is>
      </c>
      <c r="C115">
        <f>HYPERLINK("https://github.com/JakeWharton/butterknife/blob/master/butterknife-runtime/src/test/java/butterknife/BindColorTest.java")</f>
        <v/>
      </c>
      <c r="D115" t="inlineStr">
        <is>
          <t>The provided code is part of a testing suite for ButterKnife, a popular Android library that simplifies view injection in activities and fragments. The `BindColorTest` class includes a single test method named `simpleIntSdk23`, which checks if ButterKnife can correctly bind a color resource to an integer field annotated with `@BindColor`. The test uses Google's Guava Truth framework to assert that the</t>
        </is>
      </c>
      <c r="E115" t="n">
        <v>0.003</v>
      </c>
      <c r="F115" t="n">
        <v>0.0286</v>
      </c>
      <c r="G115" t="n">
        <v>0.0752</v>
      </c>
      <c r="H115" t="inlineStr">
        <is>
          <t>The repository contains backend software components implementing core algorithms. Complexity is O(N), with comments indicating implementation details. The commits include an initial codebase commit. Code size is 1000 lines.</t>
        </is>
      </c>
      <c r="I115" t="n">
        <v>0.0077</v>
      </c>
      <c r="J115" t="n">
        <v>0.1579</v>
      </c>
      <c r="K115" t="n">
        <v>0.1485</v>
      </c>
      <c r="L115" t="inlineStr">
        <is>
          <t>The `BindColorTest` class tests the ButterKnife library's ability to correctly bind color resources to fields annotated with `@BindColor`. It uses JUnit for testing and Google Truth for assertions. The test case checks if an integer field is properly bound to a resource ID using the `@BindColor` annotation.</t>
        </is>
      </c>
      <c r="M115" t="n">
        <v>0.0039</v>
      </c>
      <c r="N115" t="n">
        <v>0.0357</v>
      </c>
      <c r="O115" t="n">
        <v>0.08400000000000001</v>
      </c>
    </row>
    <row r="116">
      <c r="A116" t="inlineStr">
        <is>
          <t>butterknife</t>
        </is>
      </c>
      <c r="B116" t="inlineStr">
        <is>
          <t>butterknife-runtime/src/test/java/butterknife/OnItemSelectedTest.java</t>
        </is>
      </c>
      <c r="C116">
        <f>HYPERLINK("https://github.com/JakeWharton/butterknife/blob/master/butterknife-runtime/src/test/java/butterknife/OnItemSelectedTest.java")</f>
        <v/>
      </c>
      <c r="D116" t="inlineStr">
        <is>
          <t>The `OnItemSelectedTest` class in the `butterknife` package is a JUnit test case designed to verify the functionality of the ButterKnife library's annotation processor for handling item selection events on AdapterView widgets. The test checks if a method annotated with `@OnItemSelected` correctly processes click events at index 1. It uses Google's testing framework to compile Java source files containing annotations and then asserts</t>
        </is>
      </c>
      <c r="E116" t="n">
        <v>0.0035</v>
      </c>
      <c r="F116" t="n">
        <v>0.0556</v>
      </c>
      <c r="G116" t="n">
        <v>0.0746</v>
      </c>
      <c r="H116" t="inlineStr">
        <is>
          <t>This repository contains backend software components implementing core algorithms. Complexity is O(N), indicating linear time complexity for certain operations. The implementation includes comments explaining the purpose of each part of the code. Initial codebase was committed to establish the foundation. The total size of the codebase is 1000 lines.</t>
        </is>
      </c>
      <c r="I116" t="n">
        <v>0.0049</v>
      </c>
      <c r="J116" t="n">
        <v>0.1379</v>
      </c>
      <c r="K116" t="n">
        <v>0.2066</v>
      </c>
      <c r="L116" t="inlineStr">
        <is>
          <t>The `OnItemSelectedTest` class includes JUnit tests for handling multiple callback methods using the `@OnItemSelected` annotation from the Butterknife library. The tests verify that the annotated method is correctly invoked when an item is selected in an AdapterView at index 1.</t>
        </is>
      </c>
      <c r="M116" t="n">
        <v>0</v>
      </c>
      <c r="N116" t="n">
        <v>0</v>
      </c>
      <c r="O116" t="n">
        <v>0.0446</v>
      </c>
    </row>
    <row r="117">
      <c r="A117" t="inlineStr">
        <is>
          <t>butterknife</t>
        </is>
      </c>
      <c r="B117" t="inlineStr">
        <is>
          <t>butterknife-runtime/src/test/java/butterknife/BindStringTest.java</t>
        </is>
      </c>
      <c r="C117">
        <f>HYPERLINK("https://github.com/JakeWharton/butterknife/blob/master/butterknife-runtime/src/test/java/butterknife/BindStringTest.java")</f>
        <v/>
      </c>
      <c r="D117" t="inlineStr">
        <is>
          <t>The code is a JUnit test for the `ButterKnife` library's processor that checks if the `@BindString` annotation requires the annotated field to have a string type. The test creates a simple Java file with a class containing a field annotated with `@BindString`, but with a non-string type (`boolean`). When processed by the `ButterKnifeProcessor`, it should fail compilation</t>
        </is>
      </c>
      <c r="E117" t="n">
        <v>0</v>
      </c>
      <c r="F117" t="n">
        <v>0</v>
      </c>
      <c r="G117" t="n">
        <v>0</v>
      </c>
      <c r="H117" t="inlineStr">
        <is>
          <t>Tests that `@BindString` fields in Butterknife annotations must have a string type.</t>
        </is>
      </c>
      <c r="I117" t="n">
        <v>0</v>
      </c>
      <c r="J117" t="n">
        <v>0</v>
      </c>
      <c r="K117" t="n">
        <v>0</v>
      </c>
      <c r="L117" t="inlineStr">
        <is>
          <t>The `BindStringTest` class tests that the `@BindString` annotation requires fields to have a string type. The test case checks if using a non-string type for a field annotated with `@BindString` results in a compilation error indicating that the field type must be 'String'.</t>
        </is>
      </c>
      <c r="M117" t="n">
        <v>0</v>
      </c>
      <c r="N117" t="n">
        <v>0</v>
      </c>
      <c r="O117" t="n">
        <v>0.0435</v>
      </c>
    </row>
    <row r="118">
      <c r="A118" t="inlineStr">
        <is>
          <t>butterknife</t>
        </is>
      </c>
      <c r="B118" t="inlineStr">
        <is>
          <t>butterknife-runtime/src/test/java/butterknife/BindViewTest.java</t>
        </is>
      </c>
      <c r="C118">
        <f>HYPERLINK("https://github.com/JakeWharton/butterknife/blob/master/butterknife-runtime/src/test/java/butterknife/BindViewTest.java")</f>
        <v/>
      </c>
      <c r="D118" t="inlineStr">
        <is>
          <t>The `BindViewTest` class in the ButterKnife library is designed to verify that views annotated with `@BindView` can be correctly generated by the ButterKnife processor when building non-debuggable APKs. The test uses Google's Guava libraries for testing purposes, specifically focusing on compiling Java sources and checking their output against expected results. It includes a simple Java file representing a class with a view field annotated with `</t>
        </is>
      </c>
      <c r="E118" t="n">
        <v>0.0028</v>
      </c>
      <c r="F118" t="n">
        <v>0.0267</v>
      </c>
      <c r="G118" t="n">
        <v>0.0725</v>
      </c>
      <c r="H118" t="inlineStr">
        <is>
          <t>The repository contains backend software components with complexity O(N), implementing core algorithms. The code size is 1000 lines, and it includes comments explaining the implementation details.</t>
        </is>
      </c>
      <c r="I118" t="n">
        <v>0.009599999999999999</v>
      </c>
      <c r="J118" t="n">
        <v>0.2286</v>
      </c>
      <c r="K118" t="n">
        <v>0.2041</v>
      </c>
      <c r="L118" t="inlineStr">
        <is>
          <t>The `BindViewTest` class tests the ButterKnife library's ability to bind views without debugging enabled by compiling a simple Android project that uses Butterknife annotations. The test checks if the generated view binding classes correctly handle non-debuggable builds.</t>
        </is>
      </c>
      <c r="M118" t="n">
        <v>0</v>
      </c>
      <c r="N118" t="n">
        <v>0</v>
      </c>
      <c r="O118" t="n">
        <v>0.0459</v>
      </c>
    </row>
    <row r="119">
      <c r="A119" t="inlineStr">
        <is>
          <t>butterknife</t>
        </is>
      </c>
      <c r="B119" t="inlineStr">
        <is>
          <t>butterknife-runtime/src/test/java/butterknife/OnTouchTest.java</t>
        </is>
      </c>
      <c r="C119">
        <f>HYPERLINK("https://github.com/JakeWharton/butterknife/blob/master/butterknife-runtime/src/test/java/butterknife/OnTouchTest.java")</f>
        <v/>
      </c>
      <c r="D119" t="inlineStr">
        <is>
          <t>The `OnTouchTest` class in the Butterknife library is a JUnit test that verifies the correct generation of view bindings for methods annotated with `@OnTouch`. The test creates a simple Java file representing a class with an `@OnTouch` method and checks if the generated binding class correctly handles touch events on the specified view ID (1).</t>
        </is>
      </c>
      <c r="E119" t="n">
        <v>0.0033</v>
      </c>
      <c r="F119" t="n">
        <v>0.0317</v>
      </c>
      <c r="G119" t="n">
        <v>0.0394</v>
      </c>
      <c r="H119" t="inlineStr">
        <is>
          <t>Manages backend software components with complex algorithm implementations.</t>
        </is>
      </c>
      <c r="I119" t="n">
        <v>0.0278</v>
      </c>
      <c r="J119" t="n">
        <v>0.25</v>
      </c>
      <c r="K119" t="n">
        <v>0.0625</v>
      </c>
      <c r="L119" t="inlineStr">
        <is>
          <t>The `OnTouchTest` class tests the ButterKnife library's ability to handle touch events annotated with `@OnTouch`. It uses JUnit for testing and Google Truth for assertions. The test case checks if the method `doStuff` returns `false` when called from a view bound by ButterKnife.</t>
        </is>
      </c>
      <c r="M119" t="n">
        <v>0.0043</v>
      </c>
      <c r="N119" t="n">
        <v>0.0385</v>
      </c>
      <c r="O119" t="n">
        <v>0.08699999999999999</v>
      </c>
    </row>
    <row r="120">
      <c r="A120" t="inlineStr">
        <is>
          <t>butterknife</t>
        </is>
      </c>
      <c r="B120" t="inlineStr">
        <is>
          <t>butterknife-runtime/src/test/java/butterknife/BindAnimTest.java</t>
        </is>
      </c>
      <c r="C120">
        <f>HYPERLINK("https://github.com/JakeWharton/butterknife/blob/master/butterknife-runtime/src/test/java/butterknife/BindAnimTest.java")</f>
        <v/>
      </c>
      <c r="D120" t="inlineStr">
        <is>
          <t>The provided code is a JUnit test case for the `ButterKnife` library's `ButterKnifeProcessor`. It checks that the `@BindAnim` annotation requires the annotated field to have a type of `Animation`, otherwise it fails with an appropriate error message. The test uses Google Truth for assertions and compiles the Java source file using the `ButterKnifeProcessor` to verify its</t>
        </is>
      </c>
      <c r="E120" t="n">
        <v>0.0033</v>
      </c>
      <c r="F120" t="n">
        <v>0.0308</v>
      </c>
      <c r="G120" t="n">
        <v>0.0781</v>
      </c>
      <c r="H120" t="inlineStr">
        <is>
          <t>Tests that `@BindAnim` fields in Butterknife annotations must have a type of `Animation`.</t>
        </is>
      </c>
      <c r="I120" t="n">
        <v>0</v>
      </c>
      <c r="J120" t="n">
        <v>0</v>
      </c>
      <c r="K120" t="n">
        <v>0</v>
      </c>
      <c r="L120" t="inlineStr">
        <is>
          <t>The `BindAnimTest` class tests that the `@BindAnim` annotation correctly enforces that annotated fields must have a type of `android.animation.Animation`. The test case checks if using a string instead of an animation results in a compilation error indicating the expected type constraint is violated.</t>
        </is>
      </c>
      <c r="M120" t="n">
        <v>0</v>
      </c>
      <c r="N120" t="n">
        <v>0</v>
      </c>
      <c r="O120" t="n">
        <v>0.0435</v>
      </c>
    </row>
    <row r="121">
      <c r="A121" t="inlineStr">
        <is>
          <t>butterknife</t>
        </is>
      </c>
      <c r="B121" t="inlineStr">
        <is>
          <t>butterknife-runtime/src/test/java/butterknife/OnItemClickTest.java</t>
        </is>
      </c>
      <c r="C121">
        <f>HYPERLINK("https://github.com/JakeWharton/butterknife/blob/master/butterknife-runtime/src/test/java/butterknife/OnItemClickTest.java")</f>
        <v/>
      </c>
      <c r="D121" t="inlineStr">
        <is>
          <t>The `OnItemClickTest` class in the `butterknife` package is designed to verify the functionality of the ButterKnife library's `@OnClick` annotation when used on methods with parameters. It includes a test method named `onItemClickBinding`, which checks if the generated view binding for an activity or fragment correctly binds the `@OnItemClick` annotated method to the appropriate item click event listener. The</t>
        </is>
      </c>
      <c r="E121" t="n">
        <v>0.0031</v>
      </c>
      <c r="F121" t="n">
        <v>0.0299</v>
      </c>
      <c r="G121" t="n">
        <v>0.0385</v>
      </c>
      <c r="H121" t="inlineStr">
        <is>
          <t>The repository contains backend software components implementing core algorithms.</t>
        </is>
      </c>
      <c r="I121" t="n">
        <v>0.0285</v>
      </c>
      <c r="J121" t="n">
        <v>0.3529</v>
      </c>
      <c r="K121" t="n">
        <v>0.3155</v>
      </c>
      <c r="L121" t="inlineStr">
        <is>
          <t>The `OnItemClickTest` class includes a JUnit test case for verifying the correct generation of view bindings when using the `@OnItemClick` annotation in Butterknife. The test checks if the generated binding class correctly handles item click events at index 1.</t>
        </is>
      </c>
      <c r="M121" t="n">
        <v>0</v>
      </c>
      <c r="N121" t="n">
        <v>0</v>
      </c>
      <c r="O121" t="n">
        <v>0.045</v>
      </c>
    </row>
    <row r="122">
      <c r="A122" t="inlineStr">
        <is>
          <t>butterknife</t>
        </is>
      </c>
      <c r="B122" t="inlineStr">
        <is>
          <t>butterknife-runtime/src/test/java/butterknife/ClasspathParentBindTest.java</t>
        </is>
      </c>
      <c r="C122">
        <f>HYPERLINK("https://github.com/JakeWharton/butterknife/blob/master/butterknife-runtime/src/test/java/butterknife/ClasspathParentBindTest.java")</f>
        <v/>
      </c>
      <c r="D122" t="inlineStr">
        <is>
          <t>The provided Java code is part of a testing suite for ButterKnife library's annotation processor. It tests the ability to generate bindings for classes that extend other classes located on the classpath. The test uses JUnit and Google Truth libraries to compile and verify generated source files against expected output. The `ClasspathParentBindTest` class sets up a temporary folder for file operations and includes a single test method (`</t>
        </is>
      </c>
      <c r="E122" t="n">
        <v>0.0027</v>
      </c>
      <c r="F122" t="n">
        <v>0.0263</v>
      </c>
      <c r="G122" t="n">
        <v>0.07140000000000001</v>
      </c>
      <c r="H122" t="inlineStr">
        <is>
          <t>The repository contains backend software components with complexity O(N) and implements core algorithms. The implementation is based on comments indicating that it's an initial codebase commit. The total size of the codebase is 1000 lines.</t>
        </is>
      </c>
      <c r="I122" t="n">
        <v>0.0134</v>
      </c>
      <c r="J122" t="n">
        <v>0.1333</v>
      </c>
      <c r="K122" t="n">
        <v>0.295</v>
      </c>
      <c r="L122" t="inlineStr">
        <is>
          <t>This test suite verifies that ButterKnife can correctly bind views for classes that extend other classes defined in the project's classpath. It uses JUnit and Google Guava libraries to compile Java files containing Butterknife annotations and checks if the generated bytecode matches expected results. The tests ensure that bindings work seamlessly across different levels of inheritance within the application.</t>
        </is>
      </c>
      <c r="M122" t="n">
        <v>0.0037</v>
      </c>
      <c r="N122" t="n">
        <v>0.0588</v>
      </c>
      <c r="O122" t="n">
        <v>0.1145</v>
      </c>
    </row>
    <row r="123">
      <c r="A123" t="inlineStr">
        <is>
          <t>butterknife</t>
        </is>
      </c>
      <c r="B123" t="inlineStr">
        <is>
          <t>butterknife-runtime/src/test/java/butterknife/OnEditorActionTest.java</t>
        </is>
      </c>
      <c r="C123">
        <f>HYPERLINK("https://github.com/JakeWharton/butterknife/blob/master/butterknife-runtime/src/test/java/butterknife/OnEditorActionTest.java")</f>
        <v/>
      </c>
      <c r="D123" t="inlineStr">
        <is>
          <t>The provided code is part of a testing framework for ButterKnife library in Android development. It includes a JUnit test case named `OnEditorActionTest` that checks if the `@OnEditorAction` annotation works correctly when applied to a method within a Kotlin class. The test creates two Java files: one containing the annotated method (`Test`) and another containing the generated view binding file (`Test_ViewBinding</t>
        </is>
      </c>
      <c r="E123" t="n">
        <v>0.003</v>
      </c>
      <c r="F123" t="n">
        <v>0.0286</v>
      </c>
      <c r="G123" t="n">
        <v>0.0752</v>
      </c>
      <c r="H123" t="inlineStr">
        <is>
          <t>The repository contains backend software components with complexity O(N), implementing core algorithms. The code size is 1000 lines, and it includes an initial codebase commit.</t>
        </is>
      </c>
      <c r="I123" t="n">
        <v>0.01</v>
      </c>
      <c r="J123" t="n">
        <v>0.2353</v>
      </c>
      <c r="K123" t="n">
        <v>0.3254</v>
      </c>
      <c r="L123" t="inlineStr">
        <is>
          <t>The `OnEditorActionTest` class tests the ButterKnife library's ability to handle editor action events by generating view bindings for a simple Android application component. The test case checks if the annotated method correctly returns a boolean value based on the editor action event.</t>
        </is>
      </c>
      <c r="M123" t="n">
        <v>0</v>
      </c>
      <c r="N123" t="n">
        <v>0</v>
      </c>
      <c r="O123" t="n">
        <v>0</v>
      </c>
    </row>
    <row r="124">
      <c r="A124" t="inlineStr">
        <is>
          <t>butterknife</t>
        </is>
      </c>
      <c r="B124" t="inlineStr">
        <is>
          <t>butterknife-runtime/src/test/java/butterknife/RClassTest.java</t>
        </is>
      </c>
      <c r="C124">
        <f>HYPERLINK("https://github.com/JakeWharton/butterknife/blob/master/butterknife-runtime/src/test/java/butterknife/RClassTest.java")</f>
        <v/>
      </c>
      <c r="D124" t="inlineStr">
        <is>
          <t>The provided code is part of a testing suite for ButterKnife, a popular Android library that simplifies view binding in Android applications. The `RClassTest` class tests the functionality of ButterKnife's processor by compiling source files containing mock `R` classes and verifying their correctness using Google Truth assertions. It uses the `JavaFiles` API from Guava to create and compile these mock `R` classes and</t>
        </is>
      </c>
      <c r="E124" t="n">
        <v>0.0034</v>
      </c>
      <c r="F124" t="n">
        <v>0.0556</v>
      </c>
      <c r="G124" t="n">
        <v>0.0741</v>
      </c>
      <c r="H124" t="inlineStr">
        <is>
          <t>The repository contains backend software components with implementations of core algorithms. Complexity is O(N), indicating linear time complexity for certain operations. The README provides details about the project's purpose, structure, and key features.</t>
        </is>
      </c>
      <c r="I124" t="n">
        <v>0.0074</v>
      </c>
      <c r="J124" t="n">
        <v>0.186</v>
      </c>
      <c r="K124" t="n">
        <v>0.1905</v>
      </c>
      <c r="L124" t="inlineStr">
        <is>
          <t>This test suite verifies that the ButterKnife processor correctly handles non-final `R` classes by generating appropriate binding methods for them. It uses Google's TestNG framework to compile Java sources containing non-final `R` classes and checks if the generated binding files contain expected method signatures. The tests ensure that the processor can handle various types of resource references within these classes.</t>
        </is>
      </c>
      <c r="M124" t="n">
        <v>0.0036</v>
      </c>
      <c r="N124" t="n">
        <v>0.0563</v>
      </c>
      <c r="O124" t="n">
        <v>0.1136</v>
      </c>
    </row>
    <row r="125">
      <c r="A125" t="inlineStr">
        <is>
          <t>butterknife</t>
        </is>
      </c>
      <c r="B125" t="inlineStr">
        <is>
          <t>butterknife-runtime/src/test/java/butterknife/OnPageChangeTest.java</t>
        </is>
      </c>
      <c r="C125">
        <f>HYPERLINK("https://github.com/JakeWharton/butterknife/blob/master/butterknife-runtime/src/test/java/butterknife/OnPageChangeTest.java")</f>
        <v/>
      </c>
      <c r="D125" t="inlineStr">
        <is>
          <t>The provided code is part of a library called Butterknife for Android that generates boilerplate code to simplify view bindings in Android applications. The `OnPageChangeTest` class tests the functionality of ButterKnife's annotation processor by generating Java files with annotations indicating which methods should be invoked when a ViewPager changes pages. The test checks if the generated code correctly includes the necessary imports and method declarations based on the annotations specified</t>
        </is>
      </c>
      <c r="E125" t="n">
        <v>0.0031</v>
      </c>
      <c r="F125" t="n">
        <v>0.0506</v>
      </c>
      <c r="G125" t="n">
        <v>0.0704</v>
      </c>
      <c r="H125" t="inlineStr">
        <is>
          <t>This repository contains backend software components that implement core algorithms. Complexity is O(N), indicating linear time complexity in relation to input size N. The implementation includes comments explaining the purpose and functionality of each part of the code. Commits include an initial codebase creation. The total code size is 1000 lines.</t>
        </is>
      </c>
      <c r="I125" t="n">
        <v>0.0054</v>
      </c>
      <c r="J125" t="n">
        <v>0.1667</v>
      </c>
      <c r="K125" t="n">
        <v>0.2439</v>
      </c>
      <c r="L125" t="inlineStr">
        <is>
          <t>The `OnPageChangeTest` class tests the ButterKnife library's ability to handle annotations for ViewPager page change events. It uses JUnit to compile a simple Java class annotated with `@OnPageChange`, which triggers a method when a specific page is changed. The test ensures that the annotation processing correctly generates the necessary binding classes for handling these events.</t>
        </is>
      </c>
      <c r="M125" t="n">
        <v>0</v>
      </c>
      <c r="N125" t="n">
        <v>0</v>
      </c>
      <c r="O125" t="n">
        <v>0.0394</v>
      </c>
    </row>
    <row r="126">
      <c r="A126" t="inlineStr">
        <is>
          <t>butterknife</t>
        </is>
      </c>
      <c r="B126" t="inlineStr">
        <is>
          <t>butterknife-runtime/src/test/java/butterknife/BindBoolTest.java</t>
        </is>
      </c>
      <c r="C126">
        <f>HYPERLINK("https://github.com/JakeWharton/butterknife/blob/master/butterknife-runtime/src/test/java/butterknife/BindBoolTest.java")</f>
        <v/>
      </c>
      <c r="D126" t="inlineStr">
        <is>
          <t>The provided code is a JUnit test for the `ButterKnife` library's processor to ensure that fields annotated with `@BindBool` have boolean types. The test checks if attempting to compile a Java file containing such an annotation results in a compilation error indicating that the field type must be `boolean`.</t>
        </is>
      </c>
      <c r="E126" t="n">
        <v>0</v>
      </c>
      <c r="F126" t="n">
        <v>0</v>
      </c>
      <c r="G126" t="n">
        <v>0</v>
      </c>
      <c r="H126" t="inlineStr">
        <is>
          <t>Tests that `@BindBool` annotation requires fields to have boolean types in Butterknife library.</t>
        </is>
      </c>
      <c r="I126" t="n">
        <v>0</v>
      </c>
      <c r="J126" t="n">
        <v>0</v>
      </c>
      <c r="K126" t="n">
        <v>0</v>
      </c>
      <c r="L126" t="inlineStr">
        <is>
          <t>The `BindBoolTest` class tests that the `@BindBool` annotation requires fields to have boolean types. It uses JUnit to compile a simple Java class containing a field annotated with `@BindBool`, expecting compilation failure due to the incorrect field type. The test checks for the specific error message indicating that the field type must be boolean.</t>
        </is>
      </c>
      <c r="M126" t="n">
        <v>0</v>
      </c>
      <c r="N126" t="n">
        <v>0</v>
      </c>
      <c r="O126" t="n">
        <v>0.0397</v>
      </c>
    </row>
    <row r="127">
      <c r="A127" t="inlineStr">
        <is>
          <t>butterknife</t>
        </is>
      </c>
      <c r="B127" t="inlineStr">
        <is>
          <t>butterknife-runtime/src/test/java/butterknife/OnClickTest.java</t>
        </is>
      </c>
      <c r="C127">
        <f>HYPERLINK("https://github.com/JakeWharton/butterknife/blob/master/butterknife-runtime/src/test/java/butterknife/OnClickTest.java")</f>
        <v/>
      </c>
      <c r="D127" t="inlineStr">
        <is>
          <t>The provided code is part of a testing suite for ButterKnife library, specifically focusing on verifying that the `@OnClick` annotation works correctly by ensuring that the method annotated with it is called only once when the associated view is clicked. The test case checks if the `doStuff` method in the `Test` class is invoked exactly once when the `view` is clicked.</t>
        </is>
      </c>
      <c r="E127" t="n">
        <v>0</v>
      </c>
      <c r="F127" t="n">
        <v>0</v>
      </c>
      <c r="G127" t="n">
        <v>0.0376</v>
      </c>
      <c r="H127" t="inlineStr">
        <is>
          <t>This repository contains backend software components implementing core algorithms. Complexity is O(N), with comments indicating implementation details. The code size is 1000 lines.</t>
        </is>
      </c>
      <c r="I127" t="n">
        <v>0.0109</v>
      </c>
      <c r="J127" t="n">
        <v>0.25</v>
      </c>
      <c r="K127" t="n">
        <v>0.2105</v>
      </c>
      <c r="L127" t="inlineStr">
        <is>
          <t>The `OnClickTest` class tests the ButterKnife library's ability to correctly bind click events to views using annotations. It uses JUnit for testing and Google Truth for assertions. The test checks that the `doStuff` method is only called once when the associated view is clicked. The test case involves creating a simple Android activity with a button bound via Butterknife and verifying that the event handler is invoked as</t>
        </is>
      </c>
      <c r="M127" t="n">
        <v>0.0027</v>
      </c>
      <c r="N127" t="n">
        <v>0.026</v>
      </c>
      <c r="O127" t="n">
        <v>0.07140000000000001</v>
      </c>
    </row>
    <row r="128">
      <c r="A128" t="inlineStr">
        <is>
          <t>butterknife</t>
        </is>
      </c>
      <c r="B128" t="inlineStr">
        <is>
          <t>butterknife-runtime/src/test/java/butterknife/OnTextChangedTest.java</t>
        </is>
      </c>
      <c r="C128">
        <f>HYPERLINK("https://github.com/JakeWharton/butterknife/blob/master/butterknife-runtime/src/test/java/butterknife/OnTextChangedTest.java")</f>
        <v/>
      </c>
      <c r="D128" t="inlineStr">
        <is>
          <t>The provided code is part of a testing suite for the ButterKnife library, specifically focusing on the `OnTextChanged` annotation processor. The tests verify that the processor correctly generates view binding classes with appropriate methods annotated by `@OnTextChanged`. The code includes a simple test case where a method in a test class is annotated with `@OnTextChanged`, and the corresponding generated binding class should contain a method named `</t>
        </is>
      </c>
      <c r="E128" t="n">
        <v>0.0027</v>
      </c>
      <c r="F128" t="n">
        <v>0.027</v>
      </c>
      <c r="G128" t="n">
        <v>0.07190000000000001</v>
      </c>
      <c r="H128" t="inlineStr">
        <is>
          <t>The code is part of a library called Butterknife that generates boilerplate code for Android view bindings using annotations. The `OnTextChanged` annotation is used to bind a method to the `TextWatcher` interface on a TextView with a specific ID. The `textChanged` test checks if the generated binding code correctly handles this annotation.</t>
        </is>
      </c>
      <c r="I128" t="n">
        <v>0</v>
      </c>
      <c r="J128" t="n">
        <v>0.0333</v>
      </c>
      <c r="K128" t="n">
        <v>0.0806</v>
      </c>
      <c r="L128" t="inlineStr">
        <is>
          <t>The `OnTextChanged` annotation processes annotated methods within Android activities or fragments to automatically handle text changes for specified views. It generates view binding classes that implement `TextWatcher`, allowing developers to focus on business logic without boilerplate text change handling code. The `textChanged` method demonstrates how to use the annotation by specifying a view ID (1).</t>
        </is>
      </c>
      <c r="M128" t="n">
        <v>0</v>
      </c>
      <c r="N128" t="n">
        <v>0.0635</v>
      </c>
      <c r="O128" t="n">
        <v>0.07870000000000001</v>
      </c>
    </row>
    <row r="129">
      <c r="A129" t="inlineStr">
        <is>
          <t>butterknife</t>
        </is>
      </c>
      <c r="B129" t="inlineStr">
        <is>
          <t>butterknife-runtime/src/test/java/butterknife/BindIntTest.java</t>
        </is>
      </c>
      <c r="C129">
        <f>HYPERLINK("https://github.com/JakeWharton/butterknife/blob/master/butterknife-runtime/src/test/java/butterknife/BindIntTest.java")</f>
        <v/>
      </c>
      <c r="D129" t="inlineStr">
        <is>
          <t>The provided code is a JUnit test case for the `ButterKnife` library's processor that checks if the `@BindInt` annotation requires the annotated field to have a type of `int`. The test creates a simple Java file with a class containing a field annotated with `@BindInt`, which has a non-integer value (`"one"` instead of `1`). When processed by</t>
        </is>
      </c>
      <c r="E129" t="n">
        <v>0</v>
      </c>
      <c r="F129" t="n">
        <v>0</v>
      </c>
      <c r="G129" t="n">
        <v>0</v>
      </c>
      <c r="H129" t="inlineStr">
        <is>
          <t>Tests that `@BindInt` fields in Butterknife annotations must have an integer type.</t>
        </is>
      </c>
      <c r="I129" t="n">
        <v>0</v>
      </c>
      <c r="J129" t="n">
        <v>0</v>
      </c>
      <c r="K129" t="n">
        <v>0</v>
      </c>
      <c r="L129" t="inlineStr">
        <is>
          <t>This test checks that the `@BindInt` annotation requires fields to have an integer type. It uses Google's Guava Truth library for assertions and JUnit for testing. The test fails if the annotated field is not of type int, providing a specific error message indicating the issue.</t>
        </is>
      </c>
      <c r="M129" t="n">
        <v>0.0048</v>
      </c>
      <c r="N129" t="n">
        <v>0.0727</v>
      </c>
      <c r="O129" t="n">
        <v>0.1271</v>
      </c>
    </row>
    <row r="130">
      <c r="A130" t="inlineStr">
        <is>
          <t>butterknife</t>
        </is>
      </c>
      <c r="B130" t="inlineStr">
        <is>
          <t>butterknife-runtime/src/test/java/butterknife/ExtendDialogTest.java</t>
        </is>
      </c>
      <c r="C130">
        <f>HYPERLINK("https://github.com/JakeWharton/butterknife/blob/master/butterknife-runtime/src/test/java/butterknife/ExtendDialogTest.java")</f>
        <v/>
      </c>
      <c r="D130" t="inlineStr">
        <is>
          <t>The provided code is part of a testing suite for the ButterKnife library, specifically focusing on the `ExtendDialog` test case. It uses Google's Guava Truth framework to assert that certain conditions hold true when compiling a simple Android dialog class with ButterKnife annotations. The test checks if the generated view binding file correctly handles resources without any additional logic or methods beyond those specified in the test class.</t>
        </is>
      </c>
      <c r="E130" t="n">
        <v>0</v>
      </c>
      <c r="F130" t="n">
        <v>0.026</v>
      </c>
      <c r="G130" t="n">
        <v>0.0357</v>
      </c>
      <c r="H130" t="inlineStr">
        <is>
          <t>This repository contains backend software components implementing core algorithms. Complexity is O(N), with comments indicating implementation details. Initial codebase commit was made. The total size of the codebase is 1000 lines.</t>
        </is>
      </c>
      <c r="I130" t="n">
        <v>0.007900000000000001</v>
      </c>
      <c r="J130" t="n">
        <v>0.2</v>
      </c>
      <c r="K130" t="n">
        <v>0.1942</v>
      </c>
      <c r="L130" t="inlineStr">
        <is>
          <t>The `ExtendDialogTest` class tests the ButterKnife library's ability to bind views within a custom dialog class (`Test`). It uses a simple Java class that extends `Dialog`, includes a constructor, and defines a bound boolean field using ButterKnife annotations. The test checks if the generated view binding class is correctly created for this setup.</t>
        </is>
      </c>
      <c r="M130" t="n">
        <v>0.0035</v>
      </c>
      <c r="N130" t="n">
        <v>0.0323</v>
      </c>
      <c r="O130" t="n">
        <v>0.12</v>
      </c>
    </row>
    <row r="131">
      <c r="A131" t="inlineStr">
        <is>
          <t>butterknife</t>
        </is>
      </c>
      <c r="B131" t="inlineStr">
        <is>
          <t>butterknife-runtime/src/test/java/butterknife/ExtendActivityTest.java</t>
        </is>
      </c>
      <c r="C131">
        <f>HYPERLINK("https://github.com/JakeWharton/butterknife/blob/master/butterknife-runtime/src/test/java/butterknife/ExtendActivityTest.java")</f>
        <v/>
      </c>
      <c r="D131" t="inlineStr">
        <is>
          <t>The provided code is part of a testing suite for the ButterKnife library, specifically focusing on the `ExtendActivityTest` class. This test checks if ButterKnife can correctly generate view bindings for activities that extend other classes without causing errors or warnings during compilation. The test uses Google's Guava Truth framework to assert that the generated binding file does not contain any issues related to resource references in the activity class.</t>
        </is>
      </c>
      <c r="E131" t="n">
        <v>0.0026</v>
      </c>
      <c r="F131" t="n">
        <v>0.0256</v>
      </c>
      <c r="G131" t="n">
        <v>0.0709</v>
      </c>
      <c r="H131" t="inlineStr">
        <is>
          <t>This repository contains backend software components that implement core algorithms. The complexity is O(N), indicating linear time complexity for certain operations. The implementation includes comments explaining the purpose of each part of the code. The commits include an initial codebase commit. The total size of the codebase is 1000 lines.</t>
        </is>
      </c>
      <c r="I131" t="n">
        <v>0.0048</v>
      </c>
      <c r="J131" t="n">
        <v>0.1356</v>
      </c>
      <c r="K131" t="n">
        <v>0.2049</v>
      </c>
      <c r="L131" t="inlineStr">
        <is>
          <t>The `ExtendActivityTest` class tests the ButterKnife library's ability to bind boolean resources within an Android activity. It uses JUnit for testing and Google Truth for assertions. The test case checks if ButterKnife can correctly parse and apply bindings for boolean resource IDs (e.g., `@BindBool(1)`).</t>
        </is>
      </c>
      <c r="M131" t="n">
        <v>0.0042</v>
      </c>
      <c r="N131" t="n">
        <v>0.0364</v>
      </c>
      <c r="O131" t="n">
        <v>0.0862</v>
      </c>
    </row>
    <row r="132">
      <c r="A132" t="inlineStr">
        <is>
          <t>butterknife</t>
        </is>
      </c>
      <c r="B132" t="inlineStr">
        <is>
          <t>butterknife-runtime/src/test/java/butterknife/TestStubs.java</t>
        </is>
      </c>
      <c r="C132">
        <f>HYPERLINK("https://github.com/JakeWharton/butterknife/blob/master/butterknife-runtime/src/test/java/butterknife/TestStubs.java")</f>
        <v/>
      </c>
      <c r="D132" t="inlineStr">
        <is>
          <t>The `TestStubs` class in the `butterknife` package provides two static final `JavaFileObject` instances representing Android classes: `ContextCompat` from the `androidx.core.content` package and `ViewPager` from the `androidx.viewpager.widget` package. These stubs are used for testing purposes to simulate these Android APIs without requiring actual Android dependencies during compilation. The complexity</t>
        </is>
      </c>
      <c r="E132" t="n">
        <v>0.0038</v>
      </c>
      <c r="F132" t="n">
        <v>0.0667</v>
      </c>
      <c r="G132" t="n">
        <v>0.0833</v>
      </c>
      <c r="H132" t="inlineStr">
        <is>
          <t>The repository contains backend software components with complexity O(N) and implements core algorithms. The README provides information about the project's purpose and structure.</t>
        </is>
      </c>
      <c r="I132" t="n">
        <v>0.0208</v>
      </c>
      <c r="J132" t="n">
        <v>0.2424</v>
      </c>
      <c r="K132" t="n">
        <v>0.3322</v>
      </c>
      <c r="L132" t="inlineStr">
        <is>
          <t>The `TestStubs` class provides test stubs for Android framework classes such as `ContextCompat` from the AndroidX Core library and `ViewPager` from the AndroidX View Pager widget. These stubs allow developers to write unit tests without needing actual implementations of these classes, which can be useful during development and testing phases. The code is part of a larger repository containing backend software components and has</t>
        </is>
      </c>
      <c r="M132" t="n">
        <v>0.0034</v>
      </c>
      <c r="N132" t="n">
        <v>0.0556</v>
      </c>
      <c r="O132" t="n">
        <v>0.1838</v>
      </c>
    </row>
    <row r="133">
      <c r="A133" t="inlineStr">
        <is>
          <t>butterknife</t>
        </is>
      </c>
      <c r="B133" t="inlineStr">
        <is>
          <t>butterknife-runtime/src/androidTest/java/butterknife/ViewCollectionsTest.java</t>
        </is>
      </c>
      <c r="C133">
        <f>HYPERLINK("https://github.com/JakeWharton/butterknife/blob/master/butterknife-runtime/src/androidTest/java/butterknife/ViewCollectionsTest.java")</f>
        <v/>
      </c>
      <c r="D133" t="inlineStr">
        <is>
          <t>The provided code is part of a testing framework for Android views using Butter Knife library. It includes test cases to verify that properties like `isEnabled` can be accessed and modified on collections of views. The tests use Google Truth assertions to check if the expected values match the actual state of the views after operations such as enabling or setting alpha to zero.</t>
        </is>
      </c>
      <c r="E133" t="n">
        <v>0.0028</v>
      </c>
      <c r="F133" t="n">
        <v>0.0278</v>
      </c>
      <c r="G133" t="n">
        <v>0.0735</v>
      </c>
      <c r="H133" t="inlineStr">
        <is>
          <t>This repository contains backend software components implementing core algorithms with a time complexity of \(O(N)\). The README provides information about the project's purpose, complexity, comments, commits, and size in terms of lines of code.</t>
        </is>
      </c>
      <c r="I133" t="n">
        <v>0.0077</v>
      </c>
      <c r="J133" t="n">
        <v>0.2273</v>
      </c>
      <c r="K133" t="n">
        <v>0.3509</v>
      </c>
      <c r="L133" t="inlineStr">
        <is>
          <t>The `ViewCollectionsTest` class is part of a test suite for Android UI components using the Butterknife library. It includes tests that verify the enabling and disabling of views, as well as setting their alpha values. The tests use assertions from Google Truth to check if the expected properties are correctly applied to the views. The code complexity is moderate, given the number of methods and variables involved in testing various</t>
        </is>
      </c>
      <c r="M133" t="n">
        <v>0.0026</v>
      </c>
      <c r="N133" t="n">
        <v>0.0256</v>
      </c>
      <c r="O133" t="n">
        <v>0.0704</v>
      </c>
    </row>
    <row r="134">
      <c r="A134" t="inlineStr">
        <is>
          <t>butterknife</t>
        </is>
      </c>
      <c r="B134" t="inlineStr">
        <is>
          <t>butterknife-runtime/src/androidTest/java/butterknife/internal/UtilsTest.java</t>
        </is>
      </c>
      <c r="C134">
        <f>HYPERLINK("https://github.com/JakeWharton/butterknife/blob/master/butterknife-runtime/src/androidTest/java/butterknife/internal/UtilsTest.java")</f>
        <v/>
      </c>
      <c r="D134" t="inlineStr">
        <is>
          <t>The `UtilsTest` class in the `butterknife.internal` package tests the `findRequiredView` method from the `Utils` class to ensure it throws a meaningful exception when a required view is not found. The test cases cover both regular views and edit mode views, verifying that appropriate error messages are displayed based on these conditions.</t>
        </is>
      </c>
      <c r="E134" t="n">
        <v>0.0036</v>
      </c>
      <c r="F134" t="n">
        <v>0.0333</v>
      </c>
      <c r="G134" t="n">
        <v>0.0407</v>
      </c>
      <c r="H134" t="inlineStr">
        <is>
          <t>This repository contains backend software components implementing core algorithms. The complexity is O(N), indicating linear time operations in relation to input size N. The comments describe the implementation of these algorithms. Initial codebase commit provides the starting point for development. The total code size is 1000 lines.</t>
        </is>
      </c>
      <c r="I134" t="n">
        <v>0.0051</v>
      </c>
      <c r="J134" t="n">
        <v>0.1429</v>
      </c>
      <c r="K134" t="n">
        <v>0.1681</v>
      </c>
      <c r="L134" t="inlineStr">
        <is>
          <t>The `UtilsTest` class contains two test methods that verify the error handling mechanism within the `Utils` class when finding required views using Android's `findViewById`. The first method checks if the correct exception message is thrown when attempting to find a non-existent view by ID, while the second method ensures that a more informative error message is displayed in edit mode scenarios. These tests help ensure that the `Utils</t>
        </is>
      </c>
      <c r="M134" t="n">
        <v>0</v>
      </c>
      <c r="N134" t="n">
        <v>0</v>
      </c>
      <c r="O134" t="n">
        <v>0.0357</v>
      </c>
    </row>
    <row r="135">
      <c r="A135" t="inlineStr">
        <is>
          <t>butterknife</t>
        </is>
      </c>
      <c r="B135" t="inlineStr">
        <is>
          <t>butterknife-lint/src/main/java/butterknife/lint/InvalidR2UsageDetector.java</t>
        </is>
      </c>
      <c r="C135">
        <f>HYPERLINK("https://github.com/JakeWharton/butterknife/blob/master/butterknife-lint/src/main/java/butterknife/lint/InvalidR2UsageDetector.java")</f>
        <v/>
      </c>
      <c r="D135" t="inlineStr">
        <is>
          <t>The provided Java code is part of a lint detector for Android projects using the Android Lint tool. It checks for usage of Butter Knife annotations in Kotlin files within Android projects to ensure proper setup and compatibility with ButterKnife library. The code implements a custom `Detector` that scans Kotlin source files (`KtFile`) and looks for specific annotations related to Butter Knife's view injection features. If it finds any</t>
        </is>
      </c>
      <c r="E135" t="n">
        <v>0.0031</v>
      </c>
      <c r="F135" t="n">
        <v>0.0513</v>
      </c>
      <c r="G135" t="n">
        <v>0.1064</v>
      </c>
      <c r="H135" t="inlineStr">
        <is>
          <t>The provided code is a custom lint detector for Android projects that checks for specific annotations on classes to ensure they meet certain criteria related to Butterknife library usage. It scans Java files in an Android project to identify classes annotated with `@InjectView`, `@OnClick`, etc., and verifies if these annotations are correctly used according to Butterknife's conventions. The complexity is O(N), where N is the</t>
        </is>
      </c>
      <c r="I135" t="n">
        <v>0.0028</v>
      </c>
      <c r="J135" t="n">
        <v>0.0267</v>
      </c>
      <c r="K135" t="n">
        <v>0.073</v>
      </c>
      <c r="L135" t="inlineStr">
        <is>
          <t>This Java package contains a custom lint detector for Butter Knife annotations used in Android development. The detector checks for potential issues related to ButterKnife usage, such as incorrect annotation targets or missing dependencies. It analyzes annotated classes and methods to ensure proper setup and compatibility with Butter Knife's features.</t>
        </is>
      </c>
      <c r="M135" t="n">
        <v>0.0044</v>
      </c>
      <c r="N135" t="n">
        <v>0.0678</v>
      </c>
      <c r="O135" t="n">
        <v>0.123</v>
      </c>
    </row>
    <row r="136">
      <c r="A136" t="inlineStr">
        <is>
          <t>butterknife</t>
        </is>
      </c>
      <c r="B136" t="inlineStr">
        <is>
          <t>butterknife-lint/src/main/java/butterknife/lint/LintRegistry.java</t>
        </is>
      </c>
      <c r="C136">
        <f>HYPERLINK("https://github.com/JakeWharton/butterknife/blob/master/butterknife-lint/src/main/java/butterknife/lint/LintRegistry.java")</f>
        <v/>
      </c>
      <c r="D136" t="inlineStr">
        <is>
          <t>The `LintRegistry` class in the Butterknife library is responsible for registering custom lint checks with Android Studio's lint tooling system. It defines a single issue related to using R2 IDs incorrectly within Butterknife annotations. The class implements the `IssueRegistry` interface from the Android Lint API, providing a list of issues that can be detected by the lint engine. This setup allows developers to identify</t>
        </is>
      </c>
      <c r="E136" t="n">
        <v>0.0034</v>
      </c>
      <c r="F136" t="n">
        <v>0.0274</v>
      </c>
      <c r="G136" t="n">
        <v>0.1103</v>
      </c>
      <c r="H136" t="inlineStr">
        <is>
          <t>The provided code defines a `LintRegistry` class that registers a single issue detector (`InvalidR2UsageDetector`) for ButterKnife library in Android development using Android Lint tooling. The complexity is linear with respect to the number of issues registered (in this case, just one). The comments explain its purpose as implementing core algorithms for Butterknife's lint checks.</t>
        </is>
      </c>
      <c r="I136" t="n">
        <v>0.0034</v>
      </c>
      <c r="J136" t="n">
        <v>0.09520000000000001</v>
      </c>
      <c r="K136" t="n">
        <v>0.2505</v>
      </c>
      <c r="L136" t="inlineStr">
        <is>
          <t>This Java class serves as a registry for ButterKnife's custom lint checks within Android development projects. It includes a single issue detector, `InvalidR2UsageDetector`, which identifies potential issues related to using R2 IDs instead of R IDs in Butterknife annotations. The class is designed to be part of the ButterKnife library's linting framework, ensuring that developers adhere to best practices by checking for deprecated ID usage</t>
        </is>
      </c>
      <c r="M136" t="n">
        <v>0.0028</v>
      </c>
      <c r="N136" t="n">
        <v>0.0267</v>
      </c>
      <c r="O136" t="n">
        <v>0.073</v>
      </c>
    </row>
    <row r="137">
      <c r="A137" t="inlineStr">
        <is>
          <t>butterknife</t>
        </is>
      </c>
      <c r="B137" t="inlineStr">
        <is>
          <t>butterknife-lint/src/test/java/butterknife/lint/LintRegistryTest.java</t>
        </is>
      </c>
      <c r="C137">
        <f>HYPERLINK("https://github.com/JakeWharton/butterknife/blob/master/butterknife-lint/src/test/java/butterknife/lint/LintRegistryTest.java")</f>
        <v/>
      </c>
      <c r="D137" t="inlineStr">
        <is>
          <t>The `LintRegistryTest` class in the `butterknife.lint` package tests whether the `LintRegistry` class correctly retrieves the `InvalidR2UsageDetector.ISSUE`. The test uses JUnit to assert that the registry's list of issues includes this specific issue. This ensures that the linting system is functioning as expected for detecting invalid R2 usage within Butter Knife annotations.</t>
        </is>
      </c>
      <c r="E137" t="n">
        <v>0.0036</v>
      </c>
      <c r="F137" t="n">
        <v>0.0645</v>
      </c>
      <c r="G137" t="n">
        <v>0.0813</v>
      </c>
      <c r="H137" t="inlineStr">
        <is>
          <t>Tests that the `LintRegistry` includes the `InvalidR2UsageDetector` issue.</t>
        </is>
      </c>
      <c r="I137" t="n">
        <v>0</v>
      </c>
      <c r="J137" t="n">
        <v>0</v>
      </c>
      <c r="K137" t="n">
        <v>0</v>
      </c>
      <c r="L137" t="inlineStr">
        <is>
          <t>The `LintRegistryTest` class tests the `getIssues()` method from the `LintRegistry` class, ensuring that it correctly returns the expected issue defined by `InvalidR2UsageDetector`. The test uses JUnit for testing and asserts that the returned list includes the specified issue.</t>
        </is>
      </c>
      <c r="M137" t="n">
        <v>0.0049</v>
      </c>
      <c r="N137" t="n">
        <v>0.0435</v>
      </c>
      <c r="O137" t="n">
        <v>0.09089999999999999</v>
      </c>
    </row>
    <row r="138">
      <c r="A138" t="inlineStr">
        <is>
          <t>butterknife</t>
        </is>
      </c>
      <c r="B138" t="inlineStr">
        <is>
          <t>butterknife-lint/src/test/java/butterknife/lint/InvalidR2UsageDetectorTest.java</t>
        </is>
      </c>
      <c r="C138">
        <f>HYPERLINK("https://github.com/JakeWharton/butterknife/blob/master/butterknife-lint/src/test/java/butterknife/lint/InvalidR2UsageDetectorTest.java")</f>
        <v/>
      </c>
      <c r="D138" t="inlineStr">
        <is>
          <t>The provided Java code is part of a lint check for Android projects using Butterknife library. It defines two test files: `BIND_TEST` and `R2`. The `BIND_TEST` file contains a custom annotation used by Butterknife to bind views in activities or fragments. The `R2` file represents the resource IDs generated by the R2 processor from XML layout files. The code tests whether</t>
        </is>
      </c>
      <c r="E138" t="n">
        <v>0.003</v>
      </c>
      <c r="F138" t="n">
        <v>0.0282</v>
      </c>
      <c r="G138" t="n">
        <v>0.0752</v>
      </c>
      <c r="H138" t="inlineStr">
        <is>
          <t>This repository contains backend software components with complexity O(N), implementing core algorithms. The code size is 1000 lines, and it includes initial commits to establish the codebase.</t>
        </is>
      </c>
      <c r="I138" t="n">
        <v>0.009900000000000001</v>
      </c>
      <c r="J138" t="n">
        <v>0.2778</v>
      </c>
      <c r="K138" t="n">
        <v>0.3758</v>
      </c>
      <c r="L138" t="inlineStr">
        <is>
          <t>This Java test suite checks for invalid usage of `@BindTest` annotations in Android projects using Butter Knife library. It includes two test files: one defining the custom annotation `@BindTest`, and another representing a resource file where such annotations might be used incorrectly. The tests verify that these annotations are correctly applied according to their intended use cases within the context of Butter Knife's binding mechanism.</t>
        </is>
      </c>
      <c r="M138" t="n">
        <v>0.0033</v>
      </c>
      <c r="N138" t="n">
        <v>0.0541</v>
      </c>
      <c r="O138" t="n">
        <v>0.1095</v>
      </c>
    </row>
    <row r="139">
      <c r="A139" t="inlineStr">
        <is>
          <t>butterknife</t>
        </is>
      </c>
      <c r="B139" t="inlineStr">
        <is>
          <t>butterknife/src/main/java/butterknife/ButterKnife.java</t>
        </is>
      </c>
      <c r="C139">
        <f>HYPERLINK("https://github.com/JakeWharton/butterknife/blob/master/butterknife/src/main/java/butterknife/ButterKnife.java")</f>
        <v/>
      </c>
      <c r="D139" t="inlineStr">
        <is>
          <t>The provided code is part of the Butterknife library, which simplifies view binding in Android applications using annotations. It allows developers to bind views directly to fields or methods within their activities or fragments without manually looking up each view by ID. The library uses reflection to automatically find and attach views based on the `@BindView` annotation. This reduces boilerplate code and makes it easier to manage UI elements in</t>
        </is>
      </c>
      <c r="E139" t="n">
        <v>0.0031</v>
      </c>
      <c r="F139" t="n">
        <v>0.0513</v>
      </c>
      <c r="G139" t="n">
        <v>0.1056</v>
      </c>
      <c r="H139" t="inlineStr">
        <is>
          <t>This repository contains backend software components implementing core algorithms. Complexity is O(N), indicating linear time complexity in relation to input size. The implementation includes comments explaining the purpose and functionality of each component. Commits include an initial codebase commit. The total code size is 1000 lines.</t>
        </is>
      </c>
      <c r="I139" t="n">
        <v>0.006</v>
      </c>
      <c r="J139" t="n">
        <v>0.1818</v>
      </c>
      <c r="K139" t="n">
        <v>0.2542</v>
      </c>
      <c r="L139" t="inlineStr">
        <is>
          <t>This Java library provides annotation-based view injection for Android activities and dialogs, simplifying the process of finding and binding views and event listeners using annotations. It supports both field and method bindings and includes features like visibility testing and logging for debugging purposes. The library uses reflection to dynamically inject views at runtime, making it efficient and flexible for Android development.</t>
        </is>
      </c>
      <c r="M139" t="n">
        <v>0.0036</v>
      </c>
      <c r="N139" t="n">
        <v>0.0571</v>
      </c>
      <c r="O139" t="n">
        <v>0.1128</v>
      </c>
    </row>
    <row r="140">
      <c r="A140" t="inlineStr">
        <is>
          <t>butterknife</t>
        </is>
      </c>
      <c r="B140" t="inlineStr">
        <is>
          <t>butterknife/src/main/java/butterknife/package-info.java</t>
        </is>
      </c>
      <c r="C140">
        <f>HYPERLINK("https://github.com/JakeWharton/butterknife/blob/master/butterknife/src/main/java/butterknife/package-info.java")</f>
        <v/>
      </c>
      <c r="D140" t="inlineStr">
        <is>
          <t>The provided code is part of the Butterknife library, which automates view binding in Android applications. It allows developers to eliminate boilerplate code related to finding views and setting up event listeners by using annotations during compilation. The library supports various features such as:
1. Binding views directly to fields using `@BindView`.
2. Grouping multiple views into lists or arrays.
3. Handling click events with</t>
        </is>
      </c>
      <c r="E140" t="n">
        <v>0.0028</v>
      </c>
      <c r="F140" t="n">
        <v>0.0274</v>
      </c>
      <c r="G140" t="n">
        <v>0.073</v>
      </c>
      <c r="H140" t="inlineStr">
        <is>
          <t>Provides a library for automatically generating view bindings for Android applications using annotation processing. It simplifies the process of finding views, grouping them, handling click events, and reducing resource lookups. Complexity is high due to the generation of boilerplate code based on annotations.</t>
        </is>
      </c>
      <c r="I140" t="n">
        <v>0.0043</v>
      </c>
      <c r="J140" t="n">
        <v>0.0392</v>
      </c>
      <c r="K140" t="n">
        <v>0.08699999999999999</v>
      </c>
      <c r="L140" t="inlineStr">
        <is>
          <t>ButterKnife is a library that simplifies view binding in Android applications by utilizing annotation processing to automatically generate boilerplate code for finding views, handling click events, and more. It eliminates the need for manual findViewById() calls, groups views into lists or arrays, and reduces the use of anonymous inner classes for event handlers. The library supports various types of bindings such as text, images, and custom views</t>
        </is>
      </c>
      <c r="M140" t="n">
        <v>0.0027</v>
      </c>
      <c r="N140" t="n">
        <v>0.0267</v>
      </c>
      <c r="O140" t="n">
        <v>0.07190000000000001</v>
      </c>
    </row>
    <row r="141">
      <c r="A141" t="inlineStr">
        <is>
          <t>butterknife</t>
        </is>
      </c>
      <c r="B141" t="inlineStr">
        <is>
          <t>butterknife/src/androidTest/java/butterknife/ButterKnifeTest.java</t>
        </is>
      </c>
      <c r="C141">
        <f>HYPERLINK("https://github.com/JakeWharton/butterknife/blob/master/butterknife/src/androidTest/java/butterknife/ButterKnifeTest.java")</f>
        <v/>
      </c>
      <c r="D141" t="inlineStr">
        <is>
          <t>The provided code is a JUnit test suite for the `ButterKnife` library in Android development. It tests various functionalities related to binding views using Butterknife annotations. The key points include:
- **Context Setup**: The test uses `InstrumentationRegistry.getContext()` to obtain the application's context.
- **Resetting Bindings Cache**: Before and after each test, it clears the cache of</t>
        </is>
      </c>
      <c r="E141" t="n">
        <v>0.0033</v>
      </c>
      <c r="F141" t="n">
        <v>0.0625</v>
      </c>
      <c r="G141" t="n">
        <v>0.0781</v>
      </c>
      <c r="H141" t="inlineStr">
        <is>
          <t>This repository contains backend software components implementing core algorithms with a time complexity of \(O(N)\), using Java for implementation. The README provides details about the project's purpose, complexity, comments, commits, and code size.</t>
        </is>
      </c>
      <c r="I141" t="n">
        <v>0.008</v>
      </c>
      <c r="J141" t="n">
        <v>0.2326</v>
      </c>
      <c r="K141" t="n">
        <v>0.4061</v>
      </c>
      <c r="L141" t="inlineStr">
        <is>
          <t>The `ButterKnifeTest` class is designed to verify the correctness of the ButterKnife library's ability to bind views without throwing exceptions and to cache bindings for future use. It includes two tests: one that checks if calling `bind()` with no known classes results in an empty binder and caches the entry correctly, and another that verifies that calling `bind()` with known packages has no effect. The tests</t>
        </is>
      </c>
      <c r="M141" t="n">
        <v>0.0028</v>
      </c>
      <c r="N141" t="n">
        <v>0.0267</v>
      </c>
      <c r="O141" t="n">
        <v>0.0362</v>
      </c>
    </row>
    <row r="142">
      <c r="A142" t="inlineStr">
        <is>
          <t>butterknife</t>
        </is>
      </c>
      <c r="B142" t="inlineStr">
        <is>
          <t>butterknife-compiler/src/main/java/butterknife/compiler/Parameter.java</t>
        </is>
      </c>
      <c r="C142">
        <f>HYPERLINK("https://github.com/JakeWharton/butterknife/blob/master/butterknife-compiler/src/main/java/butterknife/compiler/Parameter.java")</f>
        <v/>
      </c>
      <c r="D142" t="inlineStr">
        <is>
          <t>The `Parameter` class represents a parameter type and its position within a listener method. It includes methods for retrieving the listener's position and the parameter's type, as well as a check to determine if casting is required between the parameter type and a specified target type. The class uses JavaPoet to generate code and has a static array `NONE` containing no parameters.</t>
        </is>
      </c>
      <c r="E142" t="n">
        <v>0.0029</v>
      </c>
      <c r="F142" t="n">
        <v>0.0278</v>
      </c>
      <c r="G142" t="n">
        <v>0.0746</v>
      </c>
      <c r="H142" t="inlineStr">
        <is>
          <t>Represents a parameter type and its position in a listener method. Provides methods for getting the listener position and type, as well as checking if a cast is required.</t>
        </is>
      </c>
      <c r="I142" t="n">
        <v>0.0065</v>
      </c>
      <c r="J142" t="n">
        <v>0.0541</v>
      </c>
      <c r="K142" t="n">
        <v>0.0495</v>
      </c>
      <c r="L142" t="inlineStr">
        <is>
          <t>The `Parameter` class represents a parameter type and its position within a listener method. It provides methods to retrieve the listener's position and the parameter's type, as well as a check to determine if a cast is required when converting the parameter to another type. The class includes a static array `NONE` for representing no parameters.</t>
        </is>
      </c>
      <c r="M142" t="n">
        <v>0.0033</v>
      </c>
      <c r="N142" t="n">
        <v>0.0303</v>
      </c>
      <c r="O142" t="n">
        <v>0.0391</v>
      </c>
    </row>
    <row r="143">
      <c r="A143" t="inlineStr">
        <is>
          <t>butterknife</t>
        </is>
      </c>
      <c r="B143" t="inlineStr">
        <is>
          <t>butterknife-compiler/src/main/java/butterknife/compiler/FieldResourceBinding.java</t>
        </is>
      </c>
      <c r="C143">
        <f>HYPERLINK("https://github.com/JakeWharton/butterknife/blob/master/butterknife-compiler/src/main/java/butterknife/compiler/FieldResourceBinding.java")</f>
        <v/>
      </c>
      <c r="D143" t="inlineStr">
        <is>
          <t>The `FieldResourceBinding` class is part of the Butterknife compiler package in Android development. It provides resource binding capabilities for fields within Java classes using annotations. The class includes an enumeration `Type` that defines different types of resources (e.g., bitmap, boolean, color) along with their corresponding methods to retrieve these resources from context objects. The implementation uses Google Guava's `ImmutableList`</t>
        </is>
      </c>
      <c r="E143" t="n">
        <v>0</v>
      </c>
      <c r="F143" t="n">
        <v>0.029</v>
      </c>
      <c r="G143" t="n">
        <v>0.07630000000000001</v>
      </c>
      <c r="H143" t="inlineStr">
        <is>
          <t>This repository contains backend software components implementing core algorithms. The complexity is O(N), indicating linear time operations in relation to input size.</t>
        </is>
      </c>
      <c r="I143" t="n">
        <v>0.0114</v>
      </c>
      <c r="J143" t="n">
        <v>0.2581</v>
      </c>
      <c r="K143" t="n">
        <v>0.3358</v>
      </c>
      <c r="L143" t="inlineStr">
        <is>
          <t>The `FieldResourceBinding` class is part of a Butterknife compiler that generates Java code for binding resources to fields in Android activities and fragments. It includes methods for handling various resource types such as bitmaps, booleans, colors, color state lists, dimensions (as integers and floats), and integers. The class uses enums to define different types of resource bindings and utilizes `JavaPoet` to</t>
        </is>
      </c>
      <c r="M143" t="n">
        <v>0.003</v>
      </c>
      <c r="N143" t="n">
        <v>0.029</v>
      </c>
      <c r="O143" t="n">
        <v>0.0752</v>
      </c>
    </row>
    <row r="144">
      <c r="A144" t="inlineStr">
        <is>
          <t>butterknife</t>
        </is>
      </c>
      <c r="B144" t="inlineStr">
        <is>
          <t>butterknife-compiler/src/main/java/butterknife/compiler/ViewBinding.java</t>
        </is>
      </c>
      <c r="C144">
        <f>HYPERLINK("https://github.com/JakeWharton/butterknife/blob/master/butterknife-compiler/src/main/java/butterknife/compiler/ViewBinding.java")</f>
        <v/>
      </c>
      <c r="D144" t="inlineStr">
        <is>
          <t>The `ViewBinding` class in the Butterknife compiler package is designed to manage view binding information for Android views. It includes fields for:
- An `Id` representing the unique identifier associated with the view.
- A map (`methodBindings`) that maps listener classes to methods and sets of `MethodViewBinding` objects, which represent how listeners should be attached to specific views.
- An optional `</t>
        </is>
      </c>
      <c r="E144" t="n">
        <v>0.0029</v>
      </c>
      <c r="F144" t="n">
        <v>0.0303</v>
      </c>
      <c r="G144" t="n">
        <v>0.0746</v>
      </c>
      <c r="H144" t="inlineStr">
        <is>
          <t>Manages view bindings for Android applications using Butter Knife library. Contains classes to handle listener methods and field bindings for views. Complexity is O(N), where N represents the number of view elements being bound.</t>
        </is>
      </c>
      <c r="I144" t="n">
        <v>0.0055</v>
      </c>
      <c r="J144" t="n">
        <v>0.0465</v>
      </c>
      <c r="K144" t="n">
        <v>0.09429999999999999</v>
      </c>
      <c r="L144" t="inlineStr">
        <is>
          <t>The `ViewBinding` class encapsulates data related to view binding for Android applications. It stores an ID associated with the binding, maps listener classes and methods to their corresponding method bindings, and optionally includes a field binding. The constructor initializes these fields, while getter methods provide access to them. This structure is used by ButterKnife to manage and apply view bindings efficiently during runtime.</t>
        </is>
      </c>
      <c r="M144" t="n">
        <v>0.0034</v>
      </c>
      <c r="N144" t="n">
        <v>0.0563</v>
      </c>
      <c r="O144" t="n">
        <v>0.1111</v>
      </c>
    </row>
    <row r="145">
      <c r="A145" t="inlineStr">
        <is>
          <t>butterknife</t>
        </is>
      </c>
      <c r="B145" t="inlineStr">
        <is>
          <t>butterknife-compiler/src/main/java/butterknife/compiler/ButterKnifeProcessor.java</t>
        </is>
      </c>
      <c r="C145">
        <f>HYPERLINK("https://github.com/JakeWharton/butterknife/blob/master/butterknife-compiler/src/main/java/butterknife/compiler/ButterKnifeProcessor.java")</f>
        <v/>
      </c>
      <c r="D145" t="inlineStr">
        <is>
          <t>The provided code is part of a library called Butter Knife, which is used to simplify view binding in Android applications. It includes annotations for various UI elements such as views, arrays, strings, and more, along with methods for handling events like clicks, focus changes, and text changes. The code also supports optional fields and custom listeners using `@Optional` annotation. The complexity of the implementation is O</t>
        </is>
      </c>
      <c r="E145" t="n">
        <v>0.0027</v>
      </c>
      <c r="F145" t="n">
        <v>0.0267</v>
      </c>
      <c r="G145" t="n">
        <v>0.1079</v>
      </c>
      <c r="H145" t="inlineStr">
        <is>
          <t>This repository contains backend software components implementing core algorithms.</t>
        </is>
      </c>
      <c r="I145" t="n">
        <v>0.0316</v>
      </c>
      <c r="J145" t="n">
        <v>0.4706</v>
      </c>
      <c r="K145" t="n">
        <v>0.3897</v>
      </c>
      <c r="L145" t="inlineStr">
        <is>
          <t>The code is part of a Butterknife library for Android that provides annotations for binding views and event listeners at compile time. It includes bindings for various view types such as `@BindView`, `@BindViews`, and `@OnClick` among others, allowing developers to reduce boilerplate code by automatically generating the necessary listener implementations. The code also supports optional fields using the `@Optional` annotation.</t>
        </is>
      </c>
      <c r="M145" t="n">
        <v>0.003</v>
      </c>
      <c r="N145" t="n">
        <v>0.0294</v>
      </c>
      <c r="O145" t="n">
        <v>0.07580000000000001</v>
      </c>
    </row>
    <row r="146">
      <c r="A146" t="inlineStr">
        <is>
          <t>butterknife</t>
        </is>
      </c>
      <c r="B146" t="inlineStr">
        <is>
          <t>butterknife-compiler/src/main/java/butterknife/compiler/Id.java</t>
        </is>
      </c>
      <c r="C146">
        <f>HYPERLINK("https://github.com/JakeWharton/butterknife/blob/master/butterknife-compiler/src/main/java/butterknife/compiler/Id.java")</f>
        <v/>
      </c>
      <c r="D146" t="inlineStr">
        <is>
          <t>The `Id` class in the Butterknife compiler package represents an identifier for an Android resource. It can either be a simple integer or a qualified reference to a resource within the application's resources directory. The constructor allows specifying both the raw integer value and optionally a symbol representing the resource, which is used to generate more descriptive code blocks when necessary. This helps in generating efficient and readable Java code that interacts</t>
        </is>
      </c>
      <c r="E146" t="n">
        <v>0.003</v>
      </c>
      <c r="F146" t="n">
        <v>0.0494</v>
      </c>
      <c r="G146" t="n">
        <v>0.1042</v>
      </c>
      <c r="H146" t="inlineStr">
        <is>
          <t>This repository contains backend software components implementing core algorithms.</t>
        </is>
      </c>
      <c r="I146" t="n">
        <v>0.0316</v>
      </c>
      <c r="J146" t="n">
        <v>0.4706</v>
      </c>
      <c r="K146" t="n">
        <v>0.3897</v>
      </c>
      <c r="L146" t="inlineStr">
        <is>
          <t>The `Id` class represents an integer-based identifier for Android resources, providing methods to convert these identifiers into their corresponding Java expressions based on whether they are qualified or unqualified. The constructor initializes either a simple integer ID or a fully qualified resource name using reflection to access the appropriate package and class names from the `R` class.</t>
        </is>
      </c>
      <c r="M146" t="n">
        <v>0.0032</v>
      </c>
      <c r="N146" t="n">
        <v>0.0303</v>
      </c>
      <c r="O146" t="n">
        <v>0.0775</v>
      </c>
    </row>
    <row r="147">
      <c r="A147" t="inlineStr">
        <is>
          <t>butterknife</t>
        </is>
      </c>
      <c r="B147" t="inlineStr">
        <is>
          <t>butterknife-compiler/src/main/java/butterknife/compiler/FieldCollectionViewBinding.java</t>
        </is>
      </c>
      <c r="C147">
        <f>HYPERLINK("https://github.com/JakeWharton/butterknife/blob/master/butterknife-compiler/src/main/java/butterknife/compiler/FieldCollectionViewBinding.java")</f>
        <v/>
      </c>
      <c r="D147" t="inlineStr">
        <is>
          <t>The `FieldCollectionViewBinding` class is part of a library that generates Java code for binding views in Android applications using Butter Knife. It defines a field collection view binding with various properties such as name, type, kind (ARRAY or LIST), IDs, and whether it's required. The `render` method constructs a `CodeBlock` to generate the necessary code for setting up the view binding based on</t>
        </is>
      </c>
      <c r="E147" t="n">
        <v>0.0029</v>
      </c>
      <c r="F147" t="n">
        <v>0.0278</v>
      </c>
      <c r="G147" t="n">
        <v>0.0741</v>
      </c>
      <c r="H147" t="inlineStr">
        <is>
          <t>This repository contains backend software components that implement core algorithms. The complexity is O(N), indicating linear time complexity for certain operations. The implementation includes comments explaining key parts of the code, with an initial commit to establish the project's foundation. The total size of the codebase is 1000 lines.</t>
        </is>
      </c>
      <c r="I147" t="n">
        <v>0.0049</v>
      </c>
      <c r="J147" t="n">
        <v>0.1356</v>
      </c>
      <c r="K147" t="n">
        <v>0.2066</v>
      </c>
      <c r="L147" t="inlineStr">
        <is>
          <t>This Java class `FieldCollectionViewBinding` is part of a Butterknife library for Android development. It represents bindings for collection views (like RecyclerViews), handling both arrays and lists. The class includes fields such as binding name, data type, binding kind (ARRAY or LIST), IDs associated with the view, and whether they require casting. The `render` method generates code blocks based on these properties,</t>
        </is>
      </c>
      <c r="M147" t="n">
        <v>0.0036</v>
      </c>
      <c r="N147" t="n">
        <v>0.058</v>
      </c>
      <c r="O147" t="n">
        <v>0.1128</v>
      </c>
    </row>
    <row r="148">
      <c r="A148" t="inlineStr">
        <is>
          <t>butterknife</t>
        </is>
      </c>
      <c r="B148" t="inlineStr">
        <is>
          <t>butterknife-compiler/src/main/java/butterknife/compiler/BindingSet.java</t>
        </is>
      </c>
      <c r="C148">
        <f>HYPERLINK("https://github.com/JakeWharton/butterknife/blob/master/butterknife-compiler/src/main/java/butterknife/compiler/BindingSet.java")</f>
        <v/>
      </c>
      <c r="D148" t="inlineStr">
        <is>
          <t>The provided code is part of a Butterknife library for Android that generates boilerplate code to simplify event handling in activities and fragments. It uses annotations like `@OnTouch` to automatically bind touch events to methods within the annotated class. The code processes Java classes with these annotations, generating corresponding listener classes and method implementations to handle touch events efficiently.</t>
        </is>
      </c>
      <c r="E148" t="n">
        <v>0.0031</v>
      </c>
      <c r="F148" t="n">
        <v>0.0299</v>
      </c>
      <c r="G148" t="n">
        <v>0.1145</v>
      </c>
      <c r="H148" t="inlineStr">
        <is>
          <t>This repository contains backend software components implementing core algorithms. Complexity is O(N), with comments indicating implementation details. The code size is 1000 lines.</t>
        </is>
      </c>
      <c r="I148" t="n">
        <v>0.0109</v>
      </c>
      <c r="J148" t="n">
        <v>0.25</v>
      </c>
      <c r="K148" t="n">
        <v>0.2105</v>
      </c>
      <c r="L148" t="inlineStr">
        <is>
          <t>The Butterknife compiler generates Java classes that implement touch event listeners for annotated fields in Android activities and fragments. It processes annotations like `@OnTouch` to create listener methods that handle touch events, reducing boilerplate code and improving performance by avoiding reflection. The generated classes are part of the Butterknife library's implementation and are used at compile time to enhance view binding capabilities.</t>
        </is>
      </c>
      <c r="M148" t="n">
        <v>0.0029</v>
      </c>
      <c r="N148" t="n">
        <v>0.0563</v>
      </c>
      <c r="O148" t="n">
        <v>0.1119</v>
      </c>
    </row>
    <row r="149">
      <c r="A149" t="inlineStr">
        <is>
          <t>butterknife</t>
        </is>
      </c>
      <c r="B149" t="inlineStr">
        <is>
          <t>butterknife-compiler/src/main/java/butterknife/compiler/FieldAnimationBinding.java</t>
        </is>
      </c>
      <c r="C149">
        <f>HYPERLINK("https://github.com/JakeWharton/butterknife/blob/master/butterknife-compiler/src/main/java/butterknife/compiler/FieldAnimationBinding.java")</f>
        <v/>
      </c>
      <c r="D149" t="inlineStr">
        <is>
          <t>The `FieldAnimationBinding` class is part of a library that generates Java code for binding animations to fields in Android views using ButterKnife. It handles the rendering of animation resources into Java code, specifically targeting field assignments with animation names from resource IDs. The class provides methods to retrieve the ID associated with the binding, check if any resources are required based on SDK version, and generate the necessary Java code block</t>
        </is>
      </c>
      <c r="E149" t="n">
        <v>0.0026</v>
      </c>
      <c r="F149" t="n">
        <v>0.0253</v>
      </c>
      <c r="G149" t="n">
        <v>0.0699</v>
      </c>
      <c r="H149" t="inlineStr">
        <is>
          <t>The code defines a `FieldAnimationBinding` class within the `butterknife.compiler` package that generates Java code for binding animation resources to fields in Android views. It uses the `CodeBlock` class from the `com.squareup.javapoet` library to construct the necessary code. The class includes methods to retrieve the ID and check if resource requirements are needed based on the SDK version. The `</t>
        </is>
      </c>
      <c r="I149" t="n">
        <v>0.0031</v>
      </c>
      <c r="J149" t="n">
        <v>0.029</v>
      </c>
      <c r="K149" t="n">
        <v>0.07630000000000001</v>
      </c>
      <c r="L149" t="inlineStr">
        <is>
          <t>This code defines a `FieldAnimationBinding` class within the ButterKnife compiler package, which is responsible for handling animation resource bindings in Android applications. The class takes an ID and a name as parameters during initialization and provides methods to retrieve the ID and check if resources are required based on the SDK version. It also generates JavaPoet-generated code blocks that set up animations using the specified animation resource ID from the</t>
        </is>
      </c>
      <c r="M149" t="n">
        <v>0.0031</v>
      </c>
      <c r="N149" t="n">
        <v>0.0506</v>
      </c>
      <c r="O149" t="n">
        <v>0.1056</v>
      </c>
    </row>
    <row r="150">
      <c r="A150" t="inlineStr">
        <is>
          <t>butterknife</t>
        </is>
      </c>
      <c r="B150" t="inlineStr">
        <is>
          <t>butterknife-compiler/src/main/java/butterknife/compiler/MethodViewBinding.java</t>
        </is>
      </c>
      <c r="C150">
        <f>HYPERLINK("https://github.com/JakeWharton/butterknife/blob/master/butterknife-compiler/src/main/java/butterknife/compiler/MethodViewBinding.java")</f>
        <v/>
      </c>
      <c r="D150" t="inlineStr">
        <is>
          <t>The `MethodViewBinding` class in the Butterknife compiler package represents a binding between a method and its associated view parameters. It includes fields for the method's name, parameters, whether it is required, and whether it returns a value. The constructor initializes these fields, ensuring that the list of parameters is unmodifiable to prevent external modifications. Methods like `getName`, `getParameters`, `getDescription`,</t>
        </is>
      </c>
      <c r="E150" t="n">
        <v>0.0031</v>
      </c>
      <c r="F150" t="n">
        <v>0.0294</v>
      </c>
      <c r="G150" t="n">
        <v>0.0382</v>
      </c>
      <c r="H150" t="inlineStr">
        <is>
          <t>The provided Java code defines a `MethodViewBinding` class within the `butterknife.compiler` package. This class represents a method binding in a view binding system, encapsulating details such as the method's name, parameters, whether it is required, and whether it returns a value. The class uses unmodifiable lists to store its parameters for immutability. It provides methods to access these properties</t>
        </is>
      </c>
      <c r="I150" t="n">
        <v>0.0037</v>
      </c>
      <c r="J150" t="n">
        <v>0.058</v>
      </c>
      <c r="K150" t="n">
        <v>0.1145</v>
      </c>
      <c r="L150" t="inlineStr">
        <is>
          <t>The `MethodViewBinding` class represents a view binding method within a Butterknife library for Android development. It encapsulates details such as the method's name, parameters, whether it is required, and whether it returns a value. The class provides methods to retrieve these properties and includes a description that describes the method being bound.</t>
        </is>
      </c>
      <c r="M150" t="n">
        <v>0.0035</v>
      </c>
      <c r="N150" t="n">
        <v>0.0328</v>
      </c>
      <c r="O150" t="n">
        <v>0.0403</v>
      </c>
    </row>
    <row r="151">
      <c r="A151" t="inlineStr">
        <is>
          <t>butterknife</t>
        </is>
      </c>
      <c r="B151" t="inlineStr">
        <is>
          <t>butterknife-compiler/src/main/java/butterknife/compiler/FieldViewBinding.java</t>
        </is>
      </c>
      <c r="C151">
        <f>HYPERLINK("https://github.com/JakeWharton/butterknife/blob/master/butterknife-compiler/src/main/java/butterknife/compiler/FieldViewBinding.java")</f>
        <v/>
      </c>
      <c r="D151" t="inlineStr">
        <is>
          <t>The `FieldViewBinding` class in the Butterknife compiler package represents a binding between a field and a view in Android development. It encapsulates information about the field's name, type, and whether it is required for proper operation. The class provides methods to retrieve these details and generate descriptions based on the field's properties.</t>
        </is>
      </c>
      <c r="E151" t="n">
        <v>0.0035</v>
      </c>
      <c r="F151" t="n">
        <v>0.0323</v>
      </c>
      <c r="G151" t="n">
        <v>0.0403</v>
      </c>
      <c r="H151" t="inlineStr">
        <is>
          <t>The provided code defines a `FieldViewBinding` class within the `butterknife.compiler` package. This class represents a field binding in Android's Butter Knife library, which is used for view injection. It includes fields for the binding's name, type, and whether it is required. The class provides methods to retrieve these properties and generate descriptions based on the binding's details. The complexity is O</t>
        </is>
      </c>
      <c r="I151" t="n">
        <v>0.0036</v>
      </c>
      <c r="J151" t="n">
        <v>0.0548</v>
      </c>
      <c r="K151" t="n">
        <v>0.1128</v>
      </c>
      <c r="L151" t="inlineStr">
        <is>
          <t>This Java class `FieldViewBinding` represents a binding between a field and a view in Android development using Butterknife library. It encapsulates details such as the field's name, type, and whether it is required for proper operation. The class provides methods to retrieve these properties and generates a description of the field binding.</t>
        </is>
      </c>
      <c r="M151" t="n">
        <v>0.0042</v>
      </c>
      <c r="N151" t="n">
        <v>0.06560000000000001</v>
      </c>
      <c r="O151" t="n">
        <v>0.121</v>
      </c>
    </row>
    <row r="152">
      <c r="A152" t="inlineStr">
        <is>
          <t>butterknife</t>
        </is>
      </c>
      <c r="B152" t="inlineStr">
        <is>
          <t>butterknife-compiler/src/main/java/butterknife/compiler/FieldTypefaceBinding.java</t>
        </is>
      </c>
      <c r="C152">
        <f>HYPERLINK("https://github.com/JakeWharton/butterknife/blob/master/butterknife-compiler/src/main/java/butterknife/compiler/FieldTypefaceBinding.java")</f>
        <v/>
      </c>
      <c r="D152" t="inlineStr">
        <is>
          <t>The provided code is part of a library that generates Java classes using annotations to bind resources such as typefaces to views. It includes:
- A `FieldTypefaceBinding` class that represents a binding between a resource ID and its corresponding `Typeface`.
- An enumeration `TypefaceStyles` representing different styles of fonts.
- Static methods to get `ClassName` objects for AndroidX's `ResourcesCompat</t>
        </is>
      </c>
      <c r="E152" t="n">
        <v>0.0031</v>
      </c>
      <c r="F152" t="n">
        <v>0.0308</v>
      </c>
      <c r="G152" t="n">
        <v>0.07630000000000001</v>
      </c>
      <c r="H152" t="inlineStr">
        <is>
          <t>The provided code is part of a backend software component that includes implementations of core algorithms. It uses JavaPoet to generate code and handles resource binding for Android applications using `ResourcesCompat` and `Typeface`. The complexity is O(N), indicating linear time operations based on input size.</t>
        </is>
      </c>
      <c r="I152" t="n">
        <v>0.0054</v>
      </c>
      <c r="J152" t="n">
        <v>0.1481</v>
      </c>
      <c r="K152" t="n">
        <v>0.2137</v>
      </c>
      <c r="L152" t="inlineStr">
        <is>
          <t>The FieldTypefaceBinding class is part of the ButterKnife compiler package and handles resource binding for `Typeface` objects using Android's `ResourcesCompat`. It includes an enumeration `TypefaceStyles` that maps integer constants to corresponding `Typeface` styles. The class provides methods to bind resources based on their IDs and names, supporting various font styles such as normal, bold, italic, and bold-italic</t>
        </is>
      </c>
      <c r="M152" t="n">
        <v>0.0032</v>
      </c>
      <c r="N152" t="n">
        <v>0.0299</v>
      </c>
      <c r="O152" t="n">
        <v>0.0775</v>
      </c>
    </row>
    <row r="153">
      <c r="A153" t="inlineStr">
        <is>
          <t>butterknife</t>
        </is>
      </c>
      <c r="B153" t="inlineStr">
        <is>
          <t>butterknife-compiler/src/main/java/butterknife/compiler/FieldDrawableBinding.java</t>
        </is>
      </c>
      <c r="C153">
        <f>HYPERLINK("https://github.com/JakeWharton/butterknife/blob/master/butterknife-compiler/src/main/java/butterknife/compiler/FieldDrawableBinding.java")</f>
        <v/>
      </c>
      <c r="D153" t="inlineStr">
        <is>
          <t>The `FieldDrawableBinding` class is part of a library that generates Java code for binding drawable resources to fields in Android views using Butterknife. It handles cases where drawables may require tints based on specified attributes or have different behavior depending on API levels. The class provides methods to retrieve the ID, check resource requirements, and generate rendering code for the field.</t>
        </is>
      </c>
      <c r="E153" t="n">
        <v>0.003</v>
      </c>
      <c r="F153" t="n">
        <v>0.029</v>
      </c>
      <c r="G153" t="n">
        <v>0.0752</v>
      </c>
      <c r="H153" t="inlineStr">
        <is>
          <t>This repository contains backend software components that implement core algorithms. Complexity is O(N), indicating linear time complexity for certain operations. The implementation includes comments explaining the purpose of each part of the code. The repository was initially created with an initial codebase commit. The total size of the codebase is 1000 lines.</t>
        </is>
      </c>
      <c r="I153" t="n">
        <v>0.0046</v>
      </c>
      <c r="J153" t="n">
        <v>0.1311</v>
      </c>
      <c r="K153" t="n">
        <v>0.2016</v>
      </c>
      <c r="L153" t="inlineStr">
        <is>
          <t>The `FieldDrawableBinding` class is responsible for rendering drawable resources into fields within views. It checks if a tint attribute ID is set; if so, it uses the `getTintedDrawable` method from the `Utils` class to apply the specified tint. If no tint attribute is set and the SDK version is at least 21, it simply sets the drawable using the `getDrawable</t>
        </is>
      </c>
      <c r="M153" t="n">
        <v>0.003</v>
      </c>
      <c r="N153" t="n">
        <v>0.0294</v>
      </c>
      <c r="O153" t="n">
        <v>0.07580000000000001</v>
      </c>
    </row>
    <row r="154">
      <c r="A154" t="inlineStr">
        <is>
          <t>butterknife</t>
        </is>
      </c>
      <c r="B154" t="inlineStr">
        <is>
          <t>butterknife-compiler/src/main/java/butterknife/compiler/MemberViewBinding.java</t>
        </is>
      </c>
      <c r="C154">
        <f>HYPERLINK("https://github.com/JakeWharton/butterknife/blob/master/butterknife-compiler/src/main/java/butterknife/compiler/MemberViewBinding.java")</f>
        <v/>
      </c>
      <c r="D154" t="inlineStr">
        <is>
          <t>The `MemberViewBinding` interface represents a binding between a member variable or method and a view in Android development using Butterknife library. It includes a method to return a human-readable description of the binding. The complexity is O(1) as it involves simple operations like accessing fields and returning strings.</t>
        </is>
      </c>
      <c r="E154" t="n">
        <v>0.0038</v>
      </c>
      <c r="F154" t="n">
        <v>0.0345</v>
      </c>
      <c r="G154" t="n">
        <v>0.0833</v>
      </c>
      <c r="H154" t="inlineStr">
        <is>
          <t>Provides an interface for describing member view bindings with descriptions.</t>
        </is>
      </c>
      <c r="I154" t="n">
        <v>0</v>
      </c>
      <c r="J154" t="n">
        <v>0</v>
      </c>
      <c r="K154" t="n">
        <v>0</v>
      </c>
      <c r="L154" t="inlineStr">
        <is>
          <t>The `MemberViewBinding` interface represents a view binding for fields or methods within a Butterknife library. It provides a way to describe these bindings in a human-readable format, which is useful for debugging and documentation purposes. The implementation details are focused on defining how to retrieve descriptions of these bindings.</t>
        </is>
      </c>
      <c r="M154" t="n">
        <v>0.0037</v>
      </c>
      <c r="N154" t="n">
        <v>0.0345</v>
      </c>
      <c r="O154" t="n">
        <v>0.124</v>
      </c>
    </row>
    <row r="155">
      <c r="A155" t="inlineStr">
        <is>
          <t>butterknife</t>
        </is>
      </c>
      <c r="B155" t="inlineStr">
        <is>
          <t>butterknife-compiler/src/main/java/butterknife/compiler/ResourceBinding.java</t>
        </is>
      </c>
      <c r="C155">
        <f>HYPERLINK("https://github.com/JakeWharton/butterknife/blob/master/butterknife-compiler/src/main/java/butterknife/compiler/ResourceBinding.java")</f>
        <v/>
      </c>
      <c r="D155" t="inlineStr">
        <is>
          <t>The `ResourceBinding` interface in the `butterknife.compiler` package defines methods to manage resource bindings for Android development. It includes:
- An `id()` method that returns the identifier associated with the binding.
- A `requiresResources(int sdk)` method that determines whether the rendering code needs a `Resources` object based on the specified SDK version.
- A `render(int sdk)` method that</t>
        </is>
      </c>
      <c r="E155" t="n">
        <v>0</v>
      </c>
      <c r="F155" t="n">
        <v>0</v>
      </c>
      <c r="G155" t="n">
        <v>0</v>
      </c>
      <c r="H155" t="inlineStr">
        <is>
          <t>Provides interfaces for resource bindings in Butterknife compiler with methods to determine ID, check for resource requirements, and generate rendering code based on SDK version.</t>
        </is>
      </c>
      <c r="I155" t="n">
        <v>0.0076</v>
      </c>
      <c r="J155" t="n">
        <v>0.0606</v>
      </c>
      <c r="K155" t="n">
        <v>0.0515</v>
      </c>
      <c r="L155" t="inlineStr">
        <is>
          <t>The `ResourceBinding` interface defines methods for generating resource bindings in JavaPoet code blocks based on IDs and SDK requirements. It includes methods to retrieve the ID associated with each binding, check if resources are required, and render the corresponding code block for use in Android development projects. The implementation complexity is O(1), and existing comments indicate that it implements core algorithmic functions related to resource management in</t>
        </is>
      </c>
      <c r="M155" t="n">
        <v>0.0064</v>
      </c>
      <c r="N155" t="n">
        <v>0.0789</v>
      </c>
      <c r="O155" t="n">
        <v>0.2271</v>
      </c>
    </row>
    <row r="156">
      <c r="A156" t="inlineStr">
        <is>
          <t>butterknife</t>
        </is>
      </c>
      <c r="B156" t="inlineStr">
        <is>
          <t>butterknife-compiler/src/test/java/butterknife/compiler/BindingSetTest.java</t>
        </is>
      </c>
      <c r="C156">
        <f>HYPERLINK("https://github.com/JakeWharton/butterknife/blob/master/butterknife-compiler/src/test/java/butterknife/compiler/BindingSetTest.java")</f>
        <v/>
      </c>
      <c r="D156" t="inlineStr">
        <is>
          <t>The `BindingSetTest` class in the `butterknife.compiler` package tests the `asHumanDescription` method from the same package. This method takes a list of `MemberViewBinding` objects and returns a human-readable string describing them. The test cases cover scenarios with single, two, and multiple bindings, ensuring that the method correctly formats the descriptions according to standard English grammar rules.</t>
        </is>
      </c>
      <c r="E156" t="n">
        <v>0.004</v>
      </c>
      <c r="F156" t="n">
        <v>0.0615</v>
      </c>
      <c r="G156" t="n">
        <v>0.07870000000000001</v>
      </c>
      <c r="H156" t="inlineStr">
        <is>
          <t>The code in this repository is a collection of backend software components that implement core algorithms. The complexity of these implementations is O(N), indicating linear time complexity with respect to input size N. The comments provide details about the implementation's purpose and structure. The commits indicate the initial creation of the codebase. The total code size is 1000 lines.</t>
        </is>
      </c>
      <c r="I156" t="n">
        <v>0.0041</v>
      </c>
      <c r="J156" t="n">
        <v>0.1449</v>
      </c>
      <c r="K156" t="n">
        <v>0.1908</v>
      </c>
      <c r="L156" t="inlineStr">
        <is>
          <t>The `BindingSet` test class tests the `asHumanDescription` method from the `butterknife.compiler` package. It verifies that the method correctly joins member view bindings into a human-readable string format, handling single, pairs, and multiple bindings appropriately. The test cases demonstrate how the method formats descriptions for different numbers of bindings.</t>
        </is>
      </c>
      <c r="M156" t="n">
        <v>0.0038</v>
      </c>
      <c r="N156" t="n">
        <v>0.0345</v>
      </c>
      <c r="O156" t="n">
        <v>0.0417</v>
      </c>
    </row>
    <row r="157">
      <c r="A157" t="inlineStr">
        <is>
          <t>butterknife</t>
        </is>
      </c>
      <c r="B157" t="inlineStr">
        <is>
          <t>sample/app/src/main/java/com/example/butterknife/SimpleApp.java</t>
        </is>
      </c>
      <c r="C157">
        <f>HYPERLINK("https://github.com/JakeWharton/butterknife/blob/master/sample/app/src/main/java/com/example/butterknife/SimpleApp.java")</f>
        <v/>
      </c>
      <c r="D157" t="inlineStr">
        <is>
          <t>The provided code is a simple Android application that sets up Butter Knife for debugging purposes in debug mode. It overrides the `onCreate` method to enable or disable debugging based on the value of `BuildConfig.DEBUG`. This setup helps developers during development by enabling detailed logging and error messages when using Butter Knife annotations. The complexity of this code is O(1) as it involves setting a single configuration flag</t>
        </is>
      </c>
      <c r="E157" t="n">
        <v>0.0032</v>
      </c>
      <c r="F157" t="n">
        <v>0.0513</v>
      </c>
      <c r="G157" t="n">
        <v>0.1071</v>
      </c>
      <c r="H157" t="inlineStr">
        <is>
          <t>The code initializes Butter Knife for debugging in the `SimpleApp` application when it is created. It sets up Butter Knife to be debuggable based on the value of `BuildConfig.DEBUG`. This setup allows developers to use Butter Knife's features more effectively during development by enabling logging and other debugging tools. The complexity is O(1) as it involves setting a single configuration flag.</t>
        </is>
      </c>
      <c r="I157" t="n">
        <v>0.0036</v>
      </c>
      <c r="J157" t="n">
        <v>0.0556</v>
      </c>
      <c r="K157" t="n">
        <v>0.1504</v>
      </c>
      <c r="L157" t="inlineStr">
        <is>
          <t>The `SimpleApp` class is an Android application that initializes Butter Knife for debugging purposes during development by setting `BuildConfig.DEBUG`.</t>
        </is>
      </c>
      <c r="M157" t="n">
        <v>0</v>
      </c>
      <c r="N157" t="n">
        <v>0</v>
      </c>
      <c r="O157" t="n">
        <v>0</v>
      </c>
    </row>
    <row r="158">
      <c r="A158" t="inlineStr">
        <is>
          <t>butterknife</t>
        </is>
      </c>
      <c r="B158" t="inlineStr">
        <is>
          <t>sample/app/src/main/java/com/example/butterknife/unbinder/D.java</t>
        </is>
      </c>
      <c r="C158">
        <f>HYPERLINK("https://github.com/JakeWharton/butterknife/blob/master/sample/app/src/main/java/com/example/butterknife/unbinder/D.java")</f>
        <v/>
      </c>
      <c r="D158" t="inlineStr">
        <is>
          <t>The provided code is part of a project that uses Butter Knife for binding views in Android applications. It defines a class `D` that extends another class `C`. The class includes a field annotated with `@BindColor`, which binds the color resource `android.R.color.darker_gray` to an integer variable named `grayColor`. In the constructor, it initializes the superclass with the given view and</t>
        </is>
      </c>
      <c r="E158" t="n">
        <v>0.003</v>
      </c>
      <c r="F158" t="n">
        <v>0.0278</v>
      </c>
      <c r="G158" t="n">
        <v>0.07580000000000001</v>
      </c>
      <c r="H158" t="inlineStr">
        <is>
          <t>The code defines a Java class `D` that extends another class `C`. It uses Butter Knife for binding views to fields annotated with `@BindColor`, specifically setting the color field `grayColor` to a predefined darker gray color from Android's resources. The complexity is O(1), as it involves constant-time operations like accessing resource IDs and initializing fields.</t>
        </is>
      </c>
      <c r="I158" t="n">
        <v>0.0033</v>
      </c>
      <c r="J158" t="n">
        <v>0.0303</v>
      </c>
      <c r="K158" t="n">
        <v>0.07870000000000001</v>
      </c>
      <c r="L158" t="inlineStr">
        <is>
          <t>The `D` class extends `C` and uses Butter Knife for binding views. It includes a field annotated with `@BindColor` that binds the darker gray color resource from Android's resources to an integer variable named `grayColor`. The constructor initializes the superclass with the given view and performs the binding using Butter Knife.</t>
        </is>
      </c>
      <c r="M158" t="n">
        <v>0.0036</v>
      </c>
      <c r="N158" t="n">
        <v>0.0333</v>
      </c>
      <c r="O158" t="n">
        <v>0.0813</v>
      </c>
    </row>
    <row r="159">
      <c r="A159" t="inlineStr">
        <is>
          <t>butterknife</t>
        </is>
      </c>
      <c r="B159" t="inlineStr">
        <is>
          <t>sample/app/src/main/java/com/example/butterknife/unbinder/E.java</t>
        </is>
      </c>
      <c r="C159">
        <f>HYPERLINK("https://github.com/JakeWharton/butterknife/blob/master/sample/app/src/main/java/com/example/butterknife/unbinder/E.java")</f>
        <v/>
      </c>
      <c r="D159" t="inlineStr">
        <is>
          <t>The provided Java code defines a class `E` that extends another class `C`. It uses Butter Knife for binding views to fields annotated with `@BindColor`, specifically setting the `backgroundDarkColor` field to the color defined in `android.R.color.background_dark`. The constructor initializes the superclass with the given view and binds the fields using Butter Knife. This setup is part of a larger project related</t>
        </is>
      </c>
      <c r="E159" t="n">
        <v>0.0036</v>
      </c>
      <c r="F159" t="n">
        <v>0.0274</v>
      </c>
      <c r="G159" t="n">
        <v>0.1128</v>
      </c>
      <c r="H159" t="inlineStr">
        <is>
          <t>This Java package contains backend software components that implement core algorithms. The complexity is O(N), indicating linear time performance in relation to input size. The README provides information about the repository's purpose and includes comments explaining the implementation details.</t>
        </is>
      </c>
      <c r="I159" t="n">
        <v>0.0067</v>
      </c>
      <c r="J159" t="n">
        <v>0.2041</v>
      </c>
      <c r="K159" t="n">
        <v>0.2252</v>
      </c>
      <c r="L159" t="inlineStr">
        <is>
          <t>This Java class `E` extends another class `C`. It uses Butter Knife for binding views, specifically setting the color of a background view using the `@BindColor` annotation from Android's support library. The constructor initializes the superclass with a given view and binds the UI elements defined by Butter Knife annotations.</t>
        </is>
      </c>
      <c r="M159" t="n">
        <v>0.0044</v>
      </c>
      <c r="N159" t="n">
        <v>0.0678</v>
      </c>
      <c r="O159" t="n">
        <v>0.123</v>
      </c>
    </row>
    <row r="160">
      <c r="A160" t="inlineStr">
        <is>
          <t>butterknife</t>
        </is>
      </c>
      <c r="B160" t="inlineStr">
        <is>
          <t>sample/app/src/main/java/com/example/butterknife/unbinder/C.java</t>
        </is>
      </c>
      <c r="C160">
        <f>HYPERLINK("https://github.com/JakeWharton/butterknife/blob/master/sample/app/src/main/java/com/example/butterknife/unbinder/C.java")</f>
        <v/>
      </c>
      <c r="D160" t="inlineStr">
        <is>
          <t>The provided code is part of a project that uses Butter Knife for view binding in Android development. It defines a subclass `C` of another class `B`, which includes two fields annotated with Butter Knife's `@BindView` annotation: one for a color (`transparentColor`) and another for a view (`button1`). The constructor initializes these fields by calling `ButterKnife.bind(this, view)`</t>
        </is>
      </c>
      <c r="E160" t="n">
        <v>0.0032</v>
      </c>
      <c r="F160" t="n">
        <v>0.0294</v>
      </c>
      <c r="G160" t="n">
        <v>0.0775</v>
      </c>
      <c r="H160" t="inlineStr">
        <is>
          <t>This Java package contains Butter Knife bindings for views in Android applications, allowing for efficient data binding between UI elements and their corresponding fields or methods. The `C` class inherits from `B` and uses Butter Knife annotations to bind specific colors and views to instance variables. This setup simplifies the process of accessing and manipulating UI elements within activities or fragments.</t>
        </is>
      </c>
      <c r="I160" t="n">
        <v>0.0036</v>
      </c>
      <c r="J160" t="n">
        <v>0.058</v>
      </c>
      <c r="K160" t="n">
        <v>0.1128</v>
      </c>
      <c r="L160" t="inlineStr">
        <is>
          <t>This Java class `C` extends another class `B`. It uses Butter Knife for binding views and colors from XML layouts. The constructor initializes the superclass and binds the views using Butter Knife's `bind` method. The class includes two fields annotated with `@BindView`: one for a color (`transparentColor`) and another for a view (`button1`).</t>
        </is>
      </c>
      <c r="M160" t="n">
        <v>0.0041</v>
      </c>
      <c r="N160" t="n">
        <v>0.0645</v>
      </c>
      <c r="O160" t="n">
        <v>0.12</v>
      </c>
    </row>
    <row r="161">
      <c r="A161" t="inlineStr">
        <is>
          <t>butterknife</t>
        </is>
      </c>
      <c r="B161" t="inlineStr">
        <is>
          <t>sample/app/src/main/java/com/example/butterknife/unbinder/F.java</t>
        </is>
      </c>
      <c r="C161">
        <f>HYPERLINK("https://github.com/JakeWharton/butterknife/blob/master/sample/app/src/main/java/com/example/butterknife/unbinder/F.java")</f>
        <v/>
      </c>
      <c r="D161" t="inlineStr">
        <is>
          <t>The provided code is a Java class `F` that extends another class `D`. It uses the Butter Knife library for binding views to fields in the activity or fragment where it's used. The class has a field annotated with `@BindColor`, which binds the color resource `android.R.color.background_light` to the field `backgroundLightColor`. The constructor takes a `View` object as a</t>
        </is>
      </c>
      <c r="E161" t="n">
        <v>0</v>
      </c>
      <c r="F161" t="n">
        <v>0</v>
      </c>
      <c r="G161" t="n">
        <v>0.0385</v>
      </c>
      <c r="H161" t="inlineStr">
        <is>
          <t>The provided Java code defines a Butter Knife unbinder for a custom Android component `F` that binds colors to views using annotations from the Butter Knife library. The complexity is O(N), where N represents the number of fields annotated with `@BindColor`. This implementation includes comments explaining the purpose and usage of the code, as well as commits tracking its initial creation. The code size is 36</t>
        </is>
      </c>
      <c r="I161" t="n">
        <v>0.0033</v>
      </c>
      <c r="J161" t="n">
        <v>0.08</v>
      </c>
      <c r="K161" t="n">
        <v>0.1449</v>
      </c>
      <c r="L161" t="inlineStr">
        <is>
          <t>The `F` class is a subclass of `D`, which initializes a Butter Knife binding for a specific color resource (`android.R.color.background_light`) and binds it to an instance variable named `backgroundLightColor`. The constructor takes a `View` object as input and uses Butter Knife's `bind` method to associate the bound views with their respective fields.</t>
        </is>
      </c>
      <c r="M161" t="n">
        <v>0.0035</v>
      </c>
      <c r="N161" t="n">
        <v>0.0308</v>
      </c>
      <c r="O161" t="n">
        <v>0.0806</v>
      </c>
    </row>
    <row r="162">
      <c r="A162" t="inlineStr">
        <is>
          <t>butterknife</t>
        </is>
      </c>
      <c r="B162" t="inlineStr">
        <is>
          <t>sample/app/src/main/java/com/example/butterknife/unbinder/H.java</t>
        </is>
      </c>
      <c r="C162">
        <f>HYPERLINK("https://github.com/JakeWharton/butterknife/blob/master/sample/app/src/main/java/com/example/butterknife/unbinder/H.java")</f>
        <v/>
      </c>
      <c r="D162" t="inlineStr">
        <is>
          <t>The provided Java code defines a class `H` that extends another class `G`. It uses Butter Knife for view binding to inject views with IDs from Android resources into instance fields annotated with `@BindView`. The class includes two fields: `grayColor`, which is bound to the primary text dark color resource (`android.R.color.primary_text_dark`) using the `@BindColor` annotation, and `</t>
        </is>
      </c>
      <c r="E162" t="n">
        <v>0.0032</v>
      </c>
      <c r="F162" t="n">
        <v>0.029</v>
      </c>
      <c r="G162" t="n">
        <v>0.0775</v>
      </c>
      <c r="H162" t="inlineStr">
        <is>
          <t>The provided code is part of a Butter Knife library for Android that binds views to fields in Java or Kotlin classes using annotations. It includes methods for binding colors (`@BindColor`) and views (`@BindView`). The `H` class extends another class `G`, initializes its fields with Butter Knife's bind method, and takes a `View` parameter in its constructor. This setup allows developers to easily</t>
        </is>
      </c>
      <c r="I162" t="n">
        <v>0.0034</v>
      </c>
      <c r="J162" t="n">
        <v>0.0278</v>
      </c>
      <c r="K162" t="n">
        <v>0.1111</v>
      </c>
      <c r="L162" t="inlineStr">
        <is>
          <t>The `H` class is a subclass of `G`, which initializes views using Butter Knife annotations for binding UI elements such as a color (`grayColor`) and a button (`button3`). The constructor takes a `View` object as input and uses Butter Knife's bind method to associate these annotated fields with their respective UI components within the given view hierarchy.</t>
        </is>
      </c>
      <c r="M162" t="n">
        <v>0.0032</v>
      </c>
      <c r="N162" t="n">
        <v>0.0303</v>
      </c>
      <c r="O162" t="n">
        <v>0.0775</v>
      </c>
    </row>
    <row r="163">
      <c r="A163" t="inlineStr">
        <is>
          <t>butterknife</t>
        </is>
      </c>
      <c r="B163" t="inlineStr">
        <is>
          <t>sample/app/src/main/java/com/example/butterknife/unbinder/G.java</t>
        </is>
      </c>
      <c r="C163">
        <f>HYPERLINK("https://github.com/JakeWharton/butterknife/blob/master/sample/app/src/main/java/com/example/butterknife/unbinder/G.java")</f>
        <v/>
      </c>
      <c r="D163" t="inlineStr">
        <is>
          <t>The provided Java code is part of a Butter Knife library integration in Android development for binding views to fields and handling click events. It defines a class `G` that extends another class `E`. The class includes:
- A field annotated with `@BindColor` to bind a color resource (`android.R.color.darker_gray`) to an integer variable named `grayColor`.
- Another field annotated with</t>
        </is>
      </c>
      <c r="E163" t="n">
        <v>0.003</v>
      </c>
      <c r="F163" t="n">
        <v>0.0286</v>
      </c>
      <c r="G163" t="n">
        <v>0.07580000000000001</v>
      </c>
      <c r="H163" t="inlineStr">
        <is>
          <t>This repository contains backend software components implementing core algorithms. The complexity is O(N), indicating linear time complexity for certain operations.</t>
        </is>
      </c>
      <c r="I163" t="n">
        <v>0.0127</v>
      </c>
      <c r="J163" t="n">
        <v>0.2759</v>
      </c>
      <c r="K163" t="n">
        <v>0.3431</v>
      </c>
      <c r="L163" t="inlineStr">
        <is>
          <t>The `G` class is a subclass of `E`, which likely represents another component in a larger application. It uses Butter Knife for view binding, where `@BindView` annotations are used to bind views from XML layouts to fields in the class. The `grayColor` field is annotated with both `@BindColor` and `@ColorInt` to specify that it should be bound as a</t>
        </is>
      </c>
      <c r="M163" t="n">
        <v>0.0031</v>
      </c>
      <c r="N163" t="n">
        <v>0.0299</v>
      </c>
      <c r="O163" t="n">
        <v>0.07630000000000001</v>
      </c>
    </row>
    <row r="164">
      <c r="A164" t="inlineStr">
        <is>
          <t>butterknife</t>
        </is>
      </c>
      <c r="B164" t="inlineStr">
        <is>
          <t>sample/app/src/main/java/com/example/butterknife/unbinder/A.java</t>
        </is>
      </c>
      <c r="C164">
        <f>HYPERLINK("https://github.com/JakeWharton/butterknife/blob/master/sample/app/src/main/java/com/example/butterknife/unbinder/A.java")</f>
        <v/>
      </c>
      <c r="D164" t="inlineStr">
        <is>
          <t>The provided Java code is part of a Butter Knife library integration in Android development. It defines a class `A` that uses Butter Knife to bind a color resource (`android.R.color.black`) to an integer field named `blackColor`. The constructor takes a `View` object as a parameter and initializes the fields using Butter Knife's binding mechanism. This setup allows for easy access to the bound resources within</t>
        </is>
      </c>
      <c r="E164" t="n">
        <v>0.0033</v>
      </c>
      <c r="F164" t="n">
        <v>0.026</v>
      </c>
      <c r="G164" t="n">
        <v>0.1095</v>
      </c>
      <c r="H164" t="inlineStr">
        <is>
          <t>The code is a Java class that uses Butter Knife library to bind views with color resources in Android development. It defines a field `blackColor` annotated with `@BindColor` and initializes it using Butter Knife's binding mechanism within the constructor. The README indicates this component implements core algorithms for backend software operations.</t>
        </is>
      </c>
      <c r="I164" t="n">
        <v>0.008999999999999999</v>
      </c>
      <c r="J164" t="n">
        <v>0.1</v>
      </c>
      <c r="K164" t="n">
        <v>0.3467</v>
      </c>
      <c r="L164" t="inlineStr">
        <is>
          <t>This Java class `A` uses Butter Knife library for binding views to their respective fields annotated with `@BindColor`. It initializes a field `blackColor` with the color black from resources using `android.R.color.black`, which is then bound to a view during object instantiation through the constructor that takes a `View` parameter. The class encapsulates the setup process required by Butter Knife for handling color</t>
        </is>
      </c>
      <c r="M164" t="n">
        <v>0.0029</v>
      </c>
      <c r="N164" t="n">
        <v>0.0274</v>
      </c>
      <c r="O164" t="n">
        <v>0.0746</v>
      </c>
    </row>
    <row r="165">
      <c r="A165" t="inlineStr">
        <is>
          <t>butterknife</t>
        </is>
      </c>
      <c r="B165" t="inlineStr">
        <is>
          <t>sample/app/src/main/java/com/example/butterknife/unbinder/B.java</t>
        </is>
      </c>
      <c r="C165">
        <f>HYPERLINK("https://github.com/JakeWharton/butterknife/blob/master/sample/app/src/main/java/com/example/butterknife/unbinder/B.java")</f>
        <v/>
      </c>
      <c r="D165" t="inlineStr">
        <is>
          <t>The provided code is part of a Java Android application using Butter Knife for view binding. It defines a subclass `B` that extends another class `A`. The `B` class includes a field annotated with `@BindColor` to bind the color resource `android.R.color.white` to an integer variable `whiteColor`. The constructor initializes the superclass with the given view and binds the views using Butter</t>
        </is>
      </c>
      <c r="E165" t="n">
        <v>0.003</v>
      </c>
      <c r="F165" t="n">
        <v>0.0278</v>
      </c>
      <c r="G165" t="n">
        <v>0.0752</v>
      </c>
      <c r="H165" t="inlineStr">
        <is>
          <t>The code is a Java class `B` that extends another class `A`. It uses Butter Knife for binding views to fields annotated with `@BindColor`, specifically setting the color white (`android.R.color.white`) to the field `whiteColor`. The constructor initializes the superclass with the given view and binds the views using Butter Knife. This setup allows for efficient data binding in Android applications.</t>
        </is>
      </c>
      <c r="I165" t="n">
        <v>0.0036</v>
      </c>
      <c r="J165" t="n">
        <v>0.0282</v>
      </c>
      <c r="K165" t="n">
        <v>0.1136</v>
      </c>
      <c r="L165" t="inlineStr">
        <is>
          <t>This code is part of a Butter Knife unbinder implementation for Android applications. It defines a subclass `B` that extends another class `A`. The constructor initializes the superclass with a `View`, then uses Butter Knife's `bind` method to bind views annotated with `@BindColor` from the resource ID `android.R.color.white` to instance variables.</t>
        </is>
      </c>
      <c r="M165" t="n">
        <v>0.0036</v>
      </c>
      <c r="N165" t="n">
        <v>0.0635</v>
      </c>
      <c r="O165" t="n">
        <v>0.122</v>
      </c>
    </row>
    <row r="166">
      <c r="A166" t="inlineStr">
        <is>
          <t>butterknife</t>
        </is>
      </c>
      <c r="B166" t="inlineStr">
        <is>
          <t>sample/library/src/main/java/com/example/butterknife/library/SimpleActivity.java</t>
        </is>
      </c>
      <c r="C166">
        <f>HYPERLINK("https://github.com/JakeWharton/butterknife/blob/master/sample/library/src/main/java/com/example/butterknife/library/SimpleActivity.java")</f>
        <v/>
      </c>
      <c r="D166" t="inlineStr">
        <is>
          <t>The provided Java code is for an Android application that uses Butter Knife library to bind views in an activity. It includes methods for handling button clicks, list item clicks, and long clicks on UI elements. The `SimpleActivity` class has several annotations from Butter Knife to automatically wire up views with their corresponding fields or methods. The `ALPHA_FADE` action is used to create an animation effect when</t>
        </is>
      </c>
      <c r="E166" t="n">
        <v>0.0027</v>
      </c>
      <c r="F166" t="n">
        <v>0.0263</v>
      </c>
      <c r="G166" t="n">
        <v>0.1079</v>
      </c>
      <c r="H166" t="inlineStr">
        <is>
          <t>This repository contains backend software components implementing core algorithms with a complexity of \(O(N)\). The README provides information about the implementation details, including comments explaining the algorithmic approach and commits detailing the initial codebase creation. The total size of the code is 1000 lines.</t>
        </is>
      </c>
      <c r="I166" t="n">
        <v>0.0059</v>
      </c>
      <c r="J166" t="n">
        <v>0.1887</v>
      </c>
      <c r="K166" t="n">
        <v>0.2155</v>
      </c>
      <c r="L166" t="inlineStr">
        <is>
          <t>The `SimpleActivity` class is a basic Android activity that utilizes Butter Knife for view binding. It includes methods for handling button clicks, list item clicks, and long presses. The activity displays a text view, a list view, and two buttons. When the "Fade" button is clicked, it fades out the text view using an animation. When a list item is clicked, it shows a toast</t>
        </is>
      </c>
      <c r="M166" t="n">
        <v>0.0028</v>
      </c>
      <c r="N166" t="n">
        <v>0.0274</v>
      </c>
      <c r="O166" t="n">
        <v>0.073</v>
      </c>
    </row>
    <row r="167">
      <c r="A167" t="inlineStr">
        <is>
          <t>butterknife</t>
        </is>
      </c>
      <c r="B167" t="inlineStr">
        <is>
          <t>sample/library/src/main/java/com/example/butterknife/library/SimpleAdapter.java</t>
        </is>
      </c>
      <c r="C167">
        <f>HYPERLINK("https://github.com/JakeWharton/butterknife/blob/master/sample/library/src/main/java/com/example/butterknife/library/SimpleAdapter.java")</f>
        <v/>
      </c>
      <c r="D167" t="inlineStr">
        <is>
          <t>A simple adapter for displaying text in a list using Android's `BaseAdapter`. It uses Butter Knife for binding views to fields annotated with `@BindView`, allowing for efficient UI updates without manual findViewById calls. The adapter populates a list of words from a predefined string array and displays each word as a TextView item in a ListView or RecyclerView.</t>
        </is>
      </c>
      <c r="E167" t="n">
        <v>0.0031</v>
      </c>
      <c r="F167" t="n">
        <v>0.0299</v>
      </c>
      <c r="G167" t="n">
        <v>0.0769</v>
      </c>
      <c r="H167" t="inlineStr">
        <is>
          <t>This repository contains backend software components that implement core algorithms. The complexity is O(N), indicating linear time complexity for certain operations. The comments describe the implementation of these algorithms, while the commits document the initial creation of the codebase. The total size of the codebase is 1000 lines.</t>
        </is>
      </c>
      <c r="I167" t="n">
        <v>0.005</v>
      </c>
      <c r="J167" t="n">
        <v>0.1404</v>
      </c>
      <c r="K167" t="n">
        <v>0.1667</v>
      </c>
      <c r="L167" t="inlineStr">
        <is>
          <t>This Android adapter displays a list of words from a predefined string using Butter Knife for binding views. It implements `BaseAdapter` to populate a `ListView`. The `getView` method inflates each word into a simple text view, applying a custom style to make them bold.</t>
        </is>
      </c>
      <c r="M167" t="n">
        <v>0.005</v>
      </c>
      <c r="N167" t="n">
        <v>0.0769</v>
      </c>
      <c r="O167" t="n">
        <v>0.1293</v>
      </c>
    </row>
    <row r="168">
      <c r="A168" t="inlineStr">
        <is>
          <t>crate</t>
        </is>
      </c>
      <c r="B168" t="inlineStr">
        <is>
          <t>app/src/main/java/io/crate/bootstrap/BootstrapException.java</t>
        </is>
      </c>
      <c r="C168">
        <f>HYPERLINK("https://github.com/crate/crate/blob/master/app/src/main/java/io/crate/bootstrap/BootstrapException.java")</f>
        <v/>
      </c>
      <c r="D168" t="inlineStr">
        <is>
          <t>The provided code implements core algorithms without detailed comments or explanations. It is written in Java and licensed under the Apache License 2.0. The complexity of the implementation is O(N), indicating linear time complexity. The code size is approximately 1000 lines.</t>
        </is>
      </c>
      <c r="E168" t="n">
        <v>0.0105</v>
      </c>
      <c r="F168" t="n">
        <v>0.1176</v>
      </c>
      <c r="G168" t="n">
        <v>0.2262</v>
      </c>
      <c r="H168" t="inlineStr">
        <is>
          <t>Implements core algorithms.</t>
        </is>
      </c>
      <c r="I168" t="n">
        <v>0.0215</v>
      </c>
      <c r="J168" t="n">
        <v>0.3636</v>
      </c>
      <c r="K168" t="n">
        <v>0.25</v>
      </c>
      <c r="L168" t="inlineStr">
        <is>
          <t>The provided code implements core algorithms for backend software components, focusing on efficient data processing and manipulation using a time complexity of O(N). The implementation includes comments explaining the core functionalities and adheres to best practices for code readability and maintainability.</t>
        </is>
      </c>
      <c r="M168" t="n">
        <v>0.0113</v>
      </c>
      <c r="N168" t="n">
        <v>0.2</v>
      </c>
      <c r="O168" t="n">
        <v>0.3292</v>
      </c>
    </row>
    <row r="169">
      <c r="A169" t="inlineStr">
        <is>
          <t>crate</t>
        </is>
      </c>
      <c r="B169" t="inlineStr">
        <is>
          <t>app/src/main/java/io/crate/bootstrap/CrateDB.java</t>
        </is>
      </c>
      <c r="C169">
        <f>HYPERLINK("https://github.com/crate/crate/blob/master/app/src/main/java/io/crate/bootstrap/CrateDB.java")</f>
        <v/>
      </c>
      <c r="D169" t="inlineStr">
        <is>
          <t>The code implements core algorithms without providing any specific details about their functionality. The complexity is O(N), indicating linear time complexity, but no further explanation is given. There are comments explaining the implementation and commits detailing the initial creation of the codebase. The README mentions that it contains backend software components and provides basic metadata like size and complexity.</t>
        </is>
      </c>
      <c r="E169" t="n">
        <v>0.0078</v>
      </c>
      <c r="F169" t="n">
        <v>0.1176</v>
      </c>
      <c r="G169" t="n">
        <v>0.2409</v>
      </c>
      <c r="H169" t="inlineStr">
        <is>
          <t>Implements core algorithms.</t>
        </is>
      </c>
      <c r="I169" t="n">
        <v>0.0215</v>
      </c>
      <c r="J169" t="n">
        <v>0.3636</v>
      </c>
      <c r="K169" t="n">
        <v>0.25</v>
      </c>
      <c r="L169" t="inlineStr">
        <is>
          <t>The code implements core algorithms for backend software components, focusing on efficient data processing and manipulation using a time complexity of O(N). It includes comments explaining implementation details and adheres to best practices for code readability and maintainability. The code size is 1000 lines, making it suitable for managing complex database interactions within the application.</t>
        </is>
      </c>
      <c r="M169" t="n">
        <v>0.008399999999999999</v>
      </c>
      <c r="N169" t="n">
        <v>0.09379999999999999</v>
      </c>
      <c r="O169" t="n">
        <v>0.2929</v>
      </c>
    </row>
    <row r="170">
      <c r="A170" t="inlineStr">
        <is>
          <t>crate</t>
        </is>
      </c>
      <c r="B170" t="inlineStr">
        <is>
          <t>app/src/main/java/org/elasticsearch/bootstrap/StartupExceptionProxy.java</t>
        </is>
      </c>
      <c r="C170">
        <f>HYPERLINK("https://github.com/crate/crate/blob/master/app/src/main/java/org/elasticsearch/bootstrap/StartupExceptionProxy.java")</f>
        <v/>
      </c>
      <c r="D170" t="inlineStr">
        <is>
          <t>The provided code implements core algorithms without detailed comments, focusing on complexity analysis as O(N). It's part of a larger repository containing backend software components. The README mentions that it has no comments but provides details about its complexity and size.</t>
        </is>
      </c>
      <c r="E170" t="n">
        <v>0.0113</v>
      </c>
      <c r="F170" t="n">
        <v>0.1176</v>
      </c>
      <c r="G170" t="n">
        <v>0.3292</v>
      </c>
      <c r="H170" t="inlineStr">
        <is>
          <t>Implements core algorithms for backend software components. Complexity is O(N).</t>
        </is>
      </c>
      <c r="I170" t="n">
        <v>0.0251</v>
      </c>
      <c r="J170" t="n">
        <v>0.2105</v>
      </c>
      <c r="K170" t="n">
        <v>0.3117</v>
      </c>
      <c r="L170" t="inlineStr">
        <is>
          <t>This code implements core algorithms for backend software components, handling input data efficiently with a time complexity of O(N). It includes comments explaining implementation details and is part of a larger codebase with over 1000 lines of code. The initial commit message indicates that this is the first version of the codebase.</t>
        </is>
      </c>
      <c r="M170" t="n">
        <v>0.0094</v>
      </c>
      <c r="N170" t="n">
        <v>0.1311</v>
      </c>
      <c r="O170" t="n">
        <v>0.3439</v>
      </c>
    </row>
    <row r="171">
      <c r="A171" t="inlineStr">
        <is>
          <t>crate</t>
        </is>
      </c>
      <c r="B171" t="inlineStr">
        <is>
          <t>app/src/main/java/org/elasticsearch/bootstrap/Bootstrap.java</t>
        </is>
      </c>
      <c r="C171">
        <f>HYPERLINK("https://github.com/crate/crate/blob/master/app/src/main/java/org/elasticsearch/bootstrap/Bootstrap.java")</f>
        <v/>
      </c>
      <c r="D171" t="inlineStr">
        <is>
          <t>The code implements core algorithms without providing any detailed functionality description. It includes comments indicating that it's part of a larger project and mentions its complexity as O(N). The README provides basic information about the repository and commits but does not summarize the code's main functionalities.</t>
        </is>
      </c>
      <c r="E171" t="n">
        <v>0.0101</v>
      </c>
      <c r="F171" t="n">
        <v>0.1404</v>
      </c>
      <c r="G171" t="n">
        <v>0.2675</v>
      </c>
      <c r="H171" t="inlineStr">
        <is>
          <t>Implements core algorithms.</t>
        </is>
      </c>
      <c r="I171" t="n">
        <v>0.0215</v>
      </c>
      <c r="J171" t="n">
        <v>0.3636</v>
      </c>
      <c r="K171" t="n">
        <v>0.25</v>
      </c>
      <c r="L171" t="inlineStr">
        <is>
          <t>The code implements core algorithms for a backend software component, handling input data efficiently with a time complexity of O(N). The implementation includes comments explaining the core functionalities and is part of a larger project that focuses on database management systems.</t>
        </is>
      </c>
      <c r="M171" t="n">
        <v>0.0113</v>
      </c>
      <c r="N171" t="n">
        <v>0.2</v>
      </c>
      <c r="O171" t="n">
        <v>0.3947</v>
      </c>
    </row>
    <row r="172">
      <c r="A172" t="inlineStr">
        <is>
          <t>crate</t>
        </is>
      </c>
      <c r="B172" t="inlineStr">
        <is>
          <t>app/src/test/java/io/crate/AppJarHellTest.java</t>
        </is>
      </c>
      <c r="C172">
        <f>HYPERLINK("https://github.com/crate/crate/blob/master/app/src/test/java/io/crate/AppJarHellTest.java")</f>
        <v/>
      </c>
      <c r="D172" t="inlineStr">
        <is>
          <t>The code implements core algorithms with a time complexity of O(N). It includes comments explaining its purpose and implementation details. The repository contains backend software components and has been committed once. The total size of the code is 1000 lines.</t>
        </is>
      </c>
      <c r="E172" t="n">
        <v>0.0116</v>
      </c>
      <c r="F172" t="n">
        <v>0.1224</v>
      </c>
      <c r="G172" t="n">
        <v>0.2818</v>
      </c>
      <c r="H172" t="inlineStr">
        <is>
          <t>Implements core algorithms.</t>
        </is>
      </c>
      <c r="I172" t="n">
        <v>0.0215</v>
      </c>
      <c r="J172" t="n">
        <v>0.3636</v>
      </c>
      <c r="K172" t="n">
        <v>0.25</v>
      </c>
      <c r="L172" t="inlineStr">
        <is>
          <t>This code implements core algorithms for backend software components, focusing on efficient data processing and handling. It processes large datasets using an O(N) complexity approach, leveraging existing comments and implementation details from previous commits. The code size is approximately 1000 lines, reflecting its importance within the project's architecture.</t>
        </is>
      </c>
      <c r="M172" t="n">
        <v>0.0102</v>
      </c>
      <c r="N172" t="n">
        <v>0.1379</v>
      </c>
      <c r="O172" t="n">
        <v>0.3553</v>
      </c>
    </row>
    <row r="173">
      <c r="A173" t="inlineStr">
        <is>
          <t>crate</t>
        </is>
      </c>
      <c r="B173" t="inlineStr">
        <is>
          <t>app/src/test/java/io/crate/node/NodeSettingsTest.java</t>
        </is>
      </c>
      <c r="C173">
        <f>HYPERLINK("https://github.com/crate/crate/blob/master/app/src/test/java/io/crate/node/NodeSettingsTest.java")</f>
        <v/>
      </c>
      <c r="D173" t="inlineStr">
        <is>
          <t>The code implements core algorithms with a time complexity of O(N). It includes comments explaining its implementation and is part of a larger repository containing backend software components. The code size is 1000 lines.</t>
        </is>
      </c>
      <c r="E173" t="n">
        <v>0.0138</v>
      </c>
      <c r="F173" t="n">
        <v>0.1395</v>
      </c>
      <c r="G173" t="n">
        <v>0.3509</v>
      </c>
      <c r="H173" t="inlineStr">
        <is>
          <t>Implements core algorithms for backend software components. Complexity is O(N).</t>
        </is>
      </c>
      <c r="I173" t="n">
        <v>0.0251</v>
      </c>
      <c r="J173" t="n">
        <v>0.2105</v>
      </c>
      <c r="K173" t="n">
        <v>0.3117</v>
      </c>
      <c r="L173" t="inlineStr">
        <is>
          <t>The provided code implements core algorithms for backend software components, focusing on efficient data processing and manipulation. It processes large datasets using an O(N) complexity approach, leveraging existing comments and commit messages from the initial codebase commit. The code size is approximately 1000 lines, reflecting its importance within the project's architecture.</t>
        </is>
      </c>
      <c r="M173" t="n">
        <v>0.008999999999999999</v>
      </c>
      <c r="N173" t="n">
        <v>0.0984</v>
      </c>
      <c r="O173" t="n">
        <v>0.3024</v>
      </c>
    </row>
    <row r="174">
      <c r="A174" t="inlineStr">
        <is>
          <t>crate</t>
        </is>
      </c>
      <c r="B174" t="inlineStr">
        <is>
          <t>server/src/testFixtures/java/io/crate/execution/engine/sort/IgnoreRowCellsAccounting.java</t>
        </is>
      </c>
      <c r="C174">
        <f>HYPERLINK("https://github.com/crate/crate/blob/master/server/src/testFixtures/java/io/crate/execution/engine/sort/IgnoreRowCellsAccounting.java")</f>
        <v/>
      </c>
      <c r="D174" t="inlineStr">
        <is>
          <t>The provided code implements core algorithms without any comments, making it difficult to understand its functionality. The complexity is O(N), indicating linear time performance. The repository contains backend software components and has been initialized with no commits yet. The total size of the code is 1000 lines.</t>
        </is>
      </c>
      <c r="E174" t="n">
        <v>0.0098</v>
      </c>
      <c r="F174" t="n">
        <v>0.1429</v>
      </c>
      <c r="G174" t="n">
        <v>0.2652</v>
      </c>
      <c r="H174" t="inlineStr">
        <is>
          <t>Implements core algorithms.</t>
        </is>
      </c>
      <c r="I174" t="n">
        <v>0.0215</v>
      </c>
      <c r="J174" t="n">
        <v>0.3636</v>
      </c>
      <c r="K174" t="n">
        <v>0.25</v>
      </c>
      <c r="L174" t="inlineStr">
        <is>
          <t>The code implements core algorithms for a backend software component, handling data processing efficiently with a time complexity of O(N). It includes comments explaining implementation details and adheres to best practices for code readability and maintainability. The code size is 1000 lines, reflecting its comprehensive nature in supporting various functionalities within the system.</t>
        </is>
      </c>
      <c r="M174" t="n">
        <v>0.008699999999999999</v>
      </c>
      <c r="N174" t="n">
        <v>0.0968</v>
      </c>
      <c r="O174" t="n">
        <v>0.2976</v>
      </c>
    </row>
    <row r="175">
      <c r="A175" t="inlineStr">
        <is>
          <t>crate</t>
        </is>
      </c>
      <c r="B175" t="inlineStr">
        <is>
          <t>server/src/testFixtures/java/io/crate/execution/engine/window/AbstractWindowFunctionTest.java</t>
        </is>
      </c>
      <c r="C175">
        <f>HYPERLINK("https://github.com/crate/crate/blob/master/server/src/testFixtures/java/io/crate/execution/engine/window/AbstractWindowFunctionTest.java")</f>
        <v/>
      </c>
      <c r="D175" t="inlineStr">
        <is>
          <t>The provided code implements core algorithms with a time complexity of O(N). It includes comments explaining its purpose and usage. The README provides details about the repository's contents, complexity, and structure.</t>
        </is>
      </c>
      <c r="E175" t="n">
        <v>0.0141</v>
      </c>
      <c r="F175" t="n">
        <v>0.1463</v>
      </c>
      <c r="G175" t="n">
        <v>0.2481</v>
      </c>
      <c r="H175" t="inlineStr">
        <is>
          <t>The code implements core algorithms for a backend software component. Complexity is O(N), indicating linear time complexity. The README describes it as containing backend software components.</t>
        </is>
      </c>
      <c r="I175" t="n">
        <v>0.017</v>
      </c>
      <c r="J175" t="n">
        <v>0.1143</v>
      </c>
      <c r="K175" t="n">
        <v>0.2608</v>
      </c>
      <c r="L175" t="inlineStr">
        <is>
          <t>The provided code implements core algorithms for backend software components, focusing on efficient data processing and manipulation. It has a time complexity of \(O(N)\), making it suitable for handling large datasets. The implementation includes comments that describe the core functionalities, and the code size is approximately 1000 lines.</t>
        </is>
      </c>
      <c r="M175" t="n">
        <v>0.009599999999999999</v>
      </c>
      <c r="N175" t="n">
        <v>0.1754</v>
      </c>
      <c r="O175" t="n">
        <v>0.1667</v>
      </c>
    </row>
    <row r="176">
      <c r="A176" t="inlineStr">
        <is>
          <t>crate</t>
        </is>
      </c>
      <c r="B176" t="inlineStr">
        <is>
          <t>server/src/testFixtures/java/io/crate/execution/engine/window/IgnoreRowAccounting.java</t>
        </is>
      </c>
      <c r="C176">
        <f>HYPERLINK("https://github.com/crate/crate/blob/master/server/src/testFixtures/java/io/crate/execution/engine/window/IgnoreRowAccounting.java")</f>
        <v/>
      </c>
      <c r="D176" t="inlineStr">
        <is>
          <t>The code implements core algorithms with a time complexity of O(N). It includes comments explaining its implementation and complexity analysis. The README provides basic information about the repository's contents and structure.</t>
        </is>
      </c>
      <c r="E176" t="n">
        <v>0.0141</v>
      </c>
      <c r="F176" t="n">
        <v>0.1463</v>
      </c>
      <c r="G176" t="n">
        <v>0.2481</v>
      </c>
      <c r="H176" t="inlineStr">
        <is>
          <t>Implements core algorithms.</t>
        </is>
      </c>
      <c r="I176" t="n">
        <v>0.0215</v>
      </c>
      <c r="J176" t="n">
        <v>0.3636</v>
      </c>
      <c r="K176" t="n">
        <v>0.25</v>
      </c>
      <c r="L176" t="inlineStr">
        <is>
          <t>The code implements core algorithms for backend software components, focusing on efficient data processing and manipulation using a time complexity of O(N). The implementation includes comments explaining the core functionalities and adheres to best practices for code readability and maintainability.</t>
        </is>
      </c>
      <c r="M176" t="n">
        <v>0.0116</v>
      </c>
      <c r="N176" t="n">
        <v>0.2041</v>
      </c>
      <c r="O176" t="n">
        <v>0.3321</v>
      </c>
    </row>
    <row r="177">
      <c r="A177" t="inlineStr">
        <is>
          <t>crate</t>
        </is>
      </c>
      <c r="B177" t="inlineStr">
        <is>
          <t>server/src/testFixtures/java/io/crate/operation/aggregation/AggregationTestCase.java</t>
        </is>
      </c>
      <c r="C177">
        <f>HYPERLINK("https://github.com/crate/crate/blob/master/server/src/testFixtures/java/io/crate/operation/aggregation/AggregationTestCase.java")</f>
        <v/>
      </c>
      <c r="D177" t="inlineStr">
        <is>
          <t>The code implements core algorithms without providing any specific details about its functionality beyond being part of a larger system that processes data efficiently using O(N) complexity. The README mentions it as backend software components and includes comments indicating implementation of core algorithms.</t>
        </is>
      </c>
      <c r="E177" t="n">
        <v>0.0114</v>
      </c>
      <c r="F177" t="n">
        <v>0.1538</v>
      </c>
      <c r="G177" t="n">
        <v>0.2174</v>
      </c>
      <c r="H177" t="inlineStr">
        <is>
          <t>The repository contains backend software components implementing core algorithms. The complexity is O(N), indicating linear time complexity. Comments describe the implementation of core algorithms. Initial codebase commit was made. The total size of the code is 1000 lines.</t>
        </is>
      </c>
      <c r="I177" t="n">
        <v>0.0058</v>
      </c>
      <c r="J177" t="n">
        <v>0.1277</v>
      </c>
      <c r="K177" t="n">
        <v>0.1364</v>
      </c>
      <c r="L177" t="inlineStr">
        <is>
          <t>This code implements core algorithms for backend software components using a time complexity of O(N). It includes initial codebase commits and comments that describe the implementation of these algorithms. The code size is 1000 lines, which suggests it handles significant data processing tasks efficiently.</t>
        </is>
      </c>
      <c r="M177" t="n">
        <v>0.0111</v>
      </c>
      <c r="N177" t="n">
        <v>0.1509</v>
      </c>
      <c r="O177" t="n">
        <v>0.3676</v>
      </c>
    </row>
    <row r="178">
      <c r="A178" t="inlineStr">
        <is>
          <t>crate</t>
        </is>
      </c>
      <c r="B178" t="inlineStr">
        <is>
          <t>server/src/testFixtures/java/io/crate/analyze/TableDefinitions.java</t>
        </is>
      </c>
      <c r="C178">
        <f>HYPERLINK("https://github.com/crate/crate/blob/master/server/src/testFixtures/java/io/crate/analyze/TableDefinitions.java")</f>
        <v/>
      </c>
      <c r="D178" t="inlineStr">
        <is>
          <t>The provided code implements core algorithms without detailed comments, focusing on complexity analysis as O(N). It's part of a larger repository containing backend software components. The code size is 1000 lines.</t>
        </is>
      </c>
      <c r="E178" t="n">
        <v>0.0141</v>
      </c>
      <c r="F178" t="n">
        <v>0.09760000000000001</v>
      </c>
      <c r="G178" t="n">
        <v>0.3064</v>
      </c>
      <c r="H178" t="inlineStr">
        <is>
          <t>This repository contains backend software components implementing core algorithms. The complexity is O(N), indicating linear time complexity. Comments describe the implementation details. Initial codebase commit was made. The total size of the code is 1000 lines.</t>
        </is>
      </c>
      <c r="I178" t="n">
        <v>0.0068</v>
      </c>
      <c r="J178" t="n">
        <v>0.1778</v>
      </c>
      <c r="K178" t="n">
        <v>0.1852</v>
      </c>
      <c r="L178" t="inlineStr">
        <is>
          <t>This code implements core algorithms for backend software components, handling inputs and outputs efficiently within a complexity of O(N). The implementation includes comments explaining the core functionalities and adheres to best practices for readability and maintainability.</t>
        </is>
      </c>
      <c r="M178" t="n">
        <v>0.0137</v>
      </c>
      <c r="N178" t="n">
        <v>0.2667</v>
      </c>
      <c r="O178" t="n">
        <v>0.3948</v>
      </c>
    </row>
    <row r="179">
      <c r="A179" t="inlineStr">
        <is>
          <t>crate</t>
        </is>
      </c>
      <c r="B179" t="inlineStr">
        <is>
          <t>server/src/testFixtures/java/io/crate/expression/symbol/ParameterBinder.java</t>
        </is>
      </c>
      <c r="C179">
        <f>HYPERLINK("https://github.com/crate/crate/blob/master/server/src/testFixtures/java/io/crate/expression/symbol/ParameterBinder.java")</f>
        <v/>
      </c>
      <c r="D179" t="inlineStr">
        <is>
          <t>The code implements core algorithms without providing any specific details about its functionality. It includes comments indicating that it's part of a larger system and mentions complexity as O(N). The README states that it contains backend software components.</t>
        </is>
      </c>
      <c r="E179" t="n">
        <v>0.0123</v>
      </c>
      <c r="F179" t="n">
        <v>0.1667</v>
      </c>
      <c r="G179" t="n">
        <v>0.3382</v>
      </c>
      <c r="H179" t="inlineStr">
        <is>
          <t>The repository contains backend software components implementing core algorithms. The complexity of the implementation is O(N), indicating linear time complexity. The README provides general information about the project's purpose and structure.</t>
        </is>
      </c>
      <c r="I179" t="n">
        <v>0.007900000000000001</v>
      </c>
      <c r="J179" t="n">
        <v>0.1951</v>
      </c>
      <c r="K179" t="n">
        <v>0.1942</v>
      </c>
      <c r="L179" t="inlineStr">
        <is>
          <t>The code implements core algorithms for backend software components, handling inputs and producing outputs based on specified logic and complexity.</t>
        </is>
      </c>
      <c r="M179" t="n">
        <v>0.0242</v>
      </c>
      <c r="N179" t="n">
        <v>0.2857</v>
      </c>
      <c r="O179" t="n">
        <v>0.3431</v>
      </c>
    </row>
    <row r="180">
      <c r="A180" t="inlineStr">
        <is>
          <t>crate</t>
        </is>
      </c>
      <c r="B180" t="inlineStr">
        <is>
          <t>server/src/testFixtures/java/io/crate/expression/scalar/ScalarTestCase.java</t>
        </is>
      </c>
      <c r="C180">
        <f>HYPERLINK("https://github.com/crate/crate/blob/master/server/src/testFixtures/java/io/crate/expression/scalar/ScalarTestCase.java")</f>
        <v/>
      </c>
      <c r="D180" t="inlineStr">
        <is>
          <t>The provided code implements core algorithms without detailed comments, focusing on complexity analysis as O(N). It's part of a larger repository containing backend software components. The code size is 1000 lines.</t>
        </is>
      </c>
      <c r="E180" t="n">
        <v>0.0141</v>
      </c>
      <c r="F180" t="n">
        <v>0.09760000000000001</v>
      </c>
      <c r="G180" t="n">
        <v>0.3064</v>
      </c>
      <c r="H180" t="inlineStr">
        <is>
          <t>This repository contains backend software components implementing core algorithms. The complexity is O(N), indicating linear time performance relative to input size. The implementation includes comments explaining the purpose and functionality of each part of the code.</t>
        </is>
      </c>
      <c r="I180" t="n">
        <v>0.0077</v>
      </c>
      <c r="J180" t="n">
        <v>0.2222</v>
      </c>
      <c r="K180" t="n">
        <v>0.2778</v>
      </c>
      <c r="L180" t="inlineStr">
        <is>
          <t>The code implements core algorithms for backend software components, focusing on efficient data processing and handling within a high-performance environment. It processes large datasets using optimized algorithms that handle complex queries effectively, ensuring scalability and reliability. The implementation complexity is O(N), making it suitable for real-time applications requiring quick response times.</t>
        </is>
      </c>
      <c r="M180" t="n">
        <v>0.008999999999999999</v>
      </c>
      <c r="N180" t="n">
        <v>0.0968</v>
      </c>
      <c r="O180" t="n">
        <v>0.3024</v>
      </c>
    </row>
    <row r="181">
      <c r="A181" t="inlineStr">
        <is>
          <t>crate</t>
        </is>
      </c>
      <c r="B181" t="inlineStr">
        <is>
          <t>server/src/testFixtures/java/io/crate/types/DataTypeTestCase.java</t>
        </is>
      </c>
      <c r="C181">
        <f>HYPERLINK("https://github.com/crate/crate/blob/master/server/src/testFixtures/java/io/crate/types/DataTypeTestCase.java")</f>
        <v/>
      </c>
      <c r="D181" t="inlineStr">
        <is>
          <t>The code implements core algorithms with a time complexity of O(N). It includes comments explaining its implementation and complexity analysis. The README provides basic details about the repository's contents, including the number of commits and lines of code.</t>
        </is>
      </c>
      <c r="E181" t="n">
        <v>0.0114</v>
      </c>
      <c r="F181" t="n">
        <v>0.125</v>
      </c>
      <c r="G181" t="n">
        <v>0.2323</v>
      </c>
      <c r="H181" t="inlineStr">
        <is>
          <t>This repository contains backend software components that implement core algorithms. The complexity of the implementation is O(N), indicating linear time complexity. The comments provide details about the algorithm's purpose, while the commits record the initial creation of the codebase. The total size of the codebase is 1000 lines.</t>
        </is>
      </c>
      <c r="I181" t="n">
        <v>0.005</v>
      </c>
      <c r="J181" t="n">
        <v>0.1379</v>
      </c>
      <c r="K181" t="n">
        <v>0.1667</v>
      </c>
      <c r="L181" t="inlineStr">
        <is>
          <t>The provided code implements core algorithms for backend software components, focusing on efficient data processing and manipulation using a time complexity of O(N). The implementation includes comments explaining the core functionalities, making it easier for developers to understand and maintain.</t>
        </is>
      </c>
      <c r="M181" t="n">
        <v>0.0116</v>
      </c>
      <c r="N181" t="n">
        <v>0.2041</v>
      </c>
      <c r="O181" t="n">
        <v>0.2232</v>
      </c>
    </row>
    <row r="182">
      <c r="A182" t="inlineStr">
        <is>
          <t>crate</t>
        </is>
      </c>
      <c r="B182" t="inlineStr">
        <is>
          <t>server/src/testFixtures/java/io/crate/role/StubRoleManager.java</t>
        </is>
      </c>
      <c r="C182">
        <f>HYPERLINK("https://github.com/crate/crate/blob/master/server/src/testFixtures/java/io/crate/role/StubRoleManager.java")</f>
        <v/>
      </c>
      <c r="D182" t="inlineStr">
        <is>
          <t>The code implements core algorithms without detailed comments, focusing on complexity O(N). It's part of a larger backend software component repository. The README provides basic details about the project, including its purpose, complexity, and size.</t>
        </is>
      </c>
      <c r="E182" t="n">
        <v>0.0134</v>
      </c>
      <c r="F182" t="n">
        <v>0.1333</v>
      </c>
      <c r="G182" t="n">
        <v>0.3477</v>
      </c>
      <c r="H182" t="inlineStr">
        <is>
          <t>The repository contains backend software components implementing core algorithms. The complexity is O(N), indicating linear time complexity. The implementation includes comments explaining the purpose of each part. The code size is 1000 lines.</t>
        </is>
      </c>
      <c r="I182" t="n">
        <v>0.0067</v>
      </c>
      <c r="J182" t="n">
        <v>0.1429</v>
      </c>
      <c r="K182" t="n">
        <v>0.1429</v>
      </c>
      <c r="L182" t="inlineStr">
        <is>
          <t>The provided code implements core algorithms for backend software components, focusing on efficient data processing and manipulation. It has a time complexity of O(N), indicating linear performance relative to input size. The implementation includes comments that describe the core functionalities, making it easier for developers to understand and maintain.</t>
        </is>
      </c>
      <c r="M182" t="n">
        <v>0.0094</v>
      </c>
      <c r="N182" t="n">
        <v>0.1724</v>
      </c>
      <c r="O182" t="n">
        <v>0.1653</v>
      </c>
    </row>
    <row r="183">
      <c r="A183" t="inlineStr">
        <is>
          <t>crate</t>
        </is>
      </c>
      <c r="B183" t="inlineStr">
        <is>
          <t>server/src/testFixtures/java/io/crate/testing/SQLAssert.java</t>
        </is>
      </c>
      <c r="C183">
        <f>HYPERLINK("https://github.com/crate/crate/blob/master/server/src/testFixtures/java/io/crate/testing/SQLAssert.java")</f>
        <v/>
      </c>
      <c r="D183" t="inlineStr">
        <is>
          <t>The code implements core algorithms with a time complexity of O(N). It includes comments explaining its implementation and structure. The README provides details about the project's purpose, complexity, and size.</t>
        </is>
      </c>
      <c r="E183" t="n">
        <v>0.0146</v>
      </c>
      <c r="F183" t="n">
        <v>0.15</v>
      </c>
      <c r="G183" t="n">
        <v>0.2505</v>
      </c>
      <c r="H183" t="inlineStr">
        <is>
          <t>The code implements core algorithms for a backend system. Complexity is O(N), indicating linear time complexity. The README describes it as containing backend software components.</t>
        </is>
      </c>
      <c r="I183" t="n">
        <v>0.0177</v>
      </c>
      <c r="J183" t="n">
        <v>0.1176</v>
      </c>
      <c r="K183" t="n">
        <v>0.2635</v>
      </c>
      <c r="L183" t="inlineStr">
        <is>
          <t>The code implements core algorithms for backend software components, focusing on efficient data processing and manipulation. It processes large datasets using an O(N) complexity algorithm, leveraging existing comments and commit messages from the initial codebase commit. The README context indicates that this repository contains backend software components.</t>
        </is>
      </c>
      <c r="M183" t="n">
        <v>0.0098</v>
      </c>
      <c r="N183" t="n">
        <v>0.1071</v>
      </c>
      <c r="O183" t="n">
        <v>0.3583</v>
      </c>
    </row>
    <row r="184">
      <c r="A184" t="inlineStr">
        <is>
          <t>crate</t>
        </is>
      </c>
      <c r="B184" t="inlineStr">
        <is>
          <t>server/src/testFixtures/java/io/crate/testing/SymbolsAssert.java</t>
        </is>
      </c>
      <c r="C184">
        <f>HYPERLINK("https://github.com/crate/crate/blob/master/server/src/testFixtures/java/io/crate/testing/SymbolsAssert.java")</f>
        <v/>
      </c>
      <c r="D184" t="inlineStr">
        <is>
          <t>The provided code implements core algorithms without detailed comments or explanations. It is written in Java and licensed under the Apache License 2.0. The complexity of the implementation is O(N), indicating linear time complexity. The code size is approximately 1000 lines.</t>
        </is>
      </c>
      <c r="E184" t="n">
        <v>0.0105</v>
      </c>
      <c r="F184" t="n">
        <v>0.1176</v>
      </c>
      <c r="G184" t="n">
        <v>0.2262</v>
      </c>
      <c r="H184" t="inlineStr">
        <is>
          <t>The code implements a complex algorithm that processes large datasets efficiently using O(N) time complexity. It includes comments explaining its implementation and commits detailing the initial creation of the codebase. The README provides general information about the repository containing backend software components.</t>
        </is>
      </c>
      <c r="I184" t="n">
        <v>0.0058</v>
      </c>
      <c r="J184" t="n">
        <v>0.0784</v>
      </c>
      <c r="K184" t="n">
        <v>0.1754</v>
      </c>
      <c r="L184"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184" t="n">
        <v>0.0123</v>
      </c>
      <c r="N184" t="n">
        <v>0.1633</v>
      </c>
      <c r="O184" t="n">
        <v>0.3807</v>
      </c>
    </row>
    <row r="185">
      <c r="A185" t="inlineStr">
        <is>
          <t>crate</t>
        </is>
      </c>
      <c r="B185" t="inlineStr">
        <is>
          <t>server/src/testFixtures/java/io/crate/testing/DataTypeTesting.java</t>
        </is>
      </c>
      <c r="C185">
        <f>HYPERLINK("https://github.com/crate/crate/blob/master/server/src/testFixtures/java/io/crate/testing/DataTypeTesting.java")</f>
        <v/>
      </c>
      <c r="D185" t="inlineStr">
        <is>
          <t>The provided code implements core algorithms without detailed comments, focusing on complexity analysis as O(N). It's part of a larger repository containing backend software components. The code size is 1000 lines.</t>
        </is>
      </c>
      <c r="E185" t="n">
        <v>0.0141</v>
      </c>
      <c r="F185" t="n">
        <v>0.09760000000000001</v>
      </c>
      <c r="G185" t="n">
        <v>0.3064</v>
      </c>
      <c r="H185" t="inlineStr">
        <is>
          <t>This repository contains backend software components implementing core algorithms. The complexity of the implementation is O(N), indicating that it scales linearly with input size. The code base has been initialized with a single commit containing the initial implementation.</t>
        </is>
      </c>
      <c r="I185" t="n">
        <v>0.0064</v>
      </c>
      <c r="J185" t="n">
        <v>0.1702</v>
      </c>
      <c r="K185" t="n">
        <v>0.1818</v>
      </c>
      <c r="L185" t="inlineStr">
        <is>
          <t>The code implements core algorithms for backend software components, handling input data efficiently with a time complexity of O(N). It includes comments explaining implementation details and has been committed as part of the initial codebase. The total size of the codebase is 1000 lines.</t>
        </is>
      </c>
      <c r="M185" t="n">
        <v>0.0105</v>
      </c>
      <c r="N185" t="n">
        <v>0.1132</v>
      </c>
      <c r="O185" t="n">
        <v>0.3207</v>
      </c>
    </row>
    <row r="186">
      <c r="A186" t="inlineStr">
        <is>
          <t>crate</t>
        </is>
      </c>
      <c r="B186" t="inlineStr">
        <is>
          <t>server/src/testFixtures/java/io/crate/testing/ParsedDocumentAssert.java</t>
        </is>
      </c>
      <c r="C186">
        <f>HYPERLINK("https://github.com/crate/crate/blob/master/server/src/testFixtures/java/io/crate/testing/ParsedDocumentAssert.java")</f>
        <v/>
      </c>
      <c r="D186" t="inlineStr">
        <is>
          <t>The code implements core algorithms with a time complexity of O(N). It includes comments explaining its implementation and is part of a larger repository containing backend software components. The code size is 1000 lines.</t>
        </is>
      </c>
      <c r="E186" t="n">
        <v>0.0138</v>
      </c>
      <c r="F186" t="n">
        <v>0.1395</v>
      </c>
      <c r="G186" t="n">
        <v>0.3509</v>
      </c>
      <c r="H186" t="inlineStr">
        <is>
          <t>The code implements core algorithms and contains backend software components. Complexity is O(N), indicating linear time complexity. The README provides details about the project's purpose and structure.</t>
        </is>
      </c>
      <c r="I186" t="n">
        <v>0.0176</v>
      </c>
      <c r="J186" t="n">
        <v>0.1622</v>
      </c>
      <c r="K186" t="n">
        <v>0.3188</v>
      </c>
      <c r="L186" t="inlineStr">
        <is>
          <t>The code implements core algorithms for backend software components, focusing on efficient data processing and manipulation using a time complexity of O(N). It includes comments that describe implementation details and existing comments from previous commits. The code size is 1000 lines, reflecting its importance as part of the overall system architecture.</t>
        </is>
      </c>
      <c r="M186" t="n">
        <v>0.008999999999999999</v>
      </c>
      <c r="N186" t="n">
        <v>0.1</v>
      </c>
      <c r="O186" t="n">
        <v>0.3024</v>
      </c>
    </row>
    <row r="187">
      <c r="A187" t="inlineStr">
        <is>
          <t>crate</t>
        </is>
      </c>
      <c r="B187" t="inlineStr">
        <is>
          <t>server/src/testFixtures/java/io/crate/testing/RetryRule.java</t>
        </is>
      </c>
      <c r="C187">
        <f>HYPERLINK("https://github.com/crate/crate/blob/master/server/src/testFixtures/java/io/crate/testing/RetryRule.java")</f>
        <v/>
      </c>
      <c r="D187" t="inlineStr">
        <is>
          <t>The provided code implements core algorithms without detailed comments, focusing on complexity O(N) and being part of a larger backend software component repository. The README indicates that it's complex but does not provide further details about its functionality beyond the given constraints.</t>
        </is>
      </c>
      <c r="E187" t="n">
        <v>0.0117</v>
      </c>
      <c r="F187" t="n">
        <v>0.1154</v>
      </c>
      <c r="G187" t="n">
        <v>0.3263</v>
      </c>
      <c r="H187" t="inlineStr">
        <is>
          <t>The repository contains backend software components implementing core algorithms. The complexity is O(N), indicating linear time complexity. Comments describe the implementation details. Initial codebase commit was made. The total size of the code is 1000 lines.</t>
        </is>
      </c>
      <c r="I187" t="n">
        <v>0.0061</v>
      </c>
      <c r="J187" t="n">
        <v>0.1333</v>
      </c>
      <c r="K187" t="n">
        <v>0.1389</v>
      </c>
      <c r="L187" t="inlineStr">
        <is>
          <t>The code implements core algorithms for backend software components, handling inputs and outputs efficiently within a complexity of O(N). It includes comments explaining implementation details and adheres to best practices for code readability and maintainability. The code size is 1000 lines, reflecting its comprehensive nature in supporting backend functionalities.</t>
        </is>
      </c>
      <c r="M187" t="n">
        <v>0.0094</v>
      </c>
      <c r="N187" t="n">
        <v>0.1034</v>
      </c>
      <c r="O187" t="n">
        <v>0.2608</v>
      </c>
    </row>
    <row r="188">
      <c r="A188" t="inlineStr">
        <is>
          <t>crate</t>
        </is>
      </c>
      <c r="B188" t="inlineStr">
        <is>
          <t>server/src/testFixtures/java/io/crate/testing/IndexEnv.java</t>
        </is>
      </c>
      <c r="C188">
        <f>HYPERLINK("https://github.com/crate/crate/blob/master/server/src/testFixtures/java/io/crate/testing/IndexEnv.java")</f>
        <v/>
      </c>
      <c r="D188" t="inlineStr">
        <is>
          <t>The provided code implements core algorithms without detailed comments, focusing on efficiency with a time complexity of O(N). It's part of a larger repository containing backend software components, but lacks context about its purpose or usage beyond its algorithmic complexity. The README indicates that it was initially committed without extensive documentation.</t>
        </is>
      </c>
      <c r="E188" t="n">
        <v>0.008399999999999999</v>
      </c>
      <c r="F188" t="n">
        <v>0.06560000000000001</v>
      </c>
      <c r="G188" t="n">
        <v>0.2566</v>
      </c>
      <c r="H188" t="inlineStr">
        <is>
          <t>The code implements core algorithms for a backend system. Complexity is O(N), indicating linear time complexity. The README provides details about the repository's content and structure.</t>
        </is>
      </c>
      <c r="I188" t="n">
        <v>0.017</v>
      </c>
      <c r="J188" t="n">
        <v>0.1667</v>
      </c>
      <c r="K188" t="n">
        <v>0.2608</v>
      </c>
      <c r="L188" t="inlineStr">
        <is>
          <t>This code implements core algorithms for a backend software component, focusing on efficient data processing and manipulation. It has a time complexity of O(N), making it suitable for handling large datasets. The implementation includes comments that describe the core functionalities, and the code size is approximately 1000 lines.</t>
        </is>
      </c>
      <c r="M188" t="n">
        <v>0.0102</v>
      </c>
      <c r="N188" t="n">
        <v>0.2105</v>
      </c>
      <c r="O188" t="n">
        <v>0.2083</v>
      </c>
    </row>
    <row r="189">
      <c r="A189" t="inlineStr">
        <is>
          <t>crate</t>
        </is>
      </c>
      <c r="B189" t="inlineStr">
        <is>
          <t>server/src/testFixtures/java/io/crate/testing/QueryTester.java</t>
        </is>
      </c>
      <c r="C189">
        <f>HYPERLINK("https://github.com/crate/crate/blob/master/server/src/testFixtures/java/io/crate/testing/QueryTester.java")</f>
        <v/>
      </c>
      <c r="D189" t="inlineStr">
        <is>
          <t>The provided code implements core algorithms with a time complexity of O(N). It includes comments explaining its implementation and structure. The README provides details about the repository's contents, complexity, and initial commit history.</t>
        </is>
      </c>
      <c r="E189" t="n">
        <v>0.0132</v>
      </c>
      <c r="F189" t="n">
        <v>0.1395</v>
      </c>
      <c r="G189" t="n">
        <v>0.2434</v>
      </c>
      <c r="H189" t="inlineStr">
        <is>
          <t>The repository contains backend software components implementing core algorithms. Complexity is O(N), indicating linear time complexity. The README provides general information about the project's purpose and structure.</t>
        </is>
      </c>
      <c r="I189" t="n">
        <v>0.0092</v>
      </c>
      <c r="J189" t="n">
        <v>0.2162</v>
      </c>
      <c r="K189" t="n">
        <v>0.3188</v>
      </c>
      <c r="L189" t="inlineStr">
        <is>
          <t>This code implements core algorithms for backend software components using Java, following best practices for readability and maintainability. It processes data efficiently with a time complexity of O(N), leveraging existing comments and commit messages from an initial codebase commit. The code size is 1000 lines, focusing on providing essential functionalities within the context of backend development.</t>
        </is>
      </c>
      <c r="M189" t="n">
        <v>0.008699999999999999</v>
      </c>
      <c r="N189" t="n">
        <v>0.1231</v>
      </c>
      <c r="O189" t="n">
        <v>0.3331</v>
      </c>
    </row>
    <row r="190">
      <c r="A190" t="inlineStr">
        <is>
          <t>crate</t>
        </is>
      </c>
      <c r="B190" t="inlineStr">
        <is>
          <t>server/src/testFixtures/java/io/crate/testing/Asserts.java</t>
        </is>
      </c>
      <c r="C190">
        <f>HYPERLINK("https://github.com/crate/crate/blob/master/server/src/testFixtures/java/io/crate/testing/Asserts.java")</f>
        <v/>
      </c>
      <c r="D190" t="inlineStr">
        <is>
          <t>The code implements core algorithms with a time complexity of O(N). It includes comments explaining its purpose and usage. The repository contains backend software components and has been committed once. The total size of the code is 1000 lines.</t>
        </is>
      </c>
      <c r="E190" t="n">
        <v>0.0119</v>
      </c>
      <c r="F190" t="n">
        <v>0.125</v>
      </c>
      <c r="G190" t="n">
        <v>0.2843</v>
      </c>
      <c r="H190" t="inlineStr">
        <is>
          <t>Implements core algorithms for backend software components. Complexity is O(N).</t>
        </is>
      </c>
      <c r="I190" t="n">
        <v>0.0251</v>
      </c>
      <c r="J190" t="n">
        <v>0.2105</v>
      </c>
      <c r="K190" t="n">
        <v>0.3117</v>
      </c>
      <c r="L190" t="inlineStr">
        <is>
          <t>The code implements core algorithms for backend software components, focusing on efficient data processing and handling. It processes large datasets using an O(N) complexity approach, leveraging existing comments and commit messages from an initial codebase commit. The README provides context about the repository's focus on backend software components.</t>
        </is>
      </c>
      <c r="M190" t="n">
        <v>0.009599999999999999</v>
      </c>
      <c r="N190" t="n">
        <v>0.1034</v>
      </c>
      <c r="O190" t="n">
        <v>0.31</v>
      </c>
    </row>
    <row r="191">
      <c r="A191" t="inlineStr">
        <is>
          <t>crate</t>
        </is>
      </c>
      <c r="B191" t="inlineStr">
        <is>
          <t>server/src/testFixtures/java/io/crate/testing/UseRandomizedSchema.java</t>
        </is>
      </c>
      <c r="C191">
        <f>HYPERLINK("https://github.com/crate/crate/blob/master/server/src/testFixtures/java/io/crate/testing/UseRandomizedSchema.java")</f>
        <v/>
      </c>
      <c r="D191" t="inlineStr">
        <is>
          <t>The provided code implements core algorithms without detailed comments, focusing on performance complexity O(N). It's part of a larger backend software component repository. The README mentions that it contains complex implementations and initial commits. The total size of the codebase is 1000 lines.</t>
        </is>
      </c>
      <c r="E191" t="n">
        <v>0.0108</v>
      </c>
      <c r="F191" t="n">
        <v>0.1132</v>
      </c>
      <c r="G191" t="n">
        <v>0.3235</v>
      </c>
      <c r="H191" t="inlineStr">
        <is>
          <t>Implements core algorithms for backend software components. Complexity is O(N).</t>
        </is>
      </c>
      <c r="I191" t="n">
        <v>0.0251</v>
      </c>
      <c r="J191" t="n">
        <v>0.2105</v>
      </c>
      <c r="K191" t="n">
        <v>0.3117</v>
      </c>
      <c r="L191" t="inlineStr">
        <is>
          <t>The code implements core algorithms for backend software components, focusing on efficient data processing and manipulation. It processes large datasets using a time complexity of O(N), leveraging existing comments and initial implementation details from previous commits. The code size is 1000 lines, reflecting its importance as part of the overall system architecture.</t>
        </is>
      </c>
      <c r="M191" t="n">
        <v>0.0089</v>
      </c>
      <c r="N191" t="n">
        <v>0.0984</v>
      </c>
      <c r="O191" t="n">
        <v>0.3</v>
      </c>
    </row>
    <row r="192">
      <c r="A192" t="inlineStr">
        <is>
          <t>crate</t>
        </is>
      </c>
      <c r="B192" t="inlineStr">
        <is>
          <t>server/src/testFixtures/java/io/crate/testing/PlainRamAccounting.java</t>
        </is>
      </c>
      <c r="C192">
        <f>HYPERLINK("https://github.com/crate/crate/blob/master/server/src/testFixtures/java/io/crate/testing/PlainRamAccounting.java")</f>
        <v/>
      </c>
      <c r="D192" t="inlineStr">
        <is>
          <t>The provided code implements core algorithms without any comments or documentation, making it difficult to understand its functionality. The complexity is O(N), but the lack of comments makes it impossible to determine what operations are performed and how they relate to each other. Without further context or explanation, it's unclear what problem the code solves or how it should be used.</t>
        </is>
      </c>
      <c r="E192" t="n">
        <v>0.007</v>
      </c>
      <c r="F192" t="n">
        <v>0.1127</v>
      </c>
      <c r="G192" t="n">
        <v>0.1921</v>
      </c>
      <c r="H192" t="inlineStr">
        <is>
          <t>Implements core algorithms.</t>
        </is>
      </c>
      <c r="I192" t="n">
        <v>0.0215</v>
      </c>
      <c r="J192" t="n">
        <v>0.3636</v>
      </c>
      <c r="K192" t="n">
        <v>0.25</v>
      </c>
      <c r="L192" t="inlineStr">
        <is>
          <t>The provided code implements core algorithms for backend software components, focusing on efficient data processing and manipulation using a time complexity of O(N). The implementation includes comments explaining the core functionalities, and the code size is 1000 lines.</t>
        </is>
      </c>
      <c r="M192" t="n">
        <v>0.0123</v>
      </c>
      <c r="N192" t="n">
        <v>0.2128</v>
      </c>
      <c r="O192" t="n">
        <v>0.2273</v>
      </c>
    </row>
    <row r="193">
      <c r="A193" t="inlineStr">
        <is>
          <t>crate</t>
        </is>
      </c>
      <c r="B193" t="inlineStr">
        <is>
          <t>server/src/testFixtures/java/io/crate/testing/SleepScalarFunction.java</t>
        </is>
      </c>
      <c r="C193">
        <f>HYPERLINK("https://github.com/crate/crate/blob/master/server/src/testFixtures/java/io/crate/testing/SleepScalarFunction.java")</f>
        <v/>
      </c>
      <c r="D193" t="inlineStr">
        <is>
          <t>The code implements core algorithms with a time complexity of O(N). It includes comments explaining its implementation and is part of a larger repository containing backend software components. The code size is 1000 lines long.</t>
        </is>
      </c>
      <c r="E193" t="n">
        <v>0.0134</v>
      </c>
      <c r="F193" t="n">
        <v>0.1364</v>
      </c>
      <c r="G193" t="n">
        <v>0.3477</v>
      </c>
      <c r="H193" t="inlineStr">
        <is>
          <t>The repository contains backend software components that implement core algorithms. The complexity is O(N), indicating linear time complexity. The comments describe the implementation of these algorithms. There are no commits listed, so it's unclear when the project was started. The total size of the codebase is 1000 lines.</t>
        </is>
      </c>
      <c r="I193" t="n">
        <v>0.0045</v>
      </c>
      <c r="J193" t="n">
        <v>0.1034</v>
      </c>
      <c r="K193" t="n">
        <v>0.125</v>
      </c>
      <c r="L193" t="inlineStr">
        <is>
          <t>The code implements core algorithms for backend software components, focusing on efficient data processing and manipulation using a time complexity of O(N). The implementation includes comments that describe the core functionalities, and the code size is 1000 lines.</t>
        </is>
      </c>
      <c r="M193" t="n">
        <v>0.0123</v>
      </c>
      <c r="N193" t="n">
        <v>0.2128</v>
      </c>
      <c r="O193" t="n">
        <v>0.2273</v>
      </c>
    </row>
    <row r="194">
      <c r="A194" t="inlineStr">
        <is>
          <t>crate</t>
        </is>
      </c>
      <c r="B194" t="inlineStr">
        <is>
          <t>server/src/testFixtures/java/io/crate/testing/TestingHelpers.java</t>
        </is>
      </c>
      <c r="C194">
        <f>HYPERLINK("https://github.com/crate/crate/blob/master/server/src/testFixtures/java/io/crate/testing/TestingHelpers.java")</f>
        <v/>
      </c>
      <c r="D194" t="inlineStr">
        <is>
          <t>The provided code implements core algorithms without any comments or documentation, making it difficult to understand its functionality. The complexity is O(N), but the lack of comments makes it impossible to determine what operations are performed and how they relate to each other. Without further context or explanation, it's unclear what the code does or how it should be used.</t>
        </is>
      </c>
      <c r="E194" t="n">
        <v>0.0071</v>
      </c>
      <c r="F194" t="n">
        <v>0.1143</v>
      </c>
      <c r="G194" t="n">
        <v>0.1936</v>
      </c>
      <c r="H194" t="inlineStr">
        <is>
          <t>Implements core algorithms.</t>
        </is>
      </c>
      <c r="I194" t="n">
        <v>0.0215</v>
      </c>
      <c r="J194" t="n">
        <v>0.3636</v>
      </c>
      <c r="K194" t="n">
        <v>0.25</v>
      </c>
      <c r="L194" t="inlineStr">
        <is>
          <t>This code implements core algorithms for backend software components, focusing on efficient data processing and manipulation. It processes large datasets using an O(N) complexity algorithm, leveraging existing comments and commit messages from an initial codebase commit. The implementation includes essential features for handling complex queries and maintaining high performance.</t>
        </is>
      </c>
      <c r="M194" t="n">
        <v>0.01</v>
      </c>
      <c r="N194" t="n">
        <v>0.1379</v>
      </c>
      <c r="O194" t="n">
        <v>0.3524</v>
      </c>
    </row>
    <row r="195">
      <c r="A195" t="inlineStr">
        <is>
          <t>crate</t>
        </is>
      </c>
      <c r="B195" t="inlineStr">
        <is>
          <t>server/src/testFixtures/java/io/crate/testing/TestExecutionConfig.java</t>
        </is>
      </c>
      <c r="C195">
        <f>HYPERLINK("https://github.com/crate/crate/blob/master/server/src/testFixtures/java/io/crate/testing/TestExecutionConfig.java")</f>
        <v/>
      </c>
      <c r="D195" t="inlineStr">
        <is>
          <t>The code implements core algorithms with a time complexity of O(N). It includes comments explaining its implementation and has a size of 1000 lines. The code is licensed under the Apache License, Version 2.0.</t>
        </is>
      </c>
      <c r="E195" t="n">
        <v>0.0128</v>
      </c>
      <c r="F195" t="n">
        <v>0.1364</v>
      </c>
      <c r="G195" t="n">
        <v>0.2411</v>
      </c>
      <c r="H195" t="inlineStr">
        <is>
          <t>The repository contains backend software components that implement core algorithms. The complexity of the implementation is O(N), indicating linear time complexity. The comments provide details about the implementation process, while the commits record the initial creation of the codebase. The total size of the codebase is 1000 lines.</t>
        </is>
      </c>
      <c r="I195" t="n">
        <v>0.0045</v>
      </c>
      <c r="J195" t="n">
        <v>0.1053</v>
      </c>
      <c r="K195" t="n">
        <v>0.125</v>
      </c>
      <c r="L195" t="inlineStr">
        <is>
          <t>This code implements core algorithms for backend software components, focusing on efficient data processing and manipulation. It has a time complexity of O(N), making it suitable for large datasets. The implementation includes comments that describe the core functionalities, and the code size is approximately 1000 lines.</t>
        </is>
      </c>
      <c r="M195" t="n">
        <v>0.0106</v>
      </c>
      <c r="N195" t="n">
        <v>0.2182</v>
      </c>
      <c r="O195" t="n">
        <v>0.2119</v>
      </c>
    </row>
    <row r="196">
      <c r="A196" t="inlineStr">
        <is>
          <t>crate</t>
        </is>
      </c>
      <c r="B196" t="inlineStr">
        <is>
          <t>server/src/testFixtures/java/io/crate/testing/SQLExecutor.java</t>
        </is>
      </c>
      <c r="C196">
        <f>HYPERLINK("https://github.com/crate/crate/blob/master/server/src/testFixtures/java/io/crate/testing/SQLExecutor.java")</f>
        <v/>
      </c>
      <c r="D196" t="inlineStr">
        <is>
          <t>The code implements core algorithms without detailed comments, focusing on complexity O(N). It's part of a larger repository containing backend software components. The README provides basic details about the project, including its license, complexity, and size.</t>
        </is>
      </c>
      <c r="E196" t="n">
        <v>0.013</v>
      </c>
      <c r="F196" t="n">
        <v>0.1304</v>
      </c>
      <c r="G196" t="n">
        <v>0.3444</v>
      </c>
      <c r="H196" t="inlineStr">
        <is>
          <t>The code implements core algorithms for a backend software component. Complexity is O(N), indicating linear time complexity. Comments describe the implementation details. The repository contains initial codebase commits. Code size is 1000 lines.</t>
        </is>
      </c>
      <c r="I196" t="n">
        <v>0.0132</v>
      </c>
      <c r="J196" t="n">
        <v>0.09520000000000001</v>
      </c>
      <c r="K196" t="n">
        <v>0.2434</v>
      </c>
      <c r="L196" t="inlineStr">
        <is>
          <t>This code implements core algorithms for backend software components, focusing on efficient data processing and handling using a time complexity of O(N). The implementation includes comments that describe the core functionalities, and the code size is 1000 lines.</t>
        </is>
      </c>
      <c r="M196" t="n">
        <v>0.013</v>
      </c>
      <c r="N196" t="n">
        <v>0.2553</v>
      </c>
      <c r="O196" t="n">
        <v>0.2727</v>
      </c>
    </row>
    <row r="197">
      <c r="A197" t="inlineStr">
        <is>
          <t>crate</t>
        </is>
      </c>
      <c r="B197" t="inlineStr">
        <is>
          <t>server/src/testFixtures/java/io/crate/testing/UseHashJoins.java</t>
        </is>
      </c>
      <c r="C197">
        <f>HYPERLINK("https://github.com/crate/crate/blob/master/server/src/testFixtures/java/io/crate/testing/UseHashJoins.java")</f>
        <v/>
      </c>
      <c r="D197" t="inlineStr">
        <is>
          <t>The code implements core algorithms with a time complexity of O(N). It includes comments explaining its implementation and is part of a larger repository containing backend software components. The total size of the code is 1000 lines.</t>
        </is>
      </c>
      <c r="E197" t="n">
        <v>0.0126</v>
      </c>
      <c r="F197" t="n">
        <v>0.1304</v>
      </c>
      <c r="G197" t="n">
        <v>0.3413</v>
      </c>
      <c r="H197" t="inlineStr">
        <is>
          <t>Implements core algorithms for backend software components. Complexity is O(N).</t>
        </is>
      </c>
      <c r="I197" t="n">
        <v>0.0251</v>
      </c>
      <c r="J197" t="n">
        <v>0.2105</v>
      </c>
      <c r="K197" t="n">
        <v>0.3117</v>
      </c>
      <c r="L197" t="inlineStr">
        <is>
          <t>This code implements core algorithms for backend software components, focusing on efficient data processing and handling using a time complexity of O(N). The implementation includes comments explaining the core functionalities and adheres to best practices for code readability and maintainability.</t>
        </is>
      </c>
      <c r="M197" t="n">
        <v>0.0123</v>
      </c>
      <c r="N197" t="n">
        <v>0.2449</v>
      </c>
      <c r="O197" t="n">
        <v>0.3807</v>
      </c>
    </row>
    <row r="198">
      <c r="A198" t="inlineStr">
        <is>
          <t>crate</t>
        </is>
      </c>
      <c r="B198" t="inlineStr">
        <is>
          <t>server/src/testFixtures/java/io/crate/testing/TableInfoAssert.java</t>
        </is>
      </c>
      <c r="C198">
        <f>HYPERLINK("https://github.com/crate/crate/blob/master/server/src/testFixtures/java/io/crate/testing/TableInfoAssert.java")</f>
        <v/>
      </c>
      <c r="D198" t="inlineStr">
        <is>
          <t>The code implements core algorithms with a time complexity of O(N). It includes comments explaining its purpose and implementation details. The README provides general information about the repository's contents, complexity, and commits.</t>
        </is>
      </c>
      <c r="E198" t="n">
        <v>0.0137</v>
      </c>
      <c r="F198" t="n">
        <v>0.1429</v>
      </c>
      <c r="G198" t="n">
        <v>0.2457</v>
      </c>
      <c r="H198" t="inlineStr">
        <is>
          <t>Implements core algorithms for backend software components. Complexity is O(N).</t>
        </is>
      </c>
      <c r="I198" t="n">
        <v>0.0251</v>
      </c>
      <c r="J198" t="n">
        <v>0.2105</v>
      </c>
      <c r="K198" t="n">
        <v>0.3117</v>
      </c>
      <c r="L198" t="inlineStr">
        <is>
          <t>The code implements core algorithms for backend software components, handling input data efficiently with a time complexity of O(N). It includes comments explaining implementation details and has been committed as part of the initial codebase. The total size of the codebase is 1000 lines.</t>
        </is>
      </c>
      <c r="M198" t="n">
        <v>0.0105</v>
      </c>
      <c r="N198" t="n">
        <v>0.1132</v>
      </c>
      <c r="O198" t="n">
        <v>0.3207</v>
      </c>
    </row>
    <row r="199">
      <c r="A199" t="inlineStr">
        <is>
          <t>crate</t>
        </is>
      </c>
      <c r="B199" t="inlineStr">
        <is>
          <t>server/src/testFixtures/java/io/crate/testing/LogicalPlanAssert.java</t>
        </is>
      </c>
      <c r="C199">
        <f>HYPERLINK("https://github.com/crate/crate/blob/master/server/src/testFixtures/java/io/crate/testing/LogicalPlanAssert.java")</f>
        <v/>
      </c>
      <c r="D199" t="inlineStr">
        <is>
          <t>The provided code implements core algorithms without detailed comments or explanations, focusing primarily on performance complexity analysis as indicated by the comment `Complexity: O(N)`. The README indicates that it's part of a larger repository containing backend software components, but does not provide any further details about its functionality beyond the given complexity metric.</t>
        </is>
      </c>
      <c r="E199" t="n">
        <v>0.008699999999999999</v>
      </c>
      <c r="F199" t="n">
        <v>0.09520000000000001</v>
      </c>
      <c r="G199" t="n">
        <v>0.2525</v>
      </c>
      <c r="H199" t="inlineStr">
        <is>
          <t>This repository contains backend software components that implement core algorithms. The complexity of the implementation is O(N), indicating linear time complexity. The README provides general information about the project's purpose and structure.</t>
        </is>
      </c>
      <c r="I199" t="n">
        <v>0.0083</v>
      </c>
      <c r="J199" t="n">
        <v>0.2381</v>
      </c>
      <c r="K199" t="n">
        <v>0.2404</v>
      </c>
      <c r="L199" t="inlineStr">
        <is>
          <t>This code implements core algorithms for a backend software component, handling data processing tasks efficiently with a time complexity of O(N). The implementation includes comments that describe the core functionalities, and the code size is approximately 1000 lines.</t>
        </is>
      </c>
      <c r="M199" t="n">
        <v>0.013</v>
      </c>
      <c r="N199" t="n">
        <v>0.2553</v>
      </c>
      <c r="O199" t="n">
        <v>0.2273</v>
      </c>
    </row>
    <row r="200">
      <c r="A200" t="inlineStr">
        <is>
          <t>crate</t>
        </is>
      </c>
      <c r="B200" t="inlineStr">
        <is>
          <t>server/src/testFixtures/java/io/crate/testing/SQLResponseAssert.java</t>
        </is>
      </c>
      <c r="C200">
        <f>HYPERLINK("https://github.com/crate/crate/blob/master/server/src/testFixtures/java/io/crate/testing/SQLResponseAssert.java")</f>
        <v/>
      </c>
      <c r="D200" t="inlineStr">
        <is>
          <t>The provided code implements core algorithms without detailed comments, focusing on complexity analysis as O(N). It's part of a larger repository containing backend software components. The README mentions that it has been initialized but lacks further details about its contents or usage.</t>
        </is>
      </c>
      <c r="E200" t="n">
        <v>0.0103</v>
      </c>
      <c r="F200" t="n">
        <v>0.0769</v>
      </c>
      <c r="G200" t="n">
        <v>0.2769</v>
      </c>
      <c r="H200" t="inlineStr">
        <is>
          <t>Implements core algorithms.</t>
        </is>
      </c>
      <c r="I200" t="n">
        <v>0.0215</v>
      </c>
      <c r="J200" t="n">
        <v>0.3636</v>
      </c>
      <c r="K200" t="n">
        <v>0.25</v>
      </c>
      <c r="L200" t="inlineStr">
        <is>
          <t>This code implements core algorithms for backend software components, focusing on efficient data processing and manipulation. It has a time complexity of O(N), indicating linear performance relative to input size, and includes comments that describe implementation details. The codebase was initially committed without extensive documentation, which could benefit from improved clarity and context.</t>
        </is>
      </c>
      <c r="M200" t="n">
        <v>0.0092</v>
      </c>
      <c r="N200" t="n">
        <v>0.129</v>
      </c>
      <c r="O200" t="n">
        <v>0.2976</v>
      </c>
    </row>
    <row r="201">
      <c r="A201" t="inlineStr">
        <is>
          <t>crate</t>
        </is>
      </c>
      <c r="B201" t="inlineStr">
        <is>
          <t>server/src/testFixtures/java/io/crate/testing/T3.java</t>
        </is>
      </c>
      <c r="C201">
        <f>HYPERLINK("https://github.com/crate/crate/blob/master/server/src/testFixtures/java/io/crate/testing/T3.java")</f>
        <v/>
      </c>
      <c r="D201" t="inlineStr">
        <is>
          <t>The code implements core algorithms without detailed comments or documentation. It has a time complexity of O(N) and consists of approximately 1000 lines of code. The repository contains backend software components and does not include any external dependencies or third-party libraries.</t>
        </is>
      </c>
      <c r="E201" t="n">
        <v>0.0113</v>
      </c>
      <c r="F201" t="n">
        <v>0.1176</v>
      </c>
      <c r="G201" t="n">
        <v>0.2793</v>
      </c>
      <c r="H201" t="inlineStr">
        <is>
          <t>Implements core algorithms.</t>
        </is>
      </c>
      <c r="I201" t="n">
        <v>0.0215</v>
      </c>
      <c r="J201" t="n">
        <v>0.3636</v>
      </c>
      <c r="K201" t="n">
        <v>0.25</v>
      </c>
      <c r="L201" t="inlineStr">
        <is>
          <t>This code implements core algorithms for backend software components, focusing on efficient data processing and manipulation. It has a time complexity of O(N), making it suitable for large datasets. The implementation includes comments that describe the core functionalities, ensuring clarity and maintainability.</t>
        </is>
      </c>
      <c r="M201" t="n">
        <v>0.0117</v>
      </c>
      <c r="N201" t="n">
        <v>0.2353</v>
      </c>
      <c r="O201" t="n">
        <v>0.2193</v>
      </c>
    </row>
    <row r="202">
      <c r="A202" t="inlineStr">
        <is>
          <t>crate</t>
        </is>
      </c>
      <c r="B202" t="inlineStr">
        <is>
          <t>server/src/testFixtures/java/io/crate/testing/DocKeyAssert.java</t>
        </is>
      </c>
      <c r="C202">
        <f>HYPERLINK("https://github.com/crate/crate/blob/master/server/src/testFixtures/java/io/crate/testing/DocKeyAssert.java")</f>
        <v/>
      </c>
      <c r="D202" t="inlineStr">
        <is>
          <t>The code implements core algorithms without providing detailed comments or explanations. It has a time complexity of O(N) and is part of a larger repository containing backend software components. The README indicates that it lacks comprehensive documentation and does not include any commits or size details beyond the number of lines.</t>
        </is>
      </c>
      <c r="E202" t="n">
        <v>0.008999999999999999</v>
      </c>
      <c r="F202" t="n">
        <v>0.1</v>
      </c>
      <c r="G202" t="n">
        <v>0.3024</v>
      </c>
      <c r="H202" t="inlineStr">
        <is>
          <t>Implements core algorithms for backend software components. Complexity is O(N).</t>
        </is>
      </c>
      <c r="I202" t="n">
        <v>0.0251</v>
      </c>
      <c r="J202" t="n">
        <v>0.2105</v>
      </c>
      <c r="K202" t="n">
        <v>0.3117</v>
      </c>
      <c r="L202" t="inlineStr">
        <is>
          <t>This code implements core algorithms for a backend software component, handling input data efficiently with a time complexity of O(N). The implementation includes comments explaining the core functionalities and adheres to best practices for code readability and maintainability.</t>
        </is>
      </c>
      <c r="M202" t="n">
        <v>0.013</v>
      </c>
      <c r="N202" t="n">
        <v>0.2553</v>
      </c>
      <c r="O202" t="n">
        <v>0.3876</v>
      </c>
    </row>
    <row r="203">
      <c r="A203" t="inlineStr">
        <is>
          <t>crate</t>
        </is>
      </c>
      <c r="B203" t="inlineStr">
        <is>
          <t>server/src/testFixtures/java/io/crate/testing/SQLResponse.java</t>
        </is>
      </c>
      <c r="C203">
        <f>HYPERLINK("https://github.com/crate/crate/blob/master/server/src/testFixtures/java/io/crate/testing/SQLResponse.java")</f>
        <v/>
      </c>
      <c r="D203" t="inlineStr">
        <is>
          <t>The provided code implements core algorithms without any comments or documentation, making it difficult to understand its functionality. The complexity is O(N), indicating linear time performance. It's part of a larger project that includes backend software components and has been committed once. The total size of the code is 1000 lines.</t>
        </is>
      </c>
      <c r="E203" t="n">
        <v>0.008999999999999999</v>
      </c>
      <c r="F203" t="n">
        <v>0.1311</v>
      </c>
      <c r="G203" t="n">
        <v>0.3024</v>
      </c>
      <c r="H203" t="inlineStr">
        <is>
          <t>Implements core algorithms.</t>
        </is>
      </c>
      <c r="I203" t="n">
        <v>0.0215</v>
      </c>
      <c r="J203" t="n">
        <v>0.3636</v>
      </c>
      <c r="K203" t="n">
        <v>0.25</v>
      </c>
      <c r="L203" t="inlineStr">
        <is>
          <t>The code implements core algorithms for a backend software component, handling input data efficiently with a time complexity of O(N). It includes comments explaining implementation details and is part of a larger project that manages database functionalities. The code size is 1000 lines, reflecting its comprehensive nature in supporting various database operations.</t>
        </is>
      </c>
      <c r="M203" t="n">
        <v>0.0089</v>
      </c>
      <c r="N203" t="n">
        <v>0.0984</v>
      </c>
      <c r="O203" t="n">
        <v>0.3</v>
      </c>
    </row>
    <row r="204">
      <c r="A204" t="inlineStr">
        <is>
          <t>crate</t>
        </is>
      </c>
      <c r="B204" t="inlineStr">
        <is>
          <t>server/src/testFixtures/java/io/crate/testing/DiscoveryNodes.java</t>
        </is>
      </c>
      <c r="C204">
        <f>HYPERLINK("https://github.com/crate/crate/blob/master/server/src/testFixtures/java/io/crate/testing/DiscoveryNodes.java")</f>
        <v/>
      </c>
      <c r="D204" t="inlineStr">
        <is>
          <t>The code implements core algorithms with a time complexity of O(N). It includes comments explaining its purpose and implementation details. The repository contains backend software components and has been initialized with initial code.</t>
        </is>
      </c>
      <c r="E204" t="n">
        <v>0.0142</v>
      </c>
      <c r="F204" t="n">
        <v>0.1429</v>
      </c>
      <c r="G204" t="n">
        <v>0.3006</v>
      </c>
      <c r="H204" t="inlineStr">
        <is>
          <t>Implements core algorithms for backend software components. Complexity is O(N).</t>
        </is>
      </c>
      <c r="I204" t="n">
        <v>0.0251</v>
      </c>
      <c r="J204" t="n">
        <v>0.2105</v>
      </c>
      <c r="K204" t="n">
        <v>0.3117</v>
      </c>
      <c r="L204" t="inlineStr">
        <is>
          <t>This code implements core algorithms for a backend software component, focusing on efficient data processing and manipulation. It processes large datasets using an O(N) complexity approach, leveraging existing comments and commit messages to guide implementation. The code size is approximately 1000 lines, reflecting its importance within the project's context as a foundational component for handling backend functionalities.</t>
        </is>
      </c>
      <c r="M204" t="n">
        <v>0.008500000000000001</v>
      </c>
      <c r="N204" t="n">
        <v>0.1194</v>
      </c>
      <c r="O204" t="n">
        <v>0.3305</v>
      </c>
    </row>
    <row r="205">
      <c r="A205" t="inlineStr">
        <is>
          <t>crate</t>
        </is>
      </c>
      <c r="B205" t="inlineStr">
        <is>
          <t>server/src/testFixtures/java/io/crate/testing/SQLErrorAssert.java</t>
        </is>
      </c>
      <c r="C205">
        <f>HYPERLINK("https://github.com/crate/crate/blob/master/server/src/testFixtures/java/io/crate/testing/SQLErrorAssert.java")</f>
        <v/>
      </c>
      <c r="D205" t="inlineStr">
        <is>
          <t>The provided code implements core algorithms without any comments, making it difficult to understand its functionality. The complexity is O(N), indicating linear time performance relative to input size N. This suggests that the algorithm processes each element once. Without additional context or documentation, it's impossible to provide a detailed summary of the code's purpose or behavior.</t>
        </is>
      </c>
      <c r="E205" t="n">
        <v>0.0076</v>
      </c>
      <c r="F205" t="n">
        <v>0.0896</v>
      </c>
      <c r="G205" t="n">
        <v>0.1997</v>
      </c>
      <c r="H205" t="inlineStr">
        <is>
          <t>Implements core algorithms for backend software components. Complexity is O(N).</t>
        </is>
      </c>
      <c r="I205" t="n">
        <v>0.0251</v>
      </c>
      <c r="J205" t="n">
        <v>0.2105</v>
      </c>
      <c r="K205" t="n">
        <v>0.3117</v>
      </c>
      <c r="L205" t="inlineStr">
        <is>
          <t>This code implements core algorithms for a backend software component, focusing on efficient data processing and manipulation. It has a time complexity of \(O(N)\), making it suitable for large datasets. The implementation includes comments that describe the core functionalities, and the code size is approximately 1000 lines.</t>
        </is>
      </c>
      <c r="M205" t="n">
        <v>0.0104</v>
      </c>
      <c r="N205" t="n">
        <v>0.2143</v>
      </c>
      <c r="O205" t="n">
        <v>0.2101</v>
      </c>
    </row>
    <row r="206">
      <c r="A206" t="inlineStr">
        <is>
          <t>crate</t>
        </is>
      </c>
      <c r="B206" t="inlineStr">
        <is>
          <t>server/src/testFixtures/java/io/crate/testing/PrivilegeResolutionAssert.java</t>
        </is>
      </c>
      <c r="C206">
        <f>HYPERLINK("https://github.com/crate/crate/blob/master/server/src/testFixtures/java/io/crate/testing/PrivilegeResolutionAssert.java")</f>
        <v/>
      </c>
      <c r="D206" t="inlineStr">
        <is>
          <t>The provided code implements core algorithms without any comments or documentation, making it difficult to understand its functionality. The complexity is O(N), indicating linear time complexity, but no details about what operations are performed within the algorithm are given. Without further context or comments, it's impossible to summarize the code effectively.</t>
        </is>
      </c>
      <c r="E206" t="n">
        <v>0.0076</v>
      </c>
      <c r="F206" t="n">
        <v>0.0984</v>
      </c>
      <c r="G206" t="n">
        <v>0.1524</v>
      </c>
      <c r="H206" t="inlineStr">
        <is>
          <t>Implements core algorithms.</t>
        </is>
      </c>
      <c r="I206" t="n">
        <v>0.0215</v>
      </c>
      <c r="J206" t="n">
        <v>0.3636</v>
      </c>
      <c r="K206" t="n">
        <v>0.25</v>
      </c>
      <c r="L206" t="inlineStr">
        <is>
          <t>This code implements core algorithms for a backend software component, focusing on efficient data processing and manipulation tasks. The implementation complexity is O(N), indicating linear time performance, which is suitable for handling large datasets. The code includes comments that provide context and explain the core functionalities, enhancing readability and maintainability.</t>
        </is>
      </c>
      <c r="M206" t="n">
        <v>0.0098</v>
      </c>
      <c r="N206" t="n">
        <v>0.2034</v>
      </c>
      <c r="O206" t="n">
        <v>0.2049</v>
      </c>
    </row>
    <row r="207">
      <c r="A207" t="inlineStr">
        <is>
          <t>crate</t>
        </is>
      </c>
      <c r="B207" t="inlineStr">
        <is>
          <t>server/src/testFixtures/java/io/crate/testing/UseRandomizedOptimizerRules.java</t>
        </is>
      </c>
      <c r="C207">
        <f>HYPERLINK("https://github.com/crate/crate/blob/master/server/src/testFixtures/java/io/crate/testing/UseRandomizedOptimizerRules.java")</f>
        <v/>
      </c>
      <c r="D207" t="inlineStr">
        <is>
          <t>The provided code implements core algorithms without detailed comments or explanations, focusing primarily on performance complexity as O(N). The README indicates that it's part of a larger repository containing backend software components and specifies its complexity level.</t>
        </is>
      </c>
      <c r="E207" t="n">
        <v>0.0126</v>
      </c>
      <c r="F207" t="n">
        <v>0.1277</v>
      </c>
      <c r="G207" t="n">
        <v>0.3413</v>
      </c>
      <c r="H207" t="inlineStr">
        <is>
          <t>Implements core algorithms.</t>
        </is>
      </c>
      <c r="I207" t="n">
        <v>0.0215</v>
      </c>
      <c r="J207" t="n">
        <v>0.3636</v>
      </c>
      <c r="K207" t="n">
        <v>0.25</v>
      </c>
      <c r="L207" t="inlineStr">
        <is>
          <t>The code implements core algorithms for a backend software component, focusing on efficient data processing and manipulation. It has a time complexity of \(O(N)\), making it suitable for handling large datasets. The implementation includes comments that describe the core functionalities, ensuring clarity and maintainability.</t>
        </is>
      </c>
      <c r="M207" t="n">
        <v>0.0105</v>
      </c>
      <c r="N207" t="n">
        <v>0.1887</v>
      </c>
      <c r="O207" t="n">
        <v>0.1724</v>
      </c>
    </row>
    <row r="208">
      <c r="A208" t="inlineStr">
        <is>
          <t>crate</t>
        </is>
      </c>
      <c r="B208" t="inlineStr">
        <is>
          <t>server/src/testFixtures/java/io/crate/testing/TranslogSnapshotAssert.java</t>
        </is>
      </c>
      <c r="C208">
        <f>HYPERLINK("https://github.com/crate/crate/blob/master/server/src/testFixtures/java/io/crate/testing/TranslogSnapshotAssert.java")</f>
        <v/>
      </c>
      <c r="D208" t="inlineStr">
        <is>
          <t>The code implements core algorithms with a time complexity of O(N). It includes comments explaining its implementation and is part of a larger repository containing backend software components. The code size is 1000 lines long.</t>
        </is>
      </c>
      <c r="E208" t="n">
        <v>0.0134</v>
      </c>
      <c r="F208" t="n">
        <v>0.1364</v>
      </c>
      <c r="G208" t="n">
        <v>0.3477</v>
      </c>
      <c r="H208" t="inlineStr">
        <is>
          <t>The code implements core algorithms and is written in C++. It has a complexity of O(N) and includes comments explaining its implementation. The README provides details about the repository's purpose and structure.</t>
        </is>
      </c>
      <c r="I208" t="n">
        <v>0.0137</v>
      </c>
      <c r="J208" t="n">
        <v>0.1429</v>
      </c>
      <c r="K208" t="n">
        <v>0.2457</v>
      </c>
      <c r="L208" t="inlineStr">
        <is>
          <t>The code implements core algorithms for backend software components, focusing on efficient data processing and manipulation. It processes large datasets using an O(N) complexity algorithm, which ensures optimal performance while maintaining clarity through well-documented comments and initial implementation messages. The code size is 1000 lines, reflecting its comprehensive nature in handling various functionalities within the backend system.</t>
        </is>
      </c>
      <c r="M208" t="n">
        <v>0.0081</v>
      </c>
      <c r="N208" t="n">
        <v>0.0896</v>
      </c>
      <c r="O208" t="n">
        <v>0.2884</v>
      </c>
    </row>
    <row r="209">
      <c r="A209" t="inlineStr">
        <is>
          <t>crate</t>
        </is>
      </c>
      <c r="B209" t="inlineStr">
        <is>
          <t>server/src/testFixtures/java/io/crate/testing/UseJdbc.java</t>
        </is>
      </c>
      <c r="C209">
        <f>HYPERLINK("https://github.com/crate/crate/blob/master/server/src/testFixtures/java/io/crate/testing/UseJdbc.java")</f>
        <v/>
      </c>
      <c r="D209" t="inlineStr">
        <is>
          <t>The code implements core algorithms without providing any specific details about their functionality. It includes comments indicating that it's part of a larger project and mentions its complexity as O(N). The README provides basic information about the repository and commits but does not describe the actual implementation details.</t>
        </is>
      </c>
      <c r="E209" t="n">
        <v>0.008999999999999999</v>
      </c>
      <c r="F209" t="n">
        <v>0.1379</v>
      </c>
      <c r="G209" t="n">
        <v>0.263</v>
      </c>
      <c r="H209" t="inlineStr">
        <is>
          <t>Implements core algorithms.</t>
        </is>
      </c>
      <c r="I209" t="n">
        <v>0.0215</v>
      </c>
      <c r="J209" t="n">
        <v>0.3636</v>
      </c>
      <c r="K209" t="n">
        <v>0.25</v>
      </c>
      <c r="L209" t="inlineStr">
        <is>
          <t>The code implements core algorithms for a backend software component, handling data processing efficiently with a time complexity of O(N). It includes comments explaining implementation details and is part of a larger project that focuses on database management systems. The code size is 1000 lines, reflecting its importance within the system's architecture.</t>
        </is>
      </c>
      <c r="M209" t="n">
        <v>0.0089</v>
      </c>
      <c r="N209" t="n">
        <v>0.0968</v>
      </c>
      <c r="O209" t="n">
        <v>0.3</v>
      </c>
    </row>
    <row r="210">
      <c r="A210" t="inlineStr">
        <is>
          <t>crate</t>
        </is>
      </c>
      <c r="B210" t="inlineStr">
        <is>
          <t>server/src/testFixtures/java/io/crate/testing/EngineSearcherAssert.java</t>
        </is>
      </c>
      <c r="C210">
        <f>HYPERLINK("https://github.com/crate/crate/blob/master/server/src/testFixtures/java/io/crate/testing/EngineSearcherAssert.java")</f>
        <v/>
      </c>
      <c r="D210" t="inlineStr">
        <is>
          <t>The code implements core algorithms without detailed comments or explanations. It has a time complexity of O(N) and consists of approximately 1000 lines of code. The repository contains backend software components.</t>
        </is>
      </c>
      <c r="E210" t="n">
        <v>0.0152</v>
      </c>
      <c r="F210" t="n">
        <v>0.15</v>
      </c>
      <c r="G210" t="n">
        <v>0.3064</v>
      </c>
      <c r="H210" t="inlineStr">
        <is>
          <t>This repository contains backend software components that implement core algorithms. The complexity of the implementation is O(N), indicating linear time complexity. The comments provide details about the algorithm's purpose and structure. The code size is 1000 lines.</t>
        </is>
      </c>
      <c r="I210" t="n">
        <v>0.0071</v>
      </c>
      <c r="J210" t="n">
        <v>0.2128</v>
      </c>
      <c r="K210" t="n">
        <v>0.2294</v>
      </c>
      <c r="L210" t="inlineStr">
        <is>
          <t>The code implements core algorithms for a backend software component, focusing on efficient data processing and manipulation tasks. It has a time complexity of O(N), making it suitable for handling large datasets. The implementation includes comments that provide context about the core functionalities and existing commits indicate the initial development phase. The code size is approximately 1000 lines, reflecting its comprehensive nature in supporting various backend operations.</t>
        </is>
      </c>
      <c r="M210" t="n">
        <v>0.0068</v>
      </c>
      <c r="N210" t="n">
        <v>0.1316</v>
      </c>
      <c r="O210" t="n">
        <v>0.3209</v>
      </c>
    </row>
    <row r="211">
      <c r="A211" t="inlineStr">
        <is>
          <t>crate</t>
        </is>
      </c>
      <c r="B211" t="inlineStr">
        <is>
          <t>server/src/testFixtures/java/io/crate/testing/StubPhases.java</t>
        </is>
      </c>
      <c r="C211">
        <f>HYPERLINK("https://github.com/crate/crate/blob/master/server/src/testFixtures/java/io/crate/testing/StubPhases.java")</f>
        <v/>
      </c>
      <c r="D211" t="inlineStr">
        <is>
          <t>The provided code implements core algorithms without detailed comments, focusing on performance complexity O(N). It's part of a larger project containing backend software components. The README indicates that it has been committed once and its size is 1000 lines.</t>
        </is>
      </c>
      <c r="E211" t="n">
        <v>0.0119</v>
      </c>
      <c r="F211" t="n">
        <v>0.1224</v>
      </c>
      <c r="G211" t="n">
        <v>0.3351</v>
      </c>
      <c r="H211" t="inlineStr">
        <is>
          <t>The repository contains backend software components implementing core algorithms. Complexity is O(N), indicating linear time complexity. Comments describe the implementation details. The code size is 1000 lines.</t>
        </is>
      </c>
      <c r="I211" t="n">
        <v>0.0083</v>
      </c>
      <c r="J211" t="n">
        <v>0.1667</v>
      </c>
      <c r="K211" t="n">
        <v>0.1515</v>
      </c>
      <c r="L211" t="inlineStr">
        <is>
          <t>This code implements core algorithms for backend software components using a time complexity of O(N). It includes initial implementation comments and no existing commits. The total size of the codebase is 1000 lines.</t>
        </is>
      </c>
      <c r="M211" t="n">
        <v>0.015</v>
      </c>
      <c r="N211" t="n">
        <v>0.1905</v>
      </c>
      <c r="O211" t="n">
        <v>0.4061</v>
      </c>
    </row>
    <row r="212">
      <c r="A212" t="inlineStr">
        <is>
          <t>crate</t>
        </is>
      </c>
      <c r="B212" t="inlineStr">
        <is>
          <t>server/src/testFixtures/java/io/crate/testing/SQLPrinter.java</t>
        </is>
      </c>
      <c r="C212">
        <f>HYPERLINK("https://github.com/crate/crate/blob/master/server/src/testFixtures/java/io/crate/testing/SQLPrinter.java")</f>
        <v/>
      </c>
      <c r="D212" t="inlineStr">
        <is>
          <t>The provided code implements core algorithms without any comments or documentation, making it difficult to understand its functionality. The complexity is O(N), indicating linear time complexity, but there's no explanation of what operations are performed within the algorithm. Without further context or comments, it's impossible to summarize the code effectively.</t>
        </is>
      </c>
      <c r="E212" t="n">
        <v>0.0078</v>
      </c>
      <c r="F212" t="n">
        <v>0.0984</v>
      </c>
      <c r="G212" t="n">
        <v>0.1537</v>
      </c>
      <c r="H212" t="inlineStr">
        <is>
          <t>The repository contains backend software components implementing core algorithms. The complexity is O(N), indicating linear time complexity. Comments describe the implementation of core algorithms. There has been an initial codebase commit. The total size of the code is 1000 lines.</t>
        </is>
      </c>
      <c r="I212" t="n">
        <v>0.0055</v>
      </c>
      <c r="J212" t="n">
        <v>0.1224</v>
      </c>
      <c r="K212" t="n">
        <v>0.1339</v>
      </c>
      <c r="L212" t="inlineStr">
        <is>
          <t>This code implements core algorithms for backend software components, focusing on efficient data processing and handling. It has a time complexity of \(O(N)\), making it suitable for large-scale applications. The implementation includes comments that describe the core functionalities, and the code size is approximately 1000 lines.</t>
        </is>
      </c>
      <c r="M212" t="n">
        <v>0.0106</v>
      </c>
      <c r="N212" t="n">
        <v>0.2143</v>
      </c>
      <c r="O212" t="n">
        <v>0.2119</v>
      </c>
    </row>
    <row r="213">
      <c r="A213" t="inlineStr">
        <is>
          <t>crate</t>
        </is>
      </c>
      <c r="B213" t="inlineStr">
        <is>
          <t>server/src/testFixtures/java/io/crate/testing/UseNewCluster.java</t>
        </is>
      </c>
      <c r="C213">
        <f>HYPERLINK("https://github.com/crate/crate/blob/master/server/src/testFixtures/java/io/crate/testing/UseNewCluster.java")</f>
        <v/>
      </c>
      <c r="D213" t="inlineStr">
        <is>
          <t>The provided code implements core algorithms with a time complexity of O(N). It includes comments explaining its implementation and structure, but lacks details about the specific algorithms being used. The README indicates that it's part of a larger repository containing backend software components.</t>
        </is>
      </c>
      <c r="E213" t="n">
        <v>0.0108</v>
      </c>
      <c r="F213" t="n">
        <v>0.1132</v>
      </c>
      <c r="G213" t="n">
        <v>0.3235</v>
      </c>
      <c r="H213" t="inlineStr">
        <is>
          <t>Implements core algorithms.</t>
        </is>
      </c>
      <c r="I213" t="n">
        <v>0.0215</v>
      </c>
      <c r="J213" t="n">
        <v>0.3636</v>
      </c>
      <c r="K213" t="n">
        <v>0.25</v>
      </c>
      <c r="L213" t="inlineStr">
        <is>
          <t>The code implements core algorithms for backend software components, handling input data efficiently with a time complexity of O(N). It includes comments explaining implementation details and adheres to best practices for readability and maintainability. The code size is 1000 lines, reflecting its comprehensive nature in supporting various functionalities within the system.</t>
        </is>
      </c>
      <c r="M213" t="n">
        <v>0.008999999999999999</v>
      </c>
      <c r="N213" t="n">
        <v>0.1</v>
      </c>
      <c r="O213" t="n">
        <v>0.3024</v>
      </c>
    </row>
    <row r="214">
      <c r="A214" t="inlineStr">
        <is>
          <t>crate</t>
        </is>
      </c>
      <c r="B214" t="inlineStr">
        <is>
          <t>server/src/testFixtures/java/io/crate/testing/SQLTransportExecutor.java</t>
        </is>
      </c>
      <c r="C214">
        <f>HYPERLINK("https://github.com/crate/crate/blob/master/server/src/testFixtures/java/io/crate/testing/SQLTransportExecutor.java")</f>
        <v/>
      </c>
      <c r="D214" t="inlineStr">
        <is>
          <t>The provided code implements core algorithms without detailed comments, focusing on efficiency with a time complexity of O(N). It is part of a larger repository containing backend software components. The code size is 1000 lines.</t>
        </is>
      </c>
      <c r="E214" t="n">
        <v>0.0124</v>
      </c>
      <c r="F214" t="n">
        <v>0.09089999999999999</v>
      </c>
      <c r="G214" t="n">
        <v>0.295</v>
      </c>
      <c r="H214" t="inlineStr">
        <is>
          <t>The code implements core algorithms and is written in C++. It has a complexity of O(N) and includes comments explaining its implementation. The README provides details about the repository's content and structure.</t>
        </is>
      </c>
      <c r="I214" t="n">
        <v>0.0137</v>
      </c>
      <c r="J214" t="n">
        <v>0.1429</v>
      </c>
      <c r="K214" t="n">
        <v>0.2457</v>
      </c>
      <c r="L214" t="inlineStr">
        <is>
          <t>The provided code implements core algorithms for a backend software component, focusing on efficient data processing and manipulation. It processes large datasets using an algorithmic complexity of \(O(N)\), leveraging existing comments and commit messages from the initial codebase. The implementation includes essential functionalities without redundant details, ensuring clarity and ease of maintenance.</t>
        </is>
      </c>
      <c r="M214" t="n">
        <v>0.0089</v>
      </c>
      <c r="N214" t="n">
        <v>0.1311</v>
      </c>
      <c r="O214" t="n">
        <v>0.3</v>
      </c>
    </row>
    <row r="215">
      <c r="A215" t="inlineStr">
        <is>
          <t>crate</t>
        </is>
      </c>
      <c r="B215" t="inlineStr">
        <is>
          <t>server/src/testFixtures/java/io/crate/testing/SqlExpressions.java</t>
        </is>
      </c>
      <c r="C215">
        <f>HYPERLINK("https://github.com/crate/crate/blob/master/server/src/testFixtures/java/io/crate/testing/SqlExpressions.java")</f>
        <v/>
      </c>
      <c r="D215" t="inlineStr">
        <is>
          <t>The provided code implements core algorithms with a time complexity of O(N). It includes comments explaining its implementation and complexity analysis. The README provides details about the repository's contents, complexity level, and commits.</t>
        </is>
      </c>
      <c r="E215" t="n">
        <v>0.0132</v>
      </c>
      <c r="F215" t="n">
        <v>0.1395</v>
      </c>
      <c r="G215" t="n">
        <v>0.2434</v>
      </c>
      <c r="H215" t="inlineStr">
        <is>
          <t>This repository contains backend software components implementing core algorithms. The complexity is O(N), indicating linear time performance. The comments describe the implementation details. The code size is 1000 lines.</t>
        </is>
      </c>
      <c r="I215" t="n">
        <v>0.008500000000000001</v>
      </c>
      <c r="J215" t="n">
        <v>0.2105</v>
      </c>
      <c r="K215" t="n">
        <v>0.198</v>
      </c>
      <c r="L215" t="inlineStr">
        <is>
          <t>The code implements core algorithms for backend software components, focusing on efficient data processing and manipulation. It processes large datasets using a time complexity of \(O(N)\), leveraging existing comments and initial implementation details from previous commits. The code size is approximately 1000 lines, making it suitable for handling complex database operations within the context of a larger system.</t>
        </is>
      </c>
      <c r="M215" t="n">
        <v>0.007900000000000001</v>
      </c>
      <c r="N215" t="n">
        <v>0.0896</v>
      </c>
      <c r="O215" t="n">
        <v>0.2862</v>
      </c>
    </row>
    <row r="216">
      <c r="A216" t="inlineStr">
        <is>
          <t>crate</t>
        </is>
      </c>
      <c r="B216" t="inlineStr">
        <is>
          <t>server/src/testFixtures/java/io/crate/testing/TestScalars.java</t>
        </is>
      </c>
      <c r="C216">
        <f>HYPERLINK("https://github.com/crate/crate/blob/master/server/src/testFixtures/java/io/crate/testing/TestScalars.java")</f>
        <v/>
      </c>
      <c r="D216" t="inlineStr">
        <is>
          <t>The provided code implements core algorithms without any comments or documentation, making it difficult to understand its functionality. The complexity is O(N), indicating linear time performance relative to input size N. There are no commits listed, so the exact history of changes is unknown. The code size is 1000 lines, which suggests it is relatively large but lacks detailed explanations or context. Without further analysis, it</t>
        </is>
      </c>
      <c r="E216" t="n">
        <v>0.0058</v>
      </c>
      <c r="F216" t="n">
        <v>0.08</v>
      </c>
      <c r="G216" t="n">
        <v>0.1359</v>
      </c>
      <c r="H216" t="inlineStr">
        <is>
          <t>Implements core algorithms.</t>
        </is>
      </c>
      <c r="I216" t="n">
        <v>0.0215</v>
      </c>
      <c r="J216" t="n">
        <v>0.3636</v>
      </c>
      <c r="K216" t="n">
        <v>0.25</v>
      </c>
      <c r="L216" t="inlineStr">
        <is>
          <t>The code implements core algorithms for backend software components, focusing on efficient data processing and handling within a Crate database environment. It processes large datasets using a time complexity of \(O(N)\), leveraging existing comments and commit messages from the initial codebase commit. The code size is approximately 1000 lines, reflecting its comprehensive implementation of essential functionalities.</t>
        </is>
      </c>
      <c r="M216" t="n">
        <v>0.008200000000000001</v>
      </c>
      <c r="N216" t="n">
        <v>0.09229999999999999</v>
      </c>
      <c r="O216" t="n">
        <v>0.2906</v>
      </c>
    </row>
    <row r="217">
      <c r="A217" t="inlineStr">
        <is>
          <t>crate</t>
        </is>
      </c>
      <c r="B217" t="inlineStr">
        <is>
          <t>server/src/testFixtures/java/io/crate/testing/DummyRelation.java</t>
        </is>
      </c>
      <c r="C217">
        <f>HYPERLINK("https://github.com/crate/crate/blob/master/server/src/testFixtures/java/io/crate/testing/DummyRelation.java")</f>
        <v/>
      </c>
      <c r="D217" t="inlineStr">
        <is>
          <t>The code implements core algorithms without providing any specific details about their functionality. It's licensed under the Apache License, Version 2.0. The complexity is O(N), indicating linear time complexity, but no specific algorithmic operations are described. The README mentions that it contains backend software components and provides basic metadata such as the number of commits, size, and license type.</t>
        </is>
      </c>
      <c r="E217" t="n">
        <v>0.0078</v>
      </c>
      <c r="F217" t="n">
        <v>0.1143</v>
      </c>
      <c r="G217" t="n">
        <v>0.2409</v>
      </c>
      <c r="H217" t="inlineStr">
        <is>
          <t>Implements core algorithms.</t>
        </is>
      </c>
      <c r="I217" t="n">
        <v>0.0215</v>
      </c>
      <c r="J217" t="n">
        <v>0.3636</v>
      </c>
      <c r="K217" t="n">
        <v>0.25</v>
      </c>
      <c r="L217" t="inlineStr">
        <is>
          <t>The code implements core algorithms for backend software components, focusing on efficient data processing and manipulation. It has a time complexity of O(N), indicating linear performance relative to input size. The implementation includes comments that describe the core functionalities, and the code base was initially committed without extensive documentation.</t>
        </is>
      </c>
      <c r="M217" t="n">
        <v>0.0094</v>
      </c>
      <c r="N217" t="n">
        <v>0.1724</v>
      </c>
      <c r="O217" t="n">
        <v>0.1653</v>
      </c>
    </row>
    <row r="218">
      <c r="A218" t="inlineStr">
        <is>
          <t>crate</t>
        </is>
      </c>
      <c r="B218" t="inlineStr">
        <is>
          <t>server/src/testFixtures/java/io/crate/testing/SettingsAssert.java</t>
        </is>
      </c>
      <c r="C218">
        <f>HYPERLINK("https://github.com/crate/crate/blob/master/server/src/testFixtures/java/io/crate/testing/SettingsAssert.java")</f>
        <v/>
      </c>
      <c r="D218" t="inlineStr">
        <is>
          <t>The provided code implements core algorithms with a time complexity of O(N). It includes comments explaining its implementation and complexity analysis. The README provides details about the repository's contents, including backend software components, complexity, comments, commits, and code size.</t>
        </is>
      </c>
      <c r="E218" t="n">
        <v>0.0119</v>
      </c>
      <c r="F218" t="n">
        <v>0.1224</v>
      </c>
      <c r="G218" t="n">
        <v>0.2843</v>
      </c>
      <c r="H218" t="inlineStr">
        <is>
          <t>The code implements core algorithms for a backend system. Complexity is O(N), indicating linear time complexity. The README provides details about the repository's contents and structure.</t>
        </is>
      </c>
      <c r="I218" t="n">
        <v>0.017</v>
      </c>
      <c r="J218" t="n">
        <v>0.1667</v>
      </c>
      <c r="K218" t="n">
        <v>0.2608</v>
      </c>
      <c r="L218" t="inlineStr">
        <is>
          <t>The code implements core algorithms for backend software components, focusing on efficient data processing and handling within a Crate environment. It has a time complexity of O(N), indicating linear performance relative to input size, and includes comments that outline the implementation of essential algorithms. The codebase was initially committed as part of an initial codebase setup, and while no further details are provided about the specific algorithms implemented, it appears</t>
        </is>
      </c>
      <c r="M218" t="n">
        <v>0.0065</v>
      </c>
      <c r="N218" t="n">
        <v>0.0759</v>
      </c>
      <c r="O218" t="n">
        <v>0.262</v>
      </c>
    </row>
    <row r="219">
      <c r="A219" t="inlineStr">
        <is>
          <t>crate</t>
        </is>
      </c>
      <c r="B219" t="inlineStr">
        <is>
          <t>server/src/testFixtures/java/io/crate/testing/MemoryLimits.java</t>
        </is>
      </c>
      <c r="C219">
        <f>HYPERLINK("https://github.com/crate/crate/blob/master/server/src/testFixtures/java/io/crate/testing/MemoryLimits.java")</f>
        <v/>
      </c>
      <c r="D219" t="inlineStr">
        <is>
          <t>The provided code implements core algorithms without any comments, making it difficult to understand its functionality. The complexity is O(N), indicating linear time performance. The code size is 1000 lines, suggesting it's relatively large but lacks detailed documentation or explanations.</t>
        </is>
      </c>
      <c r="E219" t="n">
        <v>0.0098</v>
      </c>
      <c r="F219" t="n">
        <v>0.12</v>
      </c>
      <c r="G219" t="n">
        <v>0.1674</v>
      </c>
      <c r="H219" t="inlineStr">
        <is>
          <t>Implements core algorithms.</t>
        </is>
      </c>
      <c r="I219" t="n">
        <v>0.0215</v>
      </c>
      <c r="J219" t="n">
        <v>0.3636</v>
      </c>
      <c r="K219" t="n">
        <v>0.25</v>
      </c>
      <c r="L219" t="inlineStr">
        <is>
          <t>The provided code implements core algorithms for backend software components, focusing on efficient data processing and manipulation. It has a time complexity of \(O(N)\), making it suitable for large datasets. The implementation includes comments that describe the core functionalities, and the code size is approximately 1000 lines.</t>
        </is>
      </c>
      <c r="M219" t="n">
        <v>0.0098</v>
      </c>
      <c r="N219" t="n">
        <v>0.1786</v>
      </c>
      <c r="O219" t="n">
        <v>0.1681</v>
      </c>
    </row>
    <row r="220">
      <c r="A220" t="inlineStr">
        <is>
          <t>crate</t>
        </is>
      </c>
      <c r="B220" t="inlineStr">
        <is>
          <t>server/src/testFixtures/java/io/crate/testing/ProjectionAssert.java</t>
        </is>
      </c>
      <c r="C220">
        <f>HYPERLINK("https://github.com/crate/crate/blob/master/server/src/testFixtures/java/io/crate/testing/ProjectionAssert.java")</f>
        <v/>
      </c>
      <c r="D220" t="inlineStr">
        <is>
          <t>The provided code implements core algorithms with a time complexity of O(N). It includes comments explaining its purpose and functionality. The code size is 1000 lines.</t>
        </is>
      </c>
      <c r="E220" t="n">
        <v>0.017</v>
      </c>
      <c r="F220" t="n">
        <v>0.1714</v>
      </c>
      <c r="G220" t="n">
        <v>0.2608</v>
      </c>
      <c r="H220" t="inlineStr">
        <is>
          <t>Implements core algorithms for backend software components. Complexity is O(N).</t>
        </is>
      </c>
      <c r="I220" t="n">
        <v>0.0251</v>
      </c>
      <c r="J220" t="n">
        <v>0.2105</v>
      </c>
      <c r="K220" t="n">
        <v>0.3117</v>
      </c>
      <c r="L220" t="inlineStr">
        <is>
          <t>This code implements core algorithms for a backend software component, focusing on efficient data processing and manipulation tasks. It processes large datasets using an O(N) complexity algorithm, leveraging existing comments and commit messages to guide implementation. The code size is 1000 lines, reflecting its importance as part of the overall system architecture.</t>
        </is>
      </c>
      <c r="M220" t="n">
        <v>0.0094</v>
      </c>
      <c r="N220" t="n">
        <v>0.1311</v>
      </c>
      <c r="O220" t="n">
        <v>0.3439</v>
      </c>
    </row>
    <row r="221">
      <c r="A221" t="inlineStr">
        <is>
          <t>crate</t>
        </is>
      </c>
      <c r="B221" t="inlineStr">
        <is>
          <t>server/src/testFixtures/java/io/crate/testing/NodeAssert.java</t>
        </is>
      </c>
      <c r="C221">
        <f>HYPERLINK("https://github.com/crate/crate/blob/master/server/src/testFixtures/java/io/crate/testing/NodeAssert.java")</f>
        <v/>
      </c>
      <c r="D221" t="inlineStr">
        <is>
          <t>The code implements core algorithms without detailed comments, focusing on complexity O(N) and handling backend software components. The README provides basic information about the project's structure and complexity level.</t>
        </is>
      </c>
      <c r="E221" t="n">
        <v>0.0163</v>
      </c>
      <c r="F221" t="n">
        <v>0.1538</v>
      </c>
      <c r="G221" t="n">
        <v>0.3125</v>
      </c>
      <c r="H221" t="inlineStr">
        <is>
          <t>Implements core algorithms for backend software components. Complexity is O(N).</t>
        </is>
      </c>
      <c r="I221" t="n">
        <v>0.0251</v>
      </c>
      <c r="J221" t="n">
        <v>0.2105</v>
      </c>
      <c r="K221" t="n">
        <v>0.3117</v>
      </c>
      <c r="L221" t="inlineStr">
        <is>
          <t>The code implements core algorithms for a backend software component, focusing on efficient data processing and manipulation. It processes large datasets using an O(N) complexity approach, leveraging existing comments and commit messages from an initial codebase commit. The README context indicates that this repository contains backend software components.</t>
        </is>
      </c>
      <c r="M221" t="n">
        <v>0.009599999999999999</v>
      </c>
      <c r="N221" t="n">
        <v>0.1053</v>
      </c>
      <c r="O221" t="n">
        <v>0.3553</v>
      </c>
    </row>
    <row r="222">
      <c r="A222" t="inlineStr">
        <is>
          <t>crate</t>
        </is>
      </c>
      <c r="B222" t="inlineStr">
        <is>
          <t>server/src/testFixtures/java/io/crate/testing/IndexVersionCreated.java</t>
        </is>
      </c>
      <c r="C222">
        <f>HYPERLINK("https://github.com/crate/crate/blob/master/server/src/testFixtures/java/io/crate/testing/IndexVersionCreated.java")</f>
        <v/>
      </c>
      <c r="D222" t="inlineStr">
        <is>
          <t>The provided code implements core algorithms without any comments or documentation, making it difficult to understand its functionality. The complexity is O(N), indicating linear time performance, but no specific details about what operations are performed are given. The README mentions that this repository contains backend software components, which suggests it's part of a larger system rather than standalone. Without further context, it's impossible to provide a detailed summary of</t>
        </is>
      </c>
      <c r="E222" t="n">
        <v>0.0062</v>
      </c>
      <c r="F222" t="n">
        <v>0.075</v>
      </c>
      <c r="G222" t="n">
        <v>0.2638</v>
      </c>
      <c r="H222" t="inlineStr">
        <is>
          <t>This repository contains backend software components that implement core algorithms. The complexity of the implementation is O(N), indicating linear time complexity. The comments provide details about the algorithm's implementation. The commits include an initial codebase commit. The total size of the codebase is 1000 lines.</t>
        </is>
      </c>
      <c r="I222" t="n">
        <v>0.0054</v>
      </c>
      <c r="J222" t="n">
        <v>0.1455</v>
      </c>
      <c r="K222" t="n">
        <v>0.1709</v>
      </c>
      <c r="L222" t="inlineStr">
        <is>
          <t>The provided code implements core algorithms for a backend software component, focusing on efficient data processing and manipulation. It processes large datasets using an O(N) complexity approach, leveraging existing comments and implementation details from previous commits. The code size is 1000 lines, reflecting its importance as part of the overall system architecture.</t>
        </is>
      </c>
      <c r="M222" t="n">
        <v>0.0089</v>
      </c>
      <c r="N222" t="n">
        <v>0.0984</v>
      </c>
      <c r="O222" t="n">
        <v>0.3</v>
      </c>
    </row>
    <row r="223">
      <c r="A223" t="inlineStr">
        <is>
          <t>crate</t>
        </is>
      </c>
      <c r="B223" t="inlineStr">
        <is>
          <t>server/src/testFixtures/java/io/crate/testing/ReferenceAssert.java</t>
        </is>
      </c>
      <c r="C223">
        <f>HYPERLINK("https://github.com/crate/crate/blob/master/server/src/testFixtures/java/io/crate/testing/ReferenceAssert.java")</f>
        <v/>
      </c>
      <c r="D223" t="inlineStr">
        <is>
          <t>The provided code implements core algorithms without any comments or documentation, making it difficult to understand its functionality. The complexity is O(N), but the lack of comments makes it impossible to determine what operations are performed or how they relate to each other. Without further context or explanation, it's unclear what the code does or how it should be used.</t>
        </is>
      </c>
      <c r="E223" t="n">
        <v>0.0064</v>
      </c>
      <c r="F223" t="n">
        <v>0.0857</v>
      </c>
      <c r="G223" t="n">
        <v>0.142</v>
      </c>
      <c r="H223" t="inlineStr">
        <is>
          <t>The code implements core algorithms for a backend software component. Complexity is O(N), indicating linear time complexity. The README provides details about the repository's contents and structure.</t>
        </is>
      </c>
      <c r="I223" t="n">
        <v>0.0176</v>
      </c>
      <c r="J223" t="n">
        <v>0.1622</v>
      </c>
      <c r="K223" t="n">
        <v>0.3188</v>
      </c>
      <c r="L223" t="inlineStr">
        <is>
          <t>This code implements core algorithms for backend software components, focusing on efficient data processing and manipulation. It processes large datasets using an O(N) complexity approach, leveraging existing comments and commit messages from the initial codebase commit. The code size is 1000 lines, indicating a comprehensive implementation of essential functionalities.</t>
        </is>
      </c>
      <c r="M223" t="n">
        <v>0.01</v>
      </c>
      <c r="N223" t="n">
        <v>0.1379</v>
      </c>
      <c r="O223" t="n">
        <v>0.3524</v>
      </c>
    </row>
    <row r="224">
      <c r="A224" t="inlineStr">
        <is>
          <t>crate</t>
        </is>
      </c>
      <c r="B224" t="inlineStr">
        <is>
          <t>server/src/testFixtures/java/io/crate/testing/SymbolAssert.java</t>
        </is>
      </c>
      <c r="C224">
        <f>HYPERLINK("https://github.com/crate/crate/blob/master/server/src/testFixtures/java/io/crate/testing/SymbolAssert.java")</f>
        <v/>
      </c>
      <c r="D224" t="inlineStr">
        <is>
          <t>The code implements core algorithms with a time complexity of O(N). It includes comments explaining its implementation and complexity analysis. The README provides details about the repository's purpose, complexity, comments, commits, and size.</t>
        </is>
      </c>
      <c r="E224" t="n">
        <v>0.0132</v>
      </c>
      <c r="F224" t="n">
        <v>0.1395</v>
      </c>
      <c r="G224" t="n">
        <v>0.2434</v>
      </c>
      <c r="H224" t="inlineStr">
        <is>
          <t>This repository contains backend software components that implement core algorithms. The complexity is O(N), indicating linear time complexity. Comments describe the implementation of the core algorithms. The code size is 1000 lines.</t>
        </is>
      </c>
      <c r="I224" t="n">
        <v>0.0077</v>
      </c>
      <c r="J224" t="n">
        <v>0.1951</v>
      </c>
      <c r="K224" t="n">
        <v>0.1923</v>
      </c>
      <c r="L224" t="inlineStr">
        <is>
          <t>The code implements core algorithms for backend software components, handling data processing efficiently with a time complexity of O(N). It includes comments explaining implementation details and has been committed as part of an initial codebase. The total size of the codebase is 1000 lines.</t>
        </is>
      </c>
      <c r="M224" t="n">
        <v>0.0105</v>
      </c>
      <c r="N224" t="n">
        <v>0.1132</v>
      </c>
      <c r="O224" t="n">
        <v>0.3207</v>
      </c>
    </row>
    <row r="225">
      <c r="A225" t="inlineStr">
        <is>
          <t>crate</t>
        </is>
      </c>
      <c r="B225" t="inlineStr">
        <is>
          <t>server/src/testFixtures/java/io/crate/testing/auth/RsaKeys.java</t>
        </is>
      </c>
      <c r="C225">
        <f>HYPERLINK("https://github.com/crate/crate/blob/master/server/src/testFixtures/java/io/crate/testing/auth/RsaKeys.java")</f>
        <v/>
      </c>
      <c r="D225" t="inlineStr">
        <is>
          <t>The provided code implements core algorithms without detailed comments or explanations. It is written in Java and licensed under the Apache License version 2. The complexity of the implementation is O(N), indicating linear time complexity. The code size is 1000 lines.</t>
        </is>
      </c>
      <c r="E225" t="n">
        <v>0.0105</v>
      </c>
      <c r="F225" t="n">
        <v>0.12</v>
      </c>
      <c r="G225" t="n">
        <v>0.2262</v>
      </c>
      <c r="H225" t="inlineStr">
        <is>
          <t>The code implements core algorithms for a backend software component. Complexity is O(N), indicating linear time complexity. The README provides details about the repository's content and structure.</t>
        </is>
      </c>
      <c r="I225" t="n">
        <v>0.0176</v>
      </c>
      <c r="J225" t="n">
        <v>0.1622</v>
      </c>
      <c r="K225" t="n">
        <v>0.3188</v>
      </c>
      <c r="L225" t="inlineStr">
        <is>
          <t>The code implements core algorithms for backend software components, focusing on efficient data processing and manipulation. It has a time complexity of O(N), indicating linear performance relative to input size. The implementation includes comments that provide context and clarify the core functionalities, making it easier for developers to understand and maintain.</t>
        </is>
      </c>
      <c r="M225" t="n">
        <v>0.008999999999999999</v>
      </c>
      <c r="N225" t="n">
        <v>0.1667</v>
      </c>
      <c r="O225" t="n">
        <v>0.1626</v>
      </c>
    </row>
    <row r="226">
      <c r="A226" t="inlineStr">
        <is>
          <t>crate</t>
        </is>
      </c>
      <c r="B226" t="inlineStr">
        <is>
          <t>server/src/testFixtures/java/io/crate/protocols/postgres/MockPgClient.java</t>
        </is>
      </c>
      <c r="C226">
        <f>HYPERLINK("https://github.com/crate/crate/blob/master/server/src/testFixtures/java/io/crate/protocols/postgres/MockPgClient.java")</f>
        <v/>
      </c>
      <c r="D226" t="inlineStr">
        <is>
          <t>The provided code implements core algorithms with a time complexity of O(N). It includes comments explaining its implementation and structure. The code size is 1000 lines long.</t>
        </is>
      </c>
      <c r="E226" t="n">
        <v>0.0163</v>
      </c>
      <c r="F226" t="n">
        <v>0.1667</v>
      </c>
      <c r="G226" t="n">
        <v>0.2581</v>
      </c>
      <c r="H226" t="inlineStr">
        <is>
          <t>The code implements core algorithms for backend software components. Complexity is O(N). Comments describe the implementation. The code size is 1000 lines.</t>
        </is>
      </c>
      <c r="I226" t="n">
        <v>0.0203</v>
      </c>
      <c r="J226" t="n">
        <v>0.129</v>
      </c>
      <c r="K226" t="n">
        <v>0.2719</v>
      </c>
      <c r="L226" t="inlineStr">
        <is>
          <t>The code implements core algorithms for backend software components, focusing on efficient data processing and manipulation using a time complexity of O(N). The implementation includes comments explaining the core functionalities and adheres to best practices for code readability and maintainability.</t>
        </is>
      </c>
      <c r="M226" t="n">
        <v>0.0116</v>
      </c>
      <c r="N226" t="n">
        <v>0.2041</v>
      </c>
      <c r="O226" t="n">
        <v>0.3321</v>
      </c>
    </row>
    <row r="227">
      <c r="A227" t="inlineStr">
        <is>
          <t>crate</t>
        </is>
      </c>
      <c r="B227" t="inlineStr">
        <is>
          <t>server/src/testFixtures/java/io/crate/protocols/postgres/MockPgClientFactory.java</t>
        </is>
      </c>
      <c r="C227">
        <f>HYPERLINK("https://github.com/crate/crate/blob/master/server/src/testFixtures/java/io/crate/protocols/postgres/MockPgClientFactory.java")</f>
        <v/>
      </c>
      <c r="D227" t="inlineStr">
        <is>
          <t>The code implements core algorithms without detailed comments or explanations, focusing primarily on performance complexity O(N). It is part of a larger project that includes backend software components and has been committed once. The total size of the codebase is 1000 lines.</t>
        </is>
      </c>
      <c r="E227" t="n">
        <v>0.011</v>
      </c>
      <c r="F227" t="n">
        <v>0.1176</v>
      </c>
      <c r="G227" t="n">
        <v>0.3263</v>
      </c>
      <c r="H227" t="inlineStr">
        <is>
          <t>Implements core algorithms for backend software components. Complexity is O(N).</t>
        </is>
      </c>
      <c r="I227" t="n">
        <v>0.0251</v>
      </c>
      <c r="J227" t="n">
        <v>0.2105</v>
      </c>
      <c r="K227" t="n">
        <v>0.3117</v>
      </c>
      <c r="L227" t="inlineStr">
        <is>
          <t>The provided code implements core algorithms for backend software components, focusing on efficient data processing and manipulation. It uses a time complexity of O(N), indicating linear performance relative to input size, and includes comments that describe the implementation of these algorithms. The codebase was initially committed without detailed documentation, which could benefit from further enhancements for better clarity and maintainability.</t>
        </is>
      </c>
      <c r="M227" t="n">
        <v>0.0076</v>
      </c>
      <c r="N227" t="n">
        <v>0.08699999999999999</v>
      </c>
      <c r="O227" t="n">
        <v>0.2818</v>
      </c>
    </row>
    <row r="228">
      <c r="A228" t="inlineStr">
        <is>
          <t>crate</t>
        </is>
      </c>
      <c r="B228" t="inlineStr">
        <is>
          <t>server/src/testFixtures/java/io/crate/lucene/CrateLuceneTestCase.java</t>
        </is>
      </c>
      <c r="C228">
        <f>HYPERLINK("https://github.com/crate/crate/blob/master/server/src/testFixtures/java/io/crate/lucene/CrateLuceneTestCase.java")</f>
        <v/>
      </c>
      <c r="D228" t="inlineStr">
        <is>
          <t>The code implements core algorithms without detailed comments, focusing on complexity O(N). It's part of a larger project containing backend software components. The README provides basic details about the repository, its purpose, and some initial context.</t>
        </is>
      </c>
      <c r="E228" t="n">
        <v>0.013</v>
      </c>
      <c r="F228" t="n">
        <v>0.1304</v>
      </c>
      <c r="G228" t="n">
        <v>0.3444</v>
      </c>
      <c r="H228" t="inlineStr">
        <is>
          <t>Implements core algorithms for backend software components. Complexity is O(N).</t>
        </is>
      </c>
      <c r="I228" t="n">
        <v>0.0251</v>
      </c>
      <c r="J228" t="n">
        <v>0.2105</v>
      </c>
      <c r="K228" t="n">
        <v>0.3117</v>
      </c>
      <c r="L228" t="inlineStr">
        <is>
          <t>This code implements core algorithms for backend software components, focusing on efficient data processing and handling within a high-performance environment. The implementation complexity is O(N), and existing comments provide detailed descriptions of the core functionalities. The code size is 1000 lines, reflecting its comprehensive nature in supporting various backend tasks.</t>
        </is>
      </c>
      <c r="M228" t="n">
        <v>0.0098</v>
      </c>
      <c r="N228" t="n">
        <v>0.1667</v>
      </c>
      <c r="O228" t="n">
        <v>0.2049</v>
      </c>
    </row>
    <row r="229">
      <c r="A229" t="inlineStr">
        <is>
          <t>crate</t>
        </is>
      </c>
      <c r="B229" t="inlineStr">
        <is>
          <t>server/src/testFixtures/java/io/crate/lucene/PatchedAssertingLeafReader.java</t>
        </is>
      </c>
      <c r="C229">
        <f>HYPERLINK("https://github.com/crate/crate/blob/master/server/src/testFixtures/java/io/crate/lucene/PatchedAssertingLeafReader.java")</f>
        <v/>
      </c>
      <c r="D229" t="inlineStr">
        <is>
          <t>The provided code defines a package `io.crate.lucene` that includes classes related to Lucene indexing operations. It provides methods for handling binary document values using `BinaryDocValues`, as well as other Lucene index-related functionalities such as accessing doc values directly from the index. The complexity of the implementation is O(N), indicating linear time complexity in terms of input size. The code is licensed under the</t>
        </is>
      </c>
      <c r="E229" t="n">
        <v>0</v>
      </c>
      <c r="F229" t="n">
        <v>0.0267</v>
      </c>
      <c r="G229" t="n">
        <v>0.0741</v>
      </c>
      <c r="H229" t="inlineStr">
        <is>
          <t>The code implements core algorithms for a Lucene-based search engine component. It includes methods for handling binary document values and other indexing operations. Complexity is O(N), indicating linear time complexity in relation to input size.</t>
        </is>
      </c>
      <c r="I229" t="n">
        <v>0.0124</v>
      </c>
      <c r="J229" t="n">
        <v>0.1333</v>
      </c>
      <c r="K229" t="n">
        <v>0.2388</v>
      </c>
      <c r="L229" t="inlineStr">
        <is>
          <t>This Java class provides utility methods for working with Lucene's BinaryDocValues and DocValues classes, which are used for efficient storage and retrieval of binary data within documents in a Lucene index. It includes methods for converting between different representations of binary data and handling exceptions that might occur during these conversions.</t>
        </is>
      </c>
      <c r="M229" t="n">
        <v>0.0043</v>
      </c>
      <c r="N229" t="n">
        <v>0.0667</v>
      </c>
      <c r="O229" t="n">
        <v>0.122</v>
      </c>
    </row>
    <row r="230">
      <c r="A230" t="inlineStr">
        <is>
          <t>crate</t>
        </is>
      </c>
      <c r="B230" t="inlineStr">
        <is>
          <t>server/src/testFixtures/java/io/crate/test/utils/BlobsUtil.java</t>
        </is>
      </c>
      <c r="C230">
        <f>HYPERLINK("https://github.com/crate/crate/blob/master/server/src/testFixtures/java/io/crate/test/utils/BlobsUtil.java")</f>
        <v/>
      </c>
      <c r="D230" t="inlineStr">
        <is>
          <t>The provided code implements core algorithms with a time complexity of O(N). It includes comments explaining its purpose and usage. The code size is 1000 lines long. This repository contains backend software components.</t>
        </is>
      </c>
      <c r="E230" t="n">
        <v>0.015</v>
      </c>
      <c r="F230" t="n">
        <v>0.1429</v>
      </c>
      <c r="G230" t="n">
        <v>0.3543</v>
      </c>
      <c r="H230" t="inlineStr">
        <is>
          <t>The repository contains backend software components that implement core algorithms. The complexity is O(N), indicating linear time complexity. The implementation includes comments explaining the purpose of each part of the code. There has been an initial codebase commit. The total size of the codebase is 1000 lines.</t>
        </is>
      </c>
      <c r="I230" t="n">
        <v>0.0046</v>
      </c>
      <c r="J230" t="n">
        <v>0.1071</v>
      </c>
      <c r="K230" t="n">
        <v>0.1681</v>
      </c>
      <c r="L230" t="inlineStr">
        <is>
          <t>This code implements core algorithms for backend software components, focusing on efficient data processing and manipulation using a time complexity of O(N). The implementation includes comments explaining the core functionalities, making it easier for developers to understand and maintain.</t>
        </is>
      </c>
      <c r="M230" t="n">
        <v>0.0126</v>
      </c>
      <c r="N230" t="n">
        <v>0.25</v>
      </c>
      <c r="O230" t="n">
        <v>0.2703</v>
      </c>
    </row>
    <row r="231">
      <c r="A231" t="inlineStr">
        <is>
          <t>crate</t>
        </is>
      </c>
      <c r="B231" t="inlineStr">
        <is>
          <t>server/src/testFixtures/java/io/crate/test/utils/ConnectionTestUtil.java</t>
        </is>
      </c>
      <c r="C231">
        <f>HYPERLINK("https://github.com/crate/crate/blob/master/server/src/testFixtures/java/io/crate/test/utils/ConnectionTestUtil.java")</f>
        <v/>
      </c>
      <c r="D231" t="inlineStr">
        <is>
          <t>The code implements core algorithms with a time complexity of O(N). It includes comments explaining its implementation and is part of a larger project containing backend software components. The README provides details about the repository's structure, complexity, comments, commits, and size.</t>
        </is>
      </c>
      <c r="E231" t="n">
        <v>0.0113</v>
      </c>
      <c r="F231" t="n">
        <v>0.1176</v>
      </c>
      <c r="G231" t="n">
        <v>0.3292</v>
      </c>
      <c r="H231" t="inlineStr">
        <is>
          <t>Implements core algorithms.</t>
        </is>
      </c>
      <c r="I231" t="n">
        <v>0.0215</v>
      </c>
      <c r="J231" t="n">
        <v>0.3636</v>
      </c>
      <c r="K231" t="n">
        <v>0.25</v>
      </c>
      <c r="L231" t="inlineStr">
        <is>
          <t>The code implements core algorithms for backend software components, handling input data efficiently with a time complexity of O(N). It includes comments explaining implementation details and has been committed as part of an initial codebase. The total size of the codebase is 1000 lines.</t>
        </is>
      </c>
      <c r="M231" t="n">
        <v>0.0105</v>
      </c>
      <c r="N231" t="n">
        <v>0.1132</v>
      </c>
      <c r="O231" t="n">
        <v>0.3207</v>
      </c>
    </row>
    <row r="232">
      <c r="A232" t="inlineStr">
        <is>
          <t>crate</t>
        </is>
      </c>
      <c r="B232" t="inlineStr">
        <is>
          <t>server/src/testFixtures/java/io/crate/test/integration/CrateDummyClusterServiceUnitTest.java</t>
        </is>
      </c>
      <c r="C232">
        <f>HYPERLINK("https://github.com/crate/crate/blob/master/server/src/testFixtures/java/io/crate/test/integration/CrateDummyClusterServiceUnitTest.java")</f>
        <v/>
      </c>
      <c r="D232" t="inlineStr">
        <is>
          <t>The code implements core algorithms without providing any detailed implementation details. It includes comments explaining its purpose and complexity. The README provides basic information about the repository's contents and structure.</t>
        </is>
      </c>
      <c r="E232" t="n">
        <v>0.0146</v>
      </c>
      <c r="F232" t="n">
        <v>0.1538</v>
      </c>
      <c r="G232" t="n">
        <v>0.2505</v>
      </c>
      <c r="H232" t="inlineStr">
        <is>
          <t>This repository contains backend software components that implement core algorithms. The complexity of the implementation is O(N), indicating linear time complexity. The code size is 1000 lines.</t>
        </is>
      </c>
      <c r="I232" t="n">
        <v>0.0092</v>
      </c>
      <c r="J232" t="n">
        <v>0.2222</v>
      </c>
      <c r="K232" t="n">
        <v>0.202</v>
      </c>
      <c r="L232" t="inlineStr">
        <is>
          <t>This code implements core algorithms for a backend software component, focusing on efficient data processing and manipulation tasks. It has a time complexity of \(O(N)\), indicating linear performance relative to input size, and includes comments that describe implementation details. The code base was initially committed without extensive documentation, which could benefit from improved clarity and context.</t>
        </is>
      </c>
      <c r="M232" t="n">
        <v>0.008699999999999999</v>
      </c>
      <c r="N232" t="n">
        <v>0.1231</v>
      </c>
      <c r="O232" t="n">
        <v>0.2906</v>
      </c>
    </row>
    <row r="233">
      <c r="A233" t="inlineStr">
        <is>
          <t>crate</t>
        </is>
      </c>
      <c r="B233" t="inlineStr">
        <is>
          <t>server/src/testFixtures/java/io/crate/test/integration/SystemPropsTestLoggingListener.java</t>
        </is>
      </c>
      <c r="C233">
        <f>HYPERLINK("https://github.com/crate/crate/blob/master/server/src/testFixtures/java/io/crate/test/integration/SystemPropsTestLoggingListener.java")</f>
        <v/>
      </c>
      <c r="D233" t="inlineStr">
        <is>
          <t>The code implements core algorithms with a time complexity of O(N). It includes comments explaining its implementation and complexity analysis. The README provides details about the repository's contents, including backend software components, complexity, comments, commits, and code size.</t>
        </is>
      </c>
      <c r="E233" t="n">
        <v>0.0123</v>
      </c>
      <c r="F233" t="n">
        <v>0.125</v>
      </c>
      <c r="G233" t="n">
        <v>0.2869</v>
      </c>
      <c r="H233" t="inlineStr">
        <is>
          <t>Implements core algorithms.</t>
        </is>
      </c>
      <c r="I233" t="n">
        <v>0.0215</v>
      </c>
      <c r="J233" t="n">
        <v>0.3636</v>
      </c>
      <c r="K233" t="n">
        <v>0.25</v>
      </c>
      <c r="L233" t="inlineStr">
        <is>
          <t>The provided code implements core algorithms for backend software components, focusing on efficient data processing and manipulation. It uses a time complexity of O(N), indicating linear performance relative to input size. The implementation includes comments that describe the core functionalities, making it easier to understand and maintain.</t>
        </is>
      </c>
      <c r="M233" t="n">
        <v>0.0098</v>
      </c>
      <c r="N233" t="n">
        <v>0.1786</v>
      </c>
      <c r="O233" t="n">
        <v>0.2101</v>
      </c>
    </row>
    <row r="234">
      <c r="A234" t="inlineStr">
        <is>
          <t>crate</t>
        </is>
      </c>
      <c r="B234" t="inlineStr">
        <is>
          <t>server/src/testFixtures/java/io/crate/integrationtests/Setup.java</t>
        </is>
      </c>
      <c r="C234">
        <f>HYPERLINK("https://github.com/crate/crate/blob/master/server/src/testFixtures/java/io/crate/integrationtests/Setup.java")</f>
        <v/>
      </c>
      <c r="D234" t="inlineStr">
        <is>
          <t>The code implements core algorithms without detailed comments, focusing on efficiency with a time complexity of O(N). It's part of a larger repository containing backend software components. The total size of the code is 1000 lines.</t>
        </is>
      </c>
      <c r="E234" t="n">
        <v>0.0121</v>
      </c>
      <c r="F234" t="n">
        <v>0.08699999999999999</v>
      </c>
      <c r="G234" t="n">
        <v>0.2922</v>
      </c>
      <c r="H234" t="inlineStr">
        <is>
          <t>Implements core algorithms.</t>
        </is>
      </c>
      <c r="I234" t="n">
        <v>0.0215</v>
      </c>
      <c r="J234" t="n">
        <v>0.3636</v>
      </c>
      <c r="K234" t="n">
        <v>0.25</v>
      </c>
      <c r="L234" t="inlineStr">
        <is>
          <t>The code implements core algorithms for backend software components, handling data processing efficiently with a time complexity of O(N). It includes comments explaining implementation details and has been committed as part of the initial codebase. The total size of the codebase is 1000 lines.</t>
        </is>
      </c>
      <c r="M234" t="n">
        <v>0.0105</v>
      </c>
      <c r="N234" t="n">
        <v>0.1132</v>
      </c>
      <c r="O234" t="n">
        <v>0.3207</v>
      </c>
    </row>
    <row r="235">
      <c r="A235" t="inlineStr">
        <is>
          <t>crate</t>
        </is>
      </c>
      <c r="B235" t="inlineStr">
        <is>
          <t>server/src/testFixtures/java/io/crate/statistics/StatsUtils.java</t>
        </is>
      </c>
      <c r="C235">
        <f>HYPERLINK("https://github.com/crate/crate/blob/master/server/src/testFixtures/java/io/crate/statistics/StatsUtils.java")</f>
        <v/>
      </c>
      <c r="D235" t="inlineStr">
        <is>
          <t>The provided code implements core algorithms without detailed comments, focusing on complexity analysis as O(N). It's part of a larger repository containing backend software components. The README indicates that it has been initialized with initial codebase commits.</t>
        </is>
      </c>
      <c r="E235" t="n">
        <v>0.0117</v>
      </c>
      <c r="F235" t="n">
        <v>0.0851</v>
      </c>
      <c r="G235" t="n">
        <v>0.2896</v>
      </c>
      <c r="H235" t="inlineStr">
        <is>
          <t>This repository contains backend software components that implement core algorithms. The complexity of the implementation is O(N), indicating linear time complexity. The README provides general information about the project's purpose and structure.</t>
        </is>
      </c>
      <c r="I235" t="n">
        <v>0.0083</v>
      </c>
      <c r="J235" t="n">
        <v>0.2381</v>
      </c>
      <c r="K235" t="n">
        <v>0.2404</v>
      </c>
      <c r="L235" t="inlineStr">
        <is>
          <t>The code implements core algorithms for backend software components, focusing on efficient data processing and handling within a Crate database environment. It has a time complexity of \(O(N)\), making it suitable for large datasets. The implementation includes comments that describe the core functionalities, and the code size is approximately 1000 lines.</t>
        </is>
      </c>
      <c r="M235" t="n">
        <v>0.008999999999999999</v>
      </c>
      <c r="N235" t="n">
        <v>0.1667</v>
      </c>
      <c r="O235" t="n">
        <v>0.1626</v>
      </c>
    </row>
    <row r="236">
      <c r="A236" t="inlineStr">
        <is>
          <t>crate</t>
        </is>
      </c>
      <c r="B236" t="inlineStr">
        <is>
          <t>server/src/testFixtures/java/org/elasticsearch/repositories/ESBlobStoreTestCase.java</t>
        </is>
      </c>
      <c r="C236">
        <f>HYPERLINK("https://github.com/crate/crate/blob/master/server/src/testFixtures/java/org/elasticsearch/repositories/ESBlobStoreTestCase.java")</f>
        <v/>
      </c>
      <c r="D236" t="inlineStr">
        <is>
          <t>The provided Java code defines a package `org.elasticsearch.repositories` containing classes related to repositories used in Elasticsearch. The code includes assertions using AssertJ for testing purposes and uses the Apache License version 2.0. It does not contain any implementation details but rather serves as a framework for defining repositories within Elasticsearch. The complexity is O(N), indicating that it processes data linearly based on input size.</t>
        </is>
      </c>
      <c r="E236" t="n">
        <v>0.0028</v>
      </c>
      <c r="F236" t="n">
        <v>0.0263</v>
      </c>
      <c r="G236" t="n">
        <v>0.1103</v>
      </c>
      <c r="H236" t="inlineStr">
        <is>
          <t>Manages backend software components and implements core algorithms. Complexity is O(N).</t>
        </is>
      </c>
      <c r="I236" t="n">
        <v>0.0474</v>
      </c>
      <c r="J236" t="n">
        <v>0.3</v>
      </c>
      <c r="K236" t="n">
        <v>0.3803</v>
      </c>
      <c r="L236" t="inlineStr">
        <is>
          <t>This Java class provides methods for managing repositories that store data using blob stores. It includes functionalities such as creating new blobs, retrieving existing ones, deleting blobs, listing all blobs in a container, and checking if a blob exists. The implementation uses assertions from AssertJ for testing purposes.</t>
        </is>
      </c>
      <c r="M236" t="n">
        <v>0.0045</v>
      </c>
      <c r="N236" t="n">
        <v>0.1071</v>
      </c>
      <c r="O236" t="n">
        <v>0.1667</v>
      </c>
    </row>
    <row r="237">
      <c r="A237" t="inlineStr">
        <is>
          <t>crate</t>
        </is>
      </c>
      <c r="B237" t="inlineStr">
        <is>
          <t>server/src/testFixtures/java/org/elasticsearch/repositories/blobstore/BlobStoreTestUtil.java</t>
        </is>
      </c>
      <c r="C237">
        <f>HYPERLINK("https://github.com/crate/crate/blob/master/server/src/testFixtures/java/org/elasticsearch/repositories/blobstore/BlobStoreTestUtil.java")</f>
        <v/>
      </c>
      <c r="D237" t="inlineStr">
        <is>
          <t>The provided code is part of an Elasticsearch project that implements blob store repositories. It includes assertions for testing purposes using AssertJ, mockito arguments for mocking dependencies, and comments indicating it's a complex implementation of core algorithms. The complexity is rated as O(N), suggesting linear time complexity operations. The code size is 1000 lines, which indicates its moderate size but substantial enough to handle various</t>
        </is>
      </c>
      <c r="E237" t="n">
        <v>0.0037</v>
      </c>
      <c r="F237" t="n">
        <v>0.0533</v>
      </c>
      <c r="G237" t="n">
        <v>0.146</v>
      </c>
      <c r="H237" t="inlineStr">
        <is>
          <t>Manages blob storage repositories.</t>
        </is>
      </c>
      <c r="I237" t="n">
        <v>0</v>
      </c>
      <c r="J237" t="n">
        <v>0</v>
      </c>
      <c r="K237" t="n">
        <v>0</v>
      </c>
      <c r="L237" t="inlineStr">
        <is>
          <t>This Java package contains backend software components that implement blob storage repositories using BlobStore as the underlying data store. The code includes assertions and mockito arguments to verify the correctness of the implemented algorithms.</t>
        </is>
      </c>
      <c r="M237" t="n">
        <v>0.0072</v>
      </c>
      <c r="N237" t="n">
        <v>0.1905</v>
      </c>
      <c r="O237" t="n">
        <v>0.2358</v>
      </c>
    </row>
    <row r="238">
      <c r="A238" t="inlineStr">
        <is>
          <t>crate</t>
        </is>
      </c>
      <c r="B238" t="inlineStr">
        <is>
          <t>server/src/testFixtures/java/org/elasticsearch/env/TestEnvironment.java</t>
        </is>
      </c>
      <c r="C238">
        <f>HYPERLINK("https://github.com/crate/crate/blob/master/server/src/testFixtures/java/org/elasticsearch/env/TestEnvironment.java")</f>
        <v/>
      </c>
      <c r="D238" t="inlineStr">
        <is>
          <t>The provided Java code defines a utility class `TestEnvironment` within the package `org.elasticsearch.env`. It includes a static method `createForTests()` that constructs an instance of `Environment` using default settings without specifying a configuration path. This method simplifies testing scenarios where the exact location of the configuration files is irrelevant. The code is licensed under the Apache License, Version 2.0.</t>
        </is>
      </c>
      <c r="E238" t="n">
        <v>0.0031</v>
      </c>
      <c r="F238" t="n">
        <v>0.029</v>
      </c>
      <c r="G238" t="n">
        <v>0.0769</v>
      </c>
      <c r="H238" t="inlineStr">
        <is>
          <t>The code provides a utility class for constructing an `Environment` object during testing, allowing developers to specify settings without needing a valid configuration directory. It includes comments explaining its purpose and implementation details. The complexity is high due to the inclusion of multiple methods and classes within the package.</t>
        </is>
      </c>
      <c r="I238" t="n">
        <v>0.0037</v>
      </c>
      <c r="J238" t="n">
        <v>0.0702</v>
      </c>
      <c r="K238" t="n">
        <v>0.08260000000000001</v>
      </c>
      <c r="L238" t="inlineStr">
        <is>
          <t>The code provides a utility class `Environment` that includes a static method `forTest()` which returns an instance of `Environment` configured without specifying a configuration path. This is useful for testing purposes where the actual configuration files might be irrelevant. The implementation focuses on creating a minimal environment suitable for test scenarios while adhering to best practices for code readability and maintainability.</t>
        </is>
      </c>
      <c r="M238" t="n">
        <v>0.0036</v>
      </c>
      <c r="N238" t="n">
        <v>0.08699999999999999</v>
      </c>
      <c r="O238" t="n">
        <v>0.1504</v>
      </c>
    </row>
    <row r="239">
      <c r="A239" t="inlineStr">
        <is>
          <t>crate</t>
        </is>
      </c>
      <c r="B239" t="inlineStr">
        <is>
          <t>server/src/testFixtures/java/org/elasticsearch/index/MockEngineFactoryPlugin.java</t>
        </is>
      </c>
      <c r="C239">
        <f>HYPERLINK("https://github.com/crate/crate/blob/master/server/src/testFixtures/java/org/elasticsearch/index/MockEngineFactoryPlugin.java")</f>
        <v/>
      </c>
      <c r="D239" t="inlineStr">
        <is>
          <t>The provided Java code defines a package `org.elasticsearch.index` that includes classes related to indexing operations within an Elasticsearch system. The code appears to be part of a larger project licensed under the Apache License 2.0. It does not contain any executable logic but rather provides definitions for settings, factories, and possibly other utility methods used throughout the index module. The complexity level is O(N), indicating potential</t>
        </is>
      </c>
      <c r="E239" t="n">
        <v>0.0028</v>
      </c>
      <c r="F239" t="n">
        <v>0.0256</v>
      </c>
      <c r="G239" t="n">
        <v>0.0725</v>
      </c>
      <c r="H239" t="inlineStr">
        <is>
          <t>This repository contains backend software components that implement core algorithms. The complexity of these implementations is O(N), indicating they scale linearly with input size. The code base has been initialized with a single commit.</t>
        </is>
      </c>
      <c r="I239" t="n">
        <v>0.0072</v>
      </c>
      <c r="J239" t="n">
        <v>0.186</v>
      </c>
      <c r="K239" t="n">
        <v>0.1887</v>
      </c>
      <c r="L239" t="inlineStr">
        <is>
          <t>This Java class provides methods for managing index settings and creating engine factories within the Elasticsearch framework. It includes functionalities such as retrieving default settings, checking if certain settings exist, and obtaining optional values from these settings. The class uses Java's `Setting` and `EngineFactory` classes to manage configuration options and create instances of engines used during indexing processes.</t>
        </is>
      </c>
      <c r="M239" t="n">
        <v>0.0037</v>
      </c>
      <c r="N239" t="n">
        <v>0.0896</v>
      </c>
      <c r="O239" t="n">
        <v>0.1154</v>
      </c>
    </row>
    <row r="240">
      <c r="A240" t="inlineStr">
        <is>
          <t>crate</t>
        </is>
      </c>
      <c r="B240" t="inlineStr">
        <is>
          <t>server/src/testFixtures/java/org/elasticsearch/index/engine/TranslogHandler.java</t>
        </is>
      </c>
      <c r="C240">
        <f>HYPERLINK("https://github.com/crate/crate/blob/master/server/src/testFixtures/java/org/elasticsearch/index/engine/TranslogHandler.java")</f>
        <v/>
      </c>
      <c r="D240" t="inlineStr">
        <is>
          <t>The provided Java code defines a class within the `org.elasticsearch.index.engine` package that implements core algorithms related to indexing operations in Elasticsearch. The class likely handles various aspects such as document storage, retrieval, and updates, possibly using data structures like maps and sets. It includes methods for managing index metadata and performing complex operations efficiently. The complexity is described as O(N), indicating linear time complexity, which suggests</t>
        </is>
      </c>
      <c r="E240" t="n">
        <v>0.0065</v>
      </c>
      <c r="F240" t="n">
        <v>0.0769</v>
      </c>
      <c r="G240" t="n">
        <v>0.2287</v>
      </c>
      <c r="H240" t="inlineStr">
        <is>
          <t>This repository contains backend software components that implement core algorithms. The complexity of the implementation is O(N), indicating linear time complexity.</t>
        </is>
      </c>
      <c r="I240" t="n">
        <v>0.012</v>
      </c>
      <c r="J240" t="n">
        <v>0.2667</v>
      </c>
      <c r="K240" t="n">
        <v>0.2151</v>
      </c>
      <c r="L240" t="inlineStr">
        <is>
          <t>This Java package `org.elasticsearch.index.engine` provides classes for managing index engine operations within Elasticsearch. It includes methods for indexing documents, searching, updating, and deleting data, as well as handling versioning and metadata updates. The code complexity is high due to the extensive functionality involved in maintaining search indexes efficiently.</t>
        </is>
      </c>
      <c r="M240" t="n">
        <v>0.005</v>
      </c>
      <c r="N240" t="n">
        <v>0.0678</v>
      </c>
      <c r="O240" t="n">
        <v>0.125</v>
      </c>
    </row>
    <row r="241">
      <c r="A241" t="inlineStr">
        <is>
          <t>crate</t>
        </is>
      </c>
      <c r="B241" t="inlineStr">
        <is>
          <t>server/src/testFixtures/java/org/elasticsearch/index/engine/InternalTestEngine.java</t>
        </is>
      </c>
      <c r="C241">
        <f>HYPERLINK("https://github.com/crate/crate/blob/master/server/src/testFixtures/java/org/elasticsearch/index/engine/InternalTestEngine.java")</f>
        <v/>
      </c>
      <c r="D241" t="inlineStr">
        <is>
          <t>The provided code is part of an Elasticsearch project, specifically within the `org.elasticsearch.index.engine` package. It appears to be implementing core engine functionalities related to indexing operations. The code uses Java's concurrency utilities such as `ConcurrentHashMap` for managing data structures efficiently. The complexity is noted as O(N), indicating that certain operations might have linear time complexity relative to input size N. Comments suggest that</t>
        </is>
      </c>
      <c r="E241" t="n">
        <v>0.0029</v>
      </c>
      <c r="F241" t="n">
        <v>0.0789</v>
      </c>
      <c r="G241" t="n">
        <v>0.1893</v>
      </c>
      <c r="H241" t="inlineStr">
        <is>
          <t>The code implements core algorithms for an index engine in Elasticsearch. It includes data structures like `ConcurrentHashMap` and functions such as `BiFunction`. The complexity is O(N) due to potential operations involving large datasets.</t>
        </is>
      </c>
      <c r="I241" t="n">
        <v>0.0132</v>
      </c>
      <c r="J241" t="n">
        <v>0.1429</v>
      </c>
      <c r="K241" t="n">
        <v>0.3006</v>
      </c>
      <c r="L241" t="inlineStr">
        <is>
          <t>This Java class provides a concurrent map implementation that stores index engine settings using keys as strings and values as objects. It includes methods to put, get, remove, and update entries, ensuring thread safety through ConcurrentHashMap. The class also supports custom serialization and deserialization functions via BiFunction parameters.</t>
        </is>
      </c>
      <c r="M241" t="n">
        <v>0.0045</v>
      </c>
      <c r="N241" t="n">
        <v>0.1071</v>
      </c>
      <c r="O241" t="n">
        <v>0.1667</v>
      </c>
    </row>
    <row r="242">
      <c r="A242" t="inlineStr">
        <is>
          <t>crate</t>
        </is>
      </c>
      <c r="B242" t="inlineStr">
        <is>
          <t>server/src/testFixtures/java/org/elasticsearch/index/engine/EngineTestCase.java</t>
        </is>
      </c>
      <c r="C242">
        <f>HYPERLINK("https://github.com/crate/crate/blob/master/server/src/testFixtures/java/org/elasticsearch/index/engine/EngineTestCase.java")</f>
        <v/>
      </c>
      <c r="D242" t="inlineStr">
        <is>
          <t>The provided code is part of an Elasticsearch project that implements core engine functionalities. It includes methods for shuffling collections and assertions using AssertJ. The complexity is O(N), indicating linear time operations. The comments suggest it's implementing essential algorithms, and there have been initial commits to set up the codebase. The total size of the code is 1000 lines.</t>
        </is>
      </c>
      <c r="E242" t="n">
        <v>0.0072</v>
      </c>
      <c r="F242" t="n">
        <v>0.1159</v>
      </c>
      <c r="G242" t="n">
        <v>0.2409</v>
      </c>
      <c r="H242" t="inlineStr">
        <is>
          <t>The repository contains backend software components implementing core algorithms. The complexity is O(N), indicating linear time performance relative to input size.</t>
        </is>
      </c>
      <c r="I242" t="n">
        <v>0.0109</v>
      </c>
      <c r="J242" t="n">
        <v>0.2</v>
      </c>
      <c r="K242" t="n">
        <v>0.2748</v>
      </c>
      <c r="L242" t="inlineStr">
        <is>
          <t>The code implements a simple algorithm that shuffles a list of elements using the Fisher-Yates shuffle method. It includes assertions to verify the correctness of the shuffled list. The implementation complexity is O(n), where n is the number of elements in the list.</t>
        </is>
      </c>
      <c r="M242" t="n">
        <v>0.0043</v>
      </c>
      <c r="N242" t="n">
        <v>0.0377</v>
      </c>
      <c r="O242" t="n">
        <v>0.08699999999999999</v>
      </c>
    </row>
    <row r="243">
      <c r="A243" t="inlineStr">
        <is>
          <t>crate</t>
        </is>
      </c>
      <c r="B243" t="inlineStr">
        <is>
          <t>server/src/testFixtures/java/org/elasticsearch/index/engine/DocIdAndSeqNo.java</t>
        </is>
      </c>
      <c r="C243">
        <f>HYPERLINK("https://github.com/crate/crate/blob/master/server/src/testFixtures/java/org/elasticsearch/index/engine/DocIdAndSeqNo.java")</f>
        <v/>
      </c>
      <c r="D243" t="inlineStr">
        <is>
          <t>The provided Java code defines a `DocIdAndSeqNo` record that represents a tuple containing the document ID, sequence number, primary term, and version of a document. This data structure is used in Elasticsearch to track changes to documents efficiently during indexing operations. The complexity of the implementation is O(1), indicating constant time access to its fields.</t>
        </is>
      </c>
      <c r="E243" t="n">
        <v>0.004</v>
      </c>
      <c r="F243" t="n">
        <v>0.0625</v>
      </c>
      <c r="G243" t="n">
        <v>0.1575</v>
      </c>
      <c r="H243" t="inlineStr">
        <is>
          <t>This repository contains backend software components that implement core algorithms. The complexity of these implementations is O(N), indicating linear time complexity relative to input size. The code base has been initialized with the first commit.</t>
        </is>
      </c>
      <c r="I243" t="n">
        <v>0.007</v>
      </c>
      <c r="J243" t="n">
        <v>0.1818</v>
      </c>
      <c r="K243" t="n">
        <v>0.1869</v>
      </c>
      <c r="L243" t="inlineStr">
        <is>
          <t>The `DocIdAndSeqNo` class represents a tuple containing the document ID, sequence number, primary term, and version of a document in Elasticsearch. It provides a simple data structure for storing these attributes together, which can be useful for tracking changes to documents within the index engine.</t>
        </is>
      </c>
      <c r="M243" t="n">
        <v>0.0041</v>
      </c>
      <c r="N243" t="n">
        <v>0.0377</v>
      </c>
      <c r="O243" t="n">
        <v>0.08550000000000001</v>
      </c>
    </row>
    <row r="244">
      <c r="A244" t="inlineStr">
        <is>
          <t>crate</t>
        </is>
      </c>
      <c r="B244" t="inlineStr">
        <is>
          <t>server/src/testFixtures/java/org/elasticsearch/index/seqno/ReplicationTrackerTestCase.java</t>
        </is>
      </c>
      <c r="C244">
        <f>HYPERLINK("https://github.com/crate/crate/blob/master/server/src/testFixtures/java/org/elasticsearch/index/seqno/ReplicationTrackerTestCase.java")</f>
        <v/>
      </c>
      <c r="D244" t="inlineStr">
        <is>
          <t>The provided code implements core sequence number management algorithms for Elasticsearch index shards. It includes classes such as `SeqNoService` and `IndexShard`, which handle operations related to document versioning and sequence numbers during indexing and replication processes. The complexity is O(N), indicating linear time operations based on input size.</t>
        </is>
      </c>
      <c r="E244" t="n">
        <v>0.008999999999999999</v>
      </c>
      <c r="F244" t="n">
        <v>0.1053</v>
      </c>
      <c r="G244" t="n">
        <v>0.213</v>
      </c>
      <c r="H244" t="inlineStr">
        <is>
          <t>This repository contains backend software components implementing core algorithms. Complexity is O(N), indicating linear time complexity. The README provides details about the project's licensing and structure.</t>
        </is>
      </c>
      <c r="I244" t="n">
        <v>0.0103</v>
      </c>
      <c r="J244" t="n">
        <v>0.2778</v>
      </c>
      <c r="K244" t="n">
        <v>0.3796</v>
      </c>
      <c r="L244" t="inlineStr">
        <is>
          <t>The provided code implements sequence number management for index shards within Elasticsearch clusters. It includes methods for handling allocation IDs, routing tables, and managing shard sequences, ensuring efficient tracking and synchronization across nodes during indexing operations. The implementation complexity is O(N), where N represents the number of indices being managed.</t>
        </is>
      </c>
      <c r="M244" t="n">
        <v>0.0044</v>
      </c>
      <c r="N244" t="n">
        <v>0.0678</v>
      </c>
      <c r="O244" t="n">
        <v>0.082</v>
      </c>
    </row>
    <row r="245">
      <c r="A245" t="inlineStr">
        <is>
          <t>crate</t>
        </is>
      </c>
      <c r="B245" t="inlineStr">
        <is>
          <t>server/src/testFixtures/java/org/elasticsearch/index/seqno/RetentionLeaseUtils.java</t>
        </is>
      </c>
      <c r="C245">
        <f>HYPERLINK("https://github.com/crate/crate/blob/master/server/src/testFixtures/java/org/elasticsearch/index/seqno/RetentionLeaseUtils.java")</f>
        <v/>
      </c>
      <c r="D245" t="inlineStr">
        <is>
          <t>The `RetentionLeaseUtils` class provides utility methods for managing retention leases in Elasticsearch indices. It includes functions to calculate lease durations based on sequence numbers and to filter out expired leases from a map of leases. The complexity of these operations is O(N), where N is the number of leases being processed.</t>
        </is>
      </c>
      <c r="E245" t="n">
        <v>0.0036</v>
      </c>
      <c r="F245" t="n">
        <v>0.0667</v>
      </c>
      <c r="G245" t="n">
        <v>0.0813</v>
      </c>
      <c r="H245" t="inlineStr">
        <is>
          <t>This repository contains backend software components that implement core algorithms. The complexity is O(N), indicating linear time operations based on input size N. The comments describe the implementation of these algorithms. The commits include an initial codebase commit. The total code size is 1000 lines.</t>
        </is>
      </c>
      <c r="I245" t="n">
        <v>0.0054</v>
      </c>
      <c r="J245" t="n">
        <v>0.1481</v>
      </c>
      <c r="K245" t="n">
        <v>0.1709</v>
      </c>
      <c r="L245" t="inlineStr">
        <is>
          <t>The `RetentionLeaseUtils` class provides utility methods for managing retention leases in Elasticsearch indices. It includes functions to create a map of lease IDs to their corresponding owners using a linked hash map, which maintains insertion order. The class also offers a method to collect these maps into a single map where each owner has a list of lease IDs associated with them. These utilities facilitate efficient management and retrieval of retention</t>
        </is>
      </c>
      <c r="M245" t="n">
        <v>0.0026</v>
      </c>
      <c r="N245" t="n">
        <v>0.0506</v>
      </c>
      <c r="O245" t="n">
        <v>0.0699</v>
      </c>
    </row>
    <row r="246">
      <c r="A246" t="inlineStr">
        <is>
          <t>crate</t>
        </is>
      </c>
      <c r="B246" t="inlineStr">
        <is>
          <t>server/src/testFixtures/java/org/elasticsearch/index/store/StoreUtils.java</t>
        </is>
      </c>
      <c r="C246">
        <f>HYPERLINK("https://github.com/crate/crate/blob/master/server/src/testFixtures/java/org/elasticsearch/index/store/StoreUtils.java")</f>
        <v/>
      </c>
      <c r="D246" t="inlineStr">
        <is>
          <t>The provided code is part of the Elasticsearch project, specifically within the `org.elasticsearch.index.store` package. It appears to be implementing core storage-related functionalities for Elasticsearch indices. The code includes logging statements using Log4j, references to NodeEnvironment, and comments indicating that it implements complex algorithms. The complexity level is O(N), suggesting linear time operations, which is typical for many data processing tasks in indexing</t>
        </is>
      </c>
      <c r="E246" t="n">
        <v>0.0039</v>
      </c>
      <c r="F246" t="n">
        <v>0.1067</v>
      </c>
      <c r="G246" t="n">
        <v>0.1493</v>
      </c>
      <c r="H246" t="inlineStr">
        <is>
          <t>This repository contains backend software components that implement core algorithms. The complexity of these implementations is O(N), indicating linear time complexity. The README provides details about the licensing, structure, and purpose of the project.</t>
        </is>
      </c>
      <c r="I246" t="n">
        <v>0.0077</v>
      </c>
      <c r="J246" t="n">
        <v>0.2326</v>
      </c>
      <c r="K246" t="n">
        <v>0.2358</v>
      </c>
      <c r="L246" t="inlineStr">
        <is>
          <t>The provided code defines a class `IndexStore` within the `org.elasticsearch.index.store` package, which handles storage operations for index data in Elasticsearch. The class uses Log4j for logging and interacts with NodeEnvironment to manage node-specific configurations. It includes methods for initializing, closing, and managing store files, ensuring efficient indexing and retrieval processes.</t>
        </is>
      </c>
      <c r="M246" t="n">
        <v>0.0037</v>
      </c>
      <c r="N246" t="n">
        <v>0.0323</v>
      </c>
      <c r="O246" t="n">
        <v>0.082</v>
      </c>
    </row>
    <row r="247">
      <c r="A247" t="inlineStr">
        <is>
          <t>crate</t>
        </is>
      </c>
      <c r="B247" t="inlineStr">
        <is>
          <t>server/src/testFixtures/java/org/elasticsearch/index/shard/IndexShardTestCase.java</t>
        </is>
      </c>
      <c r="C247">
        <f>HYPERLINK("https://github.com/crate/crate/blob/master/server/src/testFixtures/java/org/elasticsearch/index/shard/IndexShardTestCase.java")</f>
        <v/>
      </c>
      <c r="D247" t="inlineStr">
        <is>
          <t>The code implements core algorithms with a time complexity of O(N). It includes comments explaining its implementation and structure. The README provides details about the project's purpose, complexity, and size.</t>
        </is>
      </c>
      <c r="E247" t="n">
        <v>0.0146</v>
      </c>
      <c r="F247" t="n">
        <v>0.15</v>
      </c>
      <c r="G247" t="n">
        <v>0.2505</v>
      </c>
      <c r="H247" t="inlineStr">
        <is>
          <t>This repository contains backend software components implementing core algorithms. The complexity of the implementation is O(N), indicating that it scales linearly with input size. The comments provide details about the algorithm's purpose and structure. The commits indicate the initial creation of the codebase. The total code size is 1000 lines.</t>
        </is>
      </c>
      <c r="I247" t="n">
        <v>0.0052</v>
      </c>
      <c r="J247" t="n">
        <v>0.1667</v>
      </c>
      <c r="K247" t="n">
        <v>0.2049</v>
      </c>
      <c r="L247" t="inlineStr">
        <is>
          <t>This code implements core algorithms for a backend software component, focusing on efficient data processing and manipulation tasks. It processes large datasets using an O(N) complexity algorithm, leveraging existing comments to guide implementation. The code size is 1000 lines, making it suitable for handling complex business logic within the context of a larger system.</t>
        </is>
      </c>
      <c r="M247" t="n">
        <v>0.008999999999999999</v>
      </c>
      <c r="N247" t="n">
        <v>0.1587</v>
      </c>
      <c r="O247" t="n">
        <v>0.3384</v>
      </c>
    </row>
    <row r="248">
      <c r="A248" t="inlineStr">
        <is>
          <t>crate</t>
        </is>
      </c>
      <c r="B248" t="inlineStr">
        <is>
          <t>server/src/testFixtures/java/org/elasticsearch/index/shard/RestoreOnlyRepository.java</t>
        </is>
      </c>
      <c r="C248">
        <f>HYPERLINK("https://github.com/crate/crate/blob/master/server/src/testFixtures/java/org/elasticsearch/index/shard/RestoreOnlyRepository.java")</f>
        <v/>
      </c>
      <c r="D248" t="inlineStr">
        <is>
          <t>The code implements core algorithms without providing detailed comments or explanations. It has a time complexity of O(N) and consists of approximately 1000 lines of code. The repository contains backend software components and does not include any documentation or explanation of its functionality.</t>
        </is>
      </c>
      <c r="E248" t="n">
        <v>0.0108</v>
      </c>
      <c r="F248" t="n">
        <v>0.1154</v>
      </c>
      <c r="G248" t="n">
        <v>0.2745</v>
      </c>
      <c r="H248" t="inlineStr">
        <is>
          <t>This repository contains backend software components implementing core algorithms. Complexity is O(N), indicating linear time complexity. The implementation includes comments explaining the purpose of each part of the code. There has been an initial codebase commit. The total size of the code is 1000 lines.</t>
        </is>
      </c>
      <c r="I248" t="n">
        <v>0.0054</v>
      </c>
      <c r="J248" t="n">
        <v>0.1481</v>
      </c>
      <c r="K248" t="n">
        <v>0.2137</v>
      </c>
      <c r="L248" t="inlineStr">
        <is>
          <t>The code implements core algorithms for backend software components, focusing on efficient data processing and manipulation. It processes large datasets using an O(N) complexity approach, leveraging existing comments and commit messages from an initial codebase commit. The README provides context about the repository's focus on backend software components.</t>
        </is>
      </c>
      <c r="M248" t="n">
        <v>0.009599999999999999</v>
      </c>
      <c r="N248" t="n">
        <v>0.1034</v>
      </c>
      <c r="O248" t="n">
        <v>0.31</v>
      </c>
    </row>
    <row r="249">
      <c r="A249" t="inlineStr">
        <is>
          <t>crate</t>
        </is>
      </c>
      <c r="B249" t="inlineStr">
        <is>
          <t>server/src/testFixtures/java/org/elasticsearch/index/translog/TestTranslog.java</t>
        </is>
      </c>
      <c r="C249">
        <f>HYPERLINK("https://github.com/crate/crate/blob/master/server/src/testFixtures/java/org/elasticsearch/index/translog/TestTranslog.java")</f>
        <v/>
      </c>
      <c r="D249" t="inlineStr">
        <is>
          <t>The provided code is part of Elasticsearch's index translog system, which handles transaction log operations for indexing documents. It includes methods for reading from and writing to the translog files, managing checkpoints, and ensuring data consistency during recovery. The complexity is O(N), indicating linear time complexity for certain operations like reading and writing entries. The implementation focuses on core algorithms necessary for maintaining the integrity and performance of the</t>
        </is>
      </c>
      <c r="E249" t="n">
        <v>0.0031</v>
      </c>
      <c r="F249" t="n">
        <v>0.0759</v>
      </c>
      <c r="G249" t="n">
        <v>0.1418</v>
      </c>
      <c r="H249" t="inlineStr">
        <is>
          <t>The repository contains backend software components implementing core algorithms. The complexity is O(N), indicating linear time operations. The README provides details about the project's licensing and structure.</t>
        </is>
      </c>
      <c r="I249" t="n">
        <v>0.0092</v>
      </c>
      <c r="J249" t="n">
        <v>0.2162</v>
      </c>
      <c r="K249" t="n">
        <v>0.3188</v>
      </c>
      <c r="L249" t="inlineStr">
        <is>
          <t>This Java package `org.elasticsearch.index.translog` provides classes for managing transaction logs used in Elasticsearch's indexing process. The primary function is to store changes made to documents during indexing sessions, allowing for recovery and replication across nodes. Key functionalities include creating, reading, and updating translogs, as well as handling checkpoint files that track progress through the log.</t>
        </is>
      </c>
      <c r="M249" t="n">
        <v>0.004</v>
      </c>
      <c r="N249" t="n">
        <v>0.0896</v>
      </c>
      <c r="O249" t="n">
        <v>0.1181</v>
      </c>
    </row>
    <row r="250">
      <c r="A250" t="inlineStr">
        <is>
          <t>crate</t>
        </is>
      </c>
      <c r="B250" t="inlineStr">
        <is>
          <t>server/src/testFixtures/java/org/elasticsearch/index/translog/TranslogDeletionPolicies.java</t>
        </is>
      </c>
      <c r="C250">
        <f>HYPERLINK("https://github.com/crate/crate/blob/master/server/src/testFixtures/java/org/elasticsearch/index/translog/TranslogDeletionPolicies.java")</f>
        <v/>
      </c>
      <c r="D250" t="inlineStr">
        <is>
          <t>The provided Java code defines a package `org.elasticsearch.index.translog` that includes classes related to translog deletion policies in Elasticsearch. The main focus appears to be on managing how old translogs should be deleted from disk based on certain criteria defined within these policies. The complexity of the implementation is O(N), indicating it might involve iterating over data structures or performing operations proportional to the size of input data.</t>
        </is>
      </c>
      <c r="E250" t="n">
        <v>0</v>
      </c>
      <c r="F250" t="n">
        <v>0.0253</v>
      </c>
      <c r="G250" t="n">
        <v>0.036</v>
      </c>
      <c r="H250" t="inlineStr">
        <is>
          <t>The repository contains backend software components implementing core algorithms. Complexity is O(N), indicating linear time complexity. The README describes it as containing essential backend software elements.</t>
        </is>
      </c>
      <c r="I250" t="n">
        <v>0.0086</v>
      </c>
      <c r="J250" t="n">
        <v>0.1714</v>
      </c>
      <c r="K250" t="n">
        <v>0.2608</v>
      </c>
      <c r="L250" t="inlineStr">
        <is>
          <t>The `TranslogDeletionPolicies` class provides deletion policies for transaction logs in Elasticsearch indices, allowing users to specify how old translogs should be retained based on various criteria such as age or size. The implementation includes methods to determine when a translog can be safely deleted, which helps manage disk space usage efficiently.</t>
        </is>
      </c>
      <c r="M250" t="n">
        <v>0</v>
      </c>
      <c r="N250" t="n">
        <v>0.0339</v>
      </c>
      <c r="O250" t="n">
        <v>0.0407</v>
      </c>
    </row>
    <row r="251">
      <c r="A251" t="inlineStr">
        <is>
          <t>crate</t>
        </is>
      </c>
      <c r="B251" t="inlineStr">
        <is>
          <t>server/src/testFixtures/java/org/elasticsearch/common/io/PathUtilsForTesting.java</t>
        </is>
      </c>
      <c r="C251">
        <f>HYPERLINK("https://github.com/crate/crate/blob/master/server/src/testFixtures/java/org/elasticsearch/common/io/PathUtilsForTesting.java")</f>
        <v/>
      </c>
      <c r="D251" t="inlineStr">
        <is>
          <t>The provided code snippet appears to be part of the Elasticsearch project, specifically within the `org.elasticsearch.common.io` package. It includes a class named `PathUtils`, which exposes certain package-private methods for framework purposes. The code is licensed under the Apache License, Version 2.0. The README indicates that this repository contains backend software components, but does not provide detailed complexity analysis, comments, commits</t>
        </is>
      </c>
      <c r="E251" t="n">
        <v>0.003</v>
      </c>
      <c r="F251" t="n">
        <v>0.0548</v>
      </c>
      <c r="G251" t="n">
        <v>0.1136</v>
      </c>
      <c r="H251" t="inlineStr">
        <is>
          <t>This repository contains backend software components that implement core algorithms. The complexity is O(N), indicating linear time operations. It includes comments explaining the implementation details and commits tracking the initial creation of the codebase. The total size of the codebase is 1000 lines.</t>
        </is>
      </c>
      <c r="I251" t="n">
        <v>0.0061</v>
      </c>
      <c r="J251" t="n">
        <v>0.1923</v>
      </c>
      <c r="K251" t="n">
        <v>0.2174</v>
      </c>
      <c r="L251" t="inlineStr">
        <is>
          <t>This Java class provides access to certain package-private methods within `PathUtils` from the Lucene library, primarily intended for internal framework usage. The class includes test cases that utilize Crate's Lucene implementation.</t>
        </is>
      </c>
      <c r="M251" t="n">
        <v>0.006</v>
      </c>
      <c r="N251" t="n">
        <v>0.09760000000000001</v>
      </c>
      <c r="O251" t="n">
        <v>0.0485</v>
      </c>
    </row>
    <row r="252">
      <c r="A252" t="inlineStr">
        <is>
          <t>crate</t>
        </is>
      </c>
      <c r="B252" t="inlineStr">
        <is>
          <t>server/src/testFixtures/java/org/elasticsearch/common/lucene/store/ESIndexInputTestCase.java</t>
        </is>
      </c>
      <c r="C252">
        <f>HYPERLINK("https://github.com/crate/crate/blob/master/server/src/testFixtures/java/org/elasticsearch/common/lucene/store/ESIndexInputTestCase.java")</f>
        <v/>
      </c>
      <c r="D252" t="inlineStr">
        <is>
          <t>The provided code implements core algorithms without any comments or documentation. It appears to be part of a larger system designed to handle complex tasks efficiently using O(N) complexity. The README indicates that it's located within a repository containing backend software components.</t>
        </is>
      </c>
      <c r="E252" t="n">
        <v>0.0103</v>
      </c>
      <c r="F252" t="n">
        <v>0.0769</v>
      </c>
      <c r="G252" t="n">
        <v>0.2769</v>
      </c>
      <c r="H252" t="inlineStr">
        <is>
          <t>The repository contains backend software components implementing core algorithms. The complexity is O(N), indicating linear time complexity, and comments describe the implementation details.</t>
        </is>
      </c>
      <c r="I252" t="n">
        <v>0.0109</v>
      </c>
      <c r="J252" t="n">
        <v>0.25</v>
      </c>
      <c r="K252" t="n">
        <v>0.2105</v>
      </c>
      <c r="L252" t="inlineStr">
        <is>
          <t>This code implements core algorithms for a backend software component, handling input data efficiently with a time complexity of O(N). It includes comments explaining implementation details and adheres to best practices for readability and maintainability. The code size is 1000 lines, reflecting its importance as part of the overall system architecture.</t>
        </is>
      </c>
      <c r="M252" t="n">
        <v>0.009599999999999999</v>
      </c>
      <c r="N252" t="n">
        <v>0.1333</v>
      </c>
      <c r="O252" t="n">
        <v>0.3467</v>
      </c>
    </row>
    <row r="253">
      <c r="A253" t="inlineStr">
        <is>
          <t>crate</t>
        </is>
      </c>
      <c r="B253" t="inlineStr">
        <is>
          <t>server/src/testFixtures/java/org/elasticsearch/common/breaker/TestCircuitBreaker.java</t>
        </is>
      </c>
      <c r="C253">
        <f>HYPERLINK("https://github.com/crate/crate/blob/master/server/src/testFixtures/java/org/elasticsearch/common/breaker/TestCircuitBreaker.java")</f>
        <v/>
      </c>
      <c r="D253" t="inlineStr">
        <is>
          <t>The `TestCircuitBreaker` class extends `NoopCircuitBreaker`, which is a no-op circuit breaker implementation used for testing purposes. It includes an atomic boolean flag named `shouldBreak` that can be used to simulate breaking the circuit during tests. The complexity of the implementation is O(1) due to its simple logic involving atomic operations.</t>
        </is>
      </c>
      <c r="E253" t="n">
        <v>0</v>
      </c>
      <c r="F253" t="n">
        <v>0.0667</v>
      </c>
      <c r="G253" t="n">
        <v>0.082</v>
      </c>
      <c r="H253" t="inlineStr">
        <is>
          <t>This repository contains backend software components implementing core algorithms. The complexity is O(N), indicating linear time complexity. The comments describe the implementation of these algorithms. The commits include the initial creation of the codebase. The total size of the code is 1000 lines.</t>
        </is>
      </c>
      <c r="I253" t="n">
        <v>0.0056</v>
      </c>
      <c r="J253" t="n">
        <v>0.1538</v>
      </c>
      <c r="K253" t="n">
        <v>0.1739</v>
      </c>
      <c r="L253" t="inlineStr">
        <is>
          <t>The `TestCircuitBreaker` class extends `NoopCircuitBreaker`, which provides basic circuit breaker functionality without any actual breaking mechanism. It includes an atomic boolean flag `shouldBreak` that can be used to simulate whether the circuit breaker has been triggered. The class is designed to be part of a larger system responsible for managing resource usage and preventing overloading.</t>
        </is>
      </c>
      <c r="M253" t="n">
        <v>0.004</v>
      </c>
      <c r="N253" t="n">
        <v>0.0635</v>
      </c>
      <c r="O253" t="n">
        <v>0.07870000000000001</v>
      </c>
    </row>
    <row r="254">
      <c r="A254" t="inlineStr">
        <is>
          <t>crate</t>
        </is>
      </c>
      <c r="B254" t="inlineStr">
        <is>
          <t>server/src/testFixtures/java/org/elasticsearch/common/util/MockBigArrays.java</t>
        </is>
      </c>
      <c r="C254">
        <f>HYPERLINK("https://github.com/crate/crate/blob/master/server/src/testFixtures/java/org/elasticsearch/common/util/MockBigArrays.java")</f>
        <v/>
      </c>
      <c r="D254" t="inlineStr">
        <is>
          <t>The provided code snippet is part of a Java package named `org.elasticsearch.common.util`. It includes a method that generates random numbers using a specified seed and returns them as a collection. The complexity of this operation is O(1) since it involves generating a single number based on the given seed. The comments indicate that this implementation is part of core algorithms within the Elasticsearch project.</t>
        </is>
      </c>
      <c r="E254" t="n">
        <v>0.0034</v>
      </c>
      <c r="F254" t="n">
        <v>0.0789</v>
      </c>
      <c r="G254" t="n">
        <v>0.1838</v>
      </c>
      <c r="H254" t="inlineStr">
        <is>
          <t>Contains backend software components implementing core algorithms. Complexity is O(N). Comments describe implementation details. Initial codebase commit. Code size is 1000 lines.</t>
        </is>
      </c>
      <c r="I254" t="n">
        <v>0.0103</v>
      </c>
      <c r="J254" t="n">
        <v>0.1935</v>
      </c>
      <c r="K254" t="n">
        <v>0.1596</v>
      </c>
      <c r="L254" t="inlineStr">
        <is>
          <t>The provided Java code defines utility methods within the `org.elasticsearch.common.util` package, primarily focusing on collection manipulation and random number generation. It includes assertions for testing purposes using AssertJ, and utilizes concurrent utilities from the Java standard library. The code size is approximately 1000 lines, with comments indicating that it implements core algorithms.</t>
        </is>
      </c>
      <c r="M254" t="n">
        <v>0.008200000000000001</v>
      </c>
      <c r="N254" t="n">
        <v>0.0635</v>
      </c>
      <c r="O254" t="n">
        <v>0.2545</v>
      </c>
    </row>
    <row r="255">
      <c r="A255" t="inlineStr">
        <is>
          <t>crate</t>
        </is>
      </c>
      <c r="B255" t="inlineStr">
        <is>
          <t>server/src/testFixtures/java/org/elasticsearch/common/util/MockPageCacheRecycler.java</t>
        </is>
      </c>
      <c r="C255">
        <f>HYPERLINK("https://github.com/crate/crate/blob/master/server/src/testFixtures/java/org/elasticsearch/common/util/MockPageCacheRecycler.java")</f>
        <v/>
      </c>
      <c r="D255" t="inlineStr">
        <is>
          <t>The provided Java code snippet appears to be part of a larger project that includes various utility classes and methods. It does not contain any executable logic but rather serves as documentation and comments explaining its purpose and structure. The complexity mentioned is O(N), which suggests it might involve operations related to arrays or collections where N represents the size of these structures. The code is licensed under the Apache License, Version 2</t>
        </is>
      </c>
      <c r="E255" t="n">
        <v>0.0025</v>
      </c>
      <c r="F255" t="n">
        <v>0.0488</v>
      </c>
      <c r="G255" t="n">
        <v>0.06900000000000001</v>
      </c>
      <c r="H255" t="inlineStr">
        <is>
          <t>This repository contains backend software components that implement core algorithms. The complexity of these implementations varies depending on the specific algorithm being used.</t>
        </is>
      </c>
      <c r="I255" t="n">
        <v>0.0109</v>
      </c>
      <c r="J255" t="n">
        <v>0.2581</v>
      </c>
      <c r="K255" t="n">
        <v>0.2105</v>
      </c>
      <c r="L255" t="inlineStr">
        <is>
          <t>This Java package provides utility classes for common operations such as array manipulation and random number generation. It includes methods like `assertArrayEquals` from AssertJ for comparing arrays, utilities for working with reflection, and functions for generating random numbers using `java.util.Random`. The code size is approximately 1000 lines, focusing on implementing core algorithms related to data structures and randomness.</t>
        </is>
      </c>
      <c r="M255" t="n">
        <v>0.0041</v>
      </c>
      <c r="N255" t="n">
        <v>0.1176</v>
      </c>
      <c r="O255" t="n">
        <v>0.2862</v>
      </c>
    </row>
    <row r="256">
      <c r="A256" t="inlineStr">
        <is>
          <t>crate</t>
        </is>
      </c>
      <c r="B256" t="inlineStr">
        <is>
          <t>server/src/testFixtures/java/org/elasticsearch/common/util/concurrent/TestFutureUtils.java</t>
        </is>
      </c>
      <c r="C256">
        <f>HYPERLINK("https://github.com/crate/crate/blob/master/server/src/testFixtures/java/org/elasticsearch/common/util/concurrent/TestFutureUtils.java")</f>
        <v/>
      </c>
      <c r="D256" t="inlineStr">
        <is>
          <t>The code implements core algorithms without detailed comments or explanations, focusing on complexity analysis as O(N). It's part of a larger repository containing backend software components. The README provides basic information about the project, including its license and complexity level.</t>
        </is>
      </c>
      <c r="E256" t="n">
        <v>0.0116</v>
      </c>
      <c r="F256" t="n">
        <v>0.12</v>
      </c>
      <c r="G256" t="n">
        <v>0.3321</v>
      </c>
      <c r="H256" t="inlineStr">
        <is>
          <t>This repository contains backend software components that implement core algorithms. The complexity of the implementation is O(N), indicating linear time complexity. The comments describe the purpose of the code as implementing core algorithms. The commits indicate the initial creation of the codebase. The total size of the code is 1000 lines.</t>
        </is>
      </c>
      <c r="I256" t="n">
        <v>0.0047</v>
      </c>
      <c r="J256" t="n">
        <v>0.1333</v>
      </c>
      <c r="K256" t="n">
        <v>0.2566</v>
      </c>
      <c r="L256" t="inlineStr">
        <is>
          <t>The provided code implements core algorithms for backend software components, focusing on efficient data processing and manipulation. It has a time complexity of O(N), making it suitable for large-scale applications. The existing comments provide context about the implementation of core algorithms, while the initial commit message indicates that this is the first version of the codebase. The total size of the code is 1000 lines, reflecting</t>
        </is>
      </c>
      <c r="M256" t="n">
        <v>0.0069</v>
      </c>
      <c r="N256" t="n">
        <v>0.0789</v>
      </c>
      <c r="O256" t="n">
        <v>0.1812</v>
      </c>
    </row>
    <row r="257">
      <c r="A257" t="inlineStr">
        <is>
          <t>crate</t>
        </is>
      </c>
      <c r="B257" t="inlineStr">
        <is>
          <t>server/src/testFixtures/java/org/elasticsearch/node/NodeMocksPlugin.java</t>
        </is>
      </c>
      <c r="C257">
        <f>HYPERLINK("https://github.com/crate/crate/blob/master/server/src/testFixtures/java/org/elasticsearch/node/NodeMocksPlugin.java")</f>
        <v/>
      </c>
      <c r="D257" t="inlineStr">
        <is>
          <t>The `NodeMocksPlugin` is a simple marker plugin designed to be used with the `MockNode`. It serves as a placeholder for any plugins that might need to interact with the node's internal structures, such as `BigArrays`, without actually implementing those functionalities. This allows developers to test and mock these parts of the system independently from their actual implementations. The complexity of this plugin is O(1</t>
        </is>
      </c>
      <c r="E257" t="n">
        <v>0.0034</v>
      </c>
      <c r="F257" t="n">
        <v>0.08110000000000001</v>
      </c>
      <c r="G257" t="n">
        <v>0.1471</v>
      </c>
      <c r="H257" t="inlineStr">
        <is>
          <t>This repository contains backend software components that implement core algorithms. The complexity of these implementations is O(N), indicating linear time complexity relative to the size of the input data. The README provides details about the project's purpose and structure.</t>
        </is>
      </c>
      <c r="I257" t="n">
        <v>0.0067</v>
      </c>
      <c r="J257" t="n">
        <v>0.2041</v>
      </c>
      <c r="K257" t="n">
        <v>0.2252</v>
      </c>
      <c r="L257" t="inlineStr">
        <is>
          <t>This code defines a simple `NodeMocksPlugin` class that serves as a marker plugin for mocking out the `BigArrays` component in Elasticsearch's `MockNode`. It implements the `Plugin` interface from the Elasticsearch framework, indicating that it can be loaded as a plugin during node startup. The plugin has no additional methods or configurations beyond being a placeholder for testing purposes.</t>
        </is>
      </c>
      <c r="M257" t="n">
        <v>0.0037</v>
      </c>
      <c r="N257" t="n">
        <v>0.0597</v>
      </c>
      <c r="O257" t="n">
        <v>0.0769</v>
      </c>
    </row>
    <row r="258">
      <c r="A258" t="inlineStr">
        <is>
          <t>crate</t>
        </is>
      </c>
      <c r="B258" t="inlineStr">
        <is>
          <t>server/src/testFixtures/java/org/elasticsearch/node/RecoverySettingsChunkSizePlugin.java</t>
        </is>
      </c>
      <c r="C258">
        <f>HYPERLINK("https://github.com/crate/crate/blob/master/server/src/testFixtures/java/org/elasticsearch/node/RecoverySettingsChunkSizePlugin.java")</f>
        <v/>
      </c>
      <c r="D258" t="inlineStr">
        <is>
          <t>The provided code defines settings related to node memory usage in Elasticsearch. It includes two main settings: `node.max_heap_size` and `node.minimum_master_nodes`. These settings control the maximum heap size allocated to each node and the minimum number of master nodes required for cluster operations, respectively. The code uses the `Setting` class from the Elasticsearch library to define these settings with appropriate properties such as persistence and</t>
        </is>
      </c>
      <c r="E258" t="n">
        <v>0.0028</v>
      </c>
      <c r="F258" t="n">
        <v>0.0256</v>
      </c>
      <c r="G258" t="n">
        <v>0.0735</v>
      </c>
      <c r="H258" t="inlineStr">
        <is>
          <t>This repository contains backend software components that implement core algorithms. The complexity is O(N), indicating linear time complexity, which means it scales proportionally with the input size.</t>
        </is>
      </c>
      <c r="I258" t="n">
        <v>0.0092</v>
      </c>
      <c r="J258" t="n">
        <v>0.2222</v>
      </c>
      <c r="K258" t="n">
        <v>0.3188</v>
      </c>
      <c r="L258" t="inlineStr">
        <is>
          <t>This Java class provides a Node component for Elasticsearch, which manages various settings related to node configuration such as memory allocation limits and network interfaces. The class includes methods to set and retrieve these settings using `Setting` objects from the Elasticsearch common library. It also handles ByteSizeValue units for memory sizes, ensuring flexibility in specifying resource allocations.</t>
        </is>
      </c>
      <c r="M258" t="n">
        <v>0.0038</v>
      </c>
      <c r="N258" t="n">
        <v>0.0615</v>
      </c>
      <c r="O258" t="n">
        <v>0.1163</v>
      </c>
    </row>
    <row r="259">
      <c r="A259" t="inlineStr">
        <is>
          <t>crate</t>
        </is>
      </c>
      <c r="B259" t="inlineStr">
        <is>
          <t>server/src/testFixtures/java/org/elasticsearch/node/MockNode.java</t>
        </is>
      </c>
      <c r="C259">
        <f>HYPERLINK("https://github.com/crate/crate/blob/master/server/src/testFixtures/java/org/elasticsearch/node/MockNode.java")</f>
        <v/>
      </c>
      <c r="D259" t="inlineStr">
        <is>
          <t>The code appears to be part of an Elasticsearch node implementation, which handles operations related to managing nodes within an Elasticsearch cluster. It includes classes such as `Node` and `NodeClient`, which interact with other parts of the system through methods like `execute`. The complexity is O(N), indicating that certain operations might scale linearly with input size, but without further context, it's difficult to specify exact</t>
        </is>
      </c>
      <c r="E259" t="n">
        <v>0.0028</v>
      </c>
      <c r="F259" t="n">
        <v>0.0533</v>
      </c>
      <c r="G259" t="n">
        <v>0.073</v>
      </c>
      <c r="H259" t="inlineStr">
        <is>
          <t>The code implements core algorithms for a backend system. It includes functions for handling paths, collections, and node clients, as well as comments explaining its implementation. The complexity is high due to the extensive number of operations involved.</t>
        </is>
      </c>
      <c r="I259" t="n">
        <v>0.0114</v>
      </c>
      <c r="J259" t="n">
        <v>0.1739</v>
      </c>
      <c r="K259" t="n">
        <v>0.2869</v>
      </c>
      <c r="L259" t="inlineStr">
        <is>
          <t>This Java class `Node` represents a node within an Elasticsearch cluster, providing methods to interact with the Elasticsearch client and manage various aspects of the node's configuration and state. It includes functionalities such as starting, stopping, and managing plugins, as well as accessing the Elasticsearch client instance. The class uses Java NIO paths for handling file paths and utilizes functional interfaces for callbacks and configurations.</t>
        </is>
      </c>
      <c r="M259" t="n">
        <v>0.0033</v>
      </c>
      <c r="N259" t="n">
        <v>0.08110000000000001</v>
      </c>
      <c r="O259" t="n">
        <v>0.1095</v>
      </c>
    </row>
    <row r="260">
      <c r="A260" t="inlineStr">
        <is>
          <t>crate</t>
        </is>
      </c>
      <c r="B260" t="inlineStr">
        <is>
          <t>server/src/testFixtures/java/org/elasticsearch/test/RandomObjects.java</t>
        </is>
      </c>
      <c r="C260">
        <f>HYPERLINK("https://github.com/crate/crate/blob/master/server/src/testFixtures/java/org/elasticsearch/test/RandomObjects.java")</f>
        <v/>
      </c>
      <c r="D260" t="inlineStr">
        <is>
          <t>The code appears to be part of a test suite for Elasticsearch, specifically focusing on generating random integers within a specified range using the `RandomNumbers` class from Carrot Search's Randomized Testing library. The complexity of the algorithm is O(1) as it involves simple arithmetic operations. The comments indicate that the implementation is focused on core algorithms used in testing Elasticsearch. The code size is approximately 1</t>
        </is>
      </c>
      <c r="E260" t="n">
        <v>0.0028</v>
      </c>
      <c r="F260" t="n">
        <v>0.0526</v>
      </c>
      <c r="G260" t="n">
        <v>0.1087</v>
      </c>
      <c r="H260" t="inlineStr">
        <is>
          <t>This repository contains backend software components that implement core algorithms. The complexity is O(N), indicating linear time complexity, which means the performance increases proportionally with the size of the input data. The README provides basic information about the project's purpose and structure.</t>
        </is>
      </c>
      <c r="I260" t="n">
        <v>0.0062</v>
      </c>
      <c r="J260" t="n">
        <v>0.1923</v>
      </c>
      <c r="K260" t="n">
        <v>0.3263</v>
      </c>
      <c r="L260" t="inlineStr">
        <is>
          <t>The provided Java code snippet appears to be part of a test suite within the Elasticsearch project. It includes a method that generates random integers between two specified bounds using the `Random` class from the Java standard library. The function is likely used to simulate various scenarios during testing, such as generating random data points for benchmarking or unit tests. The code is annotated with comments indicating its purpose and licensing details.</t>
        </is>
      </c>
      <c r="M260" t="n">
        <v>0.0025</v>
      </c>
      <c r="N260" t="n">
        <v>0.05</v>
      </c>
      <c r="O260" t="n">
        <v>0.0694</v>
      </c>
    </row>
    <row r="261">
      <c r="A261" t="inlineStr">
        <is>
          <t>crate</t>
        </is>
      </c>
      <c r="B261" t="inlineStr">
        <is>
          <t>server/src/testFixtures/java/org/elasticsearch/test/FieldMaskingReader.java</t>
        </is>
      </c>
      <c r="C261">
        <f>HYPERLINK("https://github.com/crate/crate/blob/master/server/src/testFixtures/java/org/elasticsearch/test/FieldMaskingReader.java")</f>
        <v/>
      </c>
      <c r="D261" t="inlineStr">
        <is>
          <t>The code appears to be part of a test suite for Lucene's `FieldFilterLeafReader` class within the Elasticsearch project. It likely includes tests that verify the behavior of filtering fields during indexing operations using Lucene's directory readers. The complexity is O(N), indicating linear time complexity relative to some input size N, possibly related to the number of documents being indexed or filtered.</t>
        </is>
      </c>
      <c r="E261" t="n">
        <v>0</v>
      </c>
      <c r="F261" t="n">
        <v>0</v>
      </c>
      <c r="G261" t="n">
        <v>0.0376</v>
      </c>
      <c r="H261" t="inlineStr">
        <is>
          <t>This repository contains backend software components that implement core algorithms. The complexity of these implementations is O(N), indicating linear time complexity. The README provides details about the repository's purpose and structure, including its license and initial commit history.</t>
        </is>
      </c>
      <c r="I261" t="n">
        <v>0.0069</v>
      </c>
      <c r="J261" t="n">
        <v>0.2083</v>
      </c>
      <c r="K261" t="n">
        <v>0.2273</v>
      </c>
      <c r="L261" t="inlineStr">
        <is>
          <t>This Java class provides utility methods for testing Lucene's DirectoryReader functionalities, including filtering directories based on field values using `FieldFilterLeafReader`. The class includes methods like `createFilteredDirectoryReader` that take a directory reader and a filter function as input, returning a new FilterDirectoryReader instance that only includes documents matching the specified criteria.</t>
        </is>
      </c>
      <c r="M261" t="n">
        <v>0.0044</v>
      </c>
      <c r="N261" t="n">
        <v>0.1017</v>
      </c>
      <c r="O261" t="n">
        <v>0.123</v>
      </c>
    </row>
    <row r="262">
      <c r="A262" t="inlineStr">
        <is>
          <t>crate</t>
        </is>
      </c>
      <c r="B262" t="inlineStr">
        <is>
          <t>server/src/testFixtures/java/org/elasticsearch/test/NodeConfigurationSource.java</t>
        </is>
      </c>
      <c r="C262">
        <f>HYPERLINK("https://github.com/crate/crate/blob/master/server/src/testFixtures/java/org/elasticsearch/test/NodeConfigurationSource.java")</f>
        <v/>
      </c>
      <c r="D262" t="inlineStr">
        <is>
          <t>The provided Java code defines a class `TestPlugin` within the package `org.elasticsearch.test`. This class extends the abstract class `Plugin`, which is part of the Elasticsearch framework used for building search engines. The purpose of this plugin is to provide test functionalities for Elasticsearch components.
Key features of the code include:
1. **Package Declaration**: It specifies that the class belongs to the `test` package</t>
        </is>
      </c>
      <c r="E262" t="n">
        <v>0.0029</v>
      </c>
      <c r="F262" t="n">
        <v>0.0548</v>
      </c>
      <c r="G262" t="n">
        <v>0.0741</v>
      </c>
      <c r="H262" t="inlineStr">
        <is>
          <t>Contains backend software components implementing core algorithms. Complexity is O(N).</t>
        </is>
      </c>
      <c r="I262" t="n">
        <v>0.0251</v>
      </c>
      <c r="J262" t="n">
        <v>0.3158</v>
      </c>
      <c r="K262" t="n">
        <v>0.3117</v>
      </c>
      <c r="L262" t="inlineStr">
        <is>
          <t>The provided code defines a test plugin class `TestPlugin` within the Elasticsearch framework. It extends the abstract class `Plugin`, which allows it to be loaded as a plugin into Elasticsearch instances. The plugin initializes settings from a given path and provides no custom commands or services. The code size is 1000 lines, and it has been implemented using Java conventions and best practices.</t>
        </is>
      </c>
      <c r="M262" t="n">
        <v>0.0029</v>
      </c>
      <c r="N262" t="n">
        <v>0.0563</v>
      </c>
      <c r="O262" t="n">
        <v>0.1111</v>
      </c>
    </row>
    <row r="263">
      <c r="A263" t="inlineStr">
        <is>
          <t>crate</t>
        </is>
      </c>
      <c r="B263" t="inlineStr">
        <is>
          <t>server/src/testFixtures/java/org/elasticsearch/test/DiffableTestUtils.java</t>
        </is>
      </c>
      <c r="C263">
        <f>HYPERLINK("https://github.com/crate/crate/blob/master/server/src/testFixtures/java/org/elasticsearch/test/DiffableTestUtils.java")</f>
        <v/>
      </c>
      <c r="D263" t="inlineStr">
        <is>
          <t>The provided code appears to be part of a test suite for Elasticsearch, specifically focusing on testing wire protocols and ensuring that data is being transmitted correctly between different parts of the system. The code uses assertions from the AssertJ library to verify expected outcomes during various test runs. It includes methods for handling exceptions and performing network operations, likely related to communication over HTTP or other protocols used within Elasticsearch. The complexity of</t>
        </is>
      </c>
      <c r="E263" t="n">
        <v>0.0025</v>
      </c>
      <c r="F263" t="n">
        <v>0.0244</v>
      </c>
      <c r="G263" t="n">
        <v>0.06850000000000001</v>
      </c>
      <c r="H263" t="inlineStr">
        <is>
          <t>This repository contains backend software components that implement core algorithms. The complexity of these implementations is O(N), indicating linear time complexity. The README provides details about the repository's purpose and structure.</t>
        </is>
      </c>
      <c r="I263" t="n">
        <v>0.008500000000000001</v>
      </c>
      <c r="J263" t="n">
        <v>0.2439</v>
      </c>
      <c r="K263" t="n">
        <v>0.2427</v>
      </c>
      <c r="L263" t="inlineStr">
        <is>
          <t>This Java package contains test classes for Elasticsearch backend components. It includes assertions using AssertJ to verify expected outcomes during wire testing, utilizing constants from `AbstractWireTestCase` such as `NUMBER_OF_TEST_RUNS`. The code size is approximately 1000 lines, focusing on implementing core algorithms for testing purposes.</t>
        </is>
      </c>
      <c r="M263" t="n">
        <v>0.005</v>
      </c>
      <c r="N263" t="n">
        <v>0.1091</v>
      </c>
      <c r="O263" t="n">
        <v>0.2721</v>
      </c>
    </row>
    <row r="264">
      <c r="A264" t="inlineStr">
        <is>
          <t>crate</t>
        </is>
      </c>
      <c r="B264" t="inlineStr">
        <is>
          <t>server/src/testFixtures/java/org/elasticsearch/test/InternalSettingsPlugin.java</t>
        </is>
      </c>
      <c r="C264">
        <f>HYPERLINK("https://github.com/crate/crate/blob/master/server/src/testFixtures/java/org/elasticsearch/test/InternalSettingsPlugin.java")</f>
        <v/>
      </c>
      <c r="D264" t="inlineStr">
        <is>
          <t>The code defines a class `Test` that includes methods for testing various functionalities related to settings management in Elasticsearch. It uses Java's `Setting` class from the `org.elasticsearch.common.settings` package to manage configuration settings. The class provides methods to create, retrieve, update, and delete settings, as well as test their behavior under different conditions. The complexity of the implementation is O(N), where N</t>
        </is>
      </c>
      <c r="E264" t="n">
        <v>0.003</v>
      </c>
      <c r="F264" t="n">
        <v>0.0541</v>
      </c>
      <c r="G264" t="n">
        <v>0.1128</v>
      </c>
      <c r="H264" t="inlineStr">
        <is>
          <t>This repository contains backend software components that implement core algorithms. The complexity of these implementations is O(N), indicating linear time complexity relative to input size.</t>
        </is>
      </c>
      <c r="I264" t="n">
        <v>0.01</v>
      </c>
      <c r="J264" t="n">
        <v>0.2353</v>
      </c>
      <c r="K264" t="n">
        <v>0.2062</v>
      </c>
      <c r="L264" t="inlineStr">
        <is>
          <t>The provided Java code defines a test class within the `org.elasticsearch.test` package that includes methods for testing various aspects of Elasticsearch settings. The class uses Java's concurrency utilities such as `TimeUnit` and `List`. It also utilizes the `Setting` class from Elasticsearch's common settings module. The code appears to be part of a larger system designed to verify the correctness of Elasticsearch configuration settings during development</t>
        </is>
      </c>
      <c r="M264" t="n">
        <v>0.0028</v>
      </c>
      <c r="N264" t="n">
        <v>0.026</v>
      </c>
      <c r="O264" t="n">
        <v>0.073</v>
      </c>
    </row>
    <row r="265">
      <c r="A265" t="inlineStr">
        <is>
          <t>crate</t>
        </is>
      </c>
      <c r="B265" t="inlineStr">
        <is>
          <t>server/src/testFixtures/java/org/elasticsearch/test/BackgroundIndexer.java</t>
        </is>
      </c>
      <c r="C265">
        <f>HYPERLINK("https://github.com/crate/crate/blob/master/server/src/testFixtures/java/org/elasticsearch/test/BackgroundIndexer.java")</f>
        <v/>
      </c>
      <c r="D265" t="inlineStr">
        <is>
          <t>The provided code is a Java class that tests database connectivity using JDBC. It uses assertions from AssertJ to verify that the connection can be established and that data can be retrieved from a SQL query. The complexity of the implementation is O(1) as it involves basic operations such as establishing a connection and executing a prepared statement. The comments indicate that the implementation is part of a larger project focused on testing</t>
        </is>
      </c>
      <c r="E265" t="n">
        <v>0.0025</v>
      </c>
      <c r="F265" t="n">
        <v>0.0488</v>
      </c>
      <c r="G265" t="n">
        <v>0.1034</v>
      </c>
      <c r="H265" t="inlineStr">
        <is>
          <t>The repository contains backend software components that implement core algorithms using Java SQL operations. The complexity is high due to the extensive use of database interactions and assertions.</t>
        </is>
      </c>
      <c r="I265" t="n">
        <v>0.008800000000000001</v>
      </c>
      <c r="J265" t="n">
        <v>0.2222</v>
      </c>
      <c r="K265" t="n">
        <v>0.372</v>
      </c>
      <c r="L265" t="inlineStr">
        <is>
          <t>This Java test class uses assertions from AssertJ to verify that SQL queries return expected results when executed against a database connection. The `testQuery` method demonstrates how to establish a connection using JDBC, prepare a statement, execute it, retrieve the result set, and assert the correctness of the data returned.</t>
        </is>
      </c>
      <c r="M265" t="n">
        <v>0.0044</v>
      </c>
      <c r="N265" t="n">
        <v>0.06900000000000001</v>
      </c>
      <c r="O265" t="n">
        <v>0.123</v>
      </c>
    </row>
    <row r="266">
      <c r="A266" t="inlineStr">
        <is>
          <t>crate</t>
        </is>
      </c>
      <c r="B266" t="inlineStr">
        <is>
          <t>server/src/testFixtures/java/org/elasticsearch/test/DummyShardLock.java</t>
        </is>
      </c>
      <c r="C266">
        <f>HYPERLINK("https://github.com/crate/crate/blob/master/server/src/testFixtures/java/org/elasticsearch/test/DummyShardLock.java")</f>
        <v/>
      </c>
      <c r="D266" t="inlineStr">
        <is>
          <t>The provided code defines a `DummyShardLock` class within the `org.elasticsearch.test` package. This class extends the abstract `ShardLock` interface but provides no actual implementation. It is intended solely for testing purposes, as it does not perform any locking operations. The class includes comments explaining its purpose and usage, along with metadata such as licensing details and complexity metrics.</t>
        </is>
      </c>
      <c r="E266" t="n">
        <v>0.0038</v>
      </c>
      <c r="F266" t="n">
        <v>0.0896</v>
      </c>
      <c r="G266" t="n">
        <v>0.0775</v>
      </c>
      <c r="H266" t="inlineStr">
        <is>
          <t>The provided code defines a `DummyShardLock` class within the `org.elasticsearch.test` package. This class extends a base `ShardLock` implementation but provides no actual locking behavior; it is intended solely for testing purposes. The README indicates that this repository contains backend software components and mentions implementing core algorithms, though the complexity and comments do not provide enough detail about its specific functionalities. The code</t>
        </is>
      </c>
      <c r="I266" t="n">
        <v>0.0042</v>
      </c>
      <c r="J266" t="n">
        <v>0.1389</v>
      </c>
      <c r="K266" t="n">
        <v>0.2776</v>
      </c>
      <c r="L266" t="inlineStr">
        <is>
          <t>The `DummyShardLock` class extends `ShardLock` and provides a no-op implementation for testing purposes. It is designed to simulate the locking mechanism used during shard recovery without actually acquiring any locks, which allows for easier testing scenarios where lock management is not critical.</t>
        </is>
      </c>
      <c r="M266" t="n">
        <v>0.0044</v>
      </c>
      <c r="N266" t="n">
        <v>0.0392</v>
      </c>
      <c r="O266" t="n">
        <v>0.1316</v>
      </c>
    </row>
    <row r="267">
      <c r="A267" t="inlineStr">
        <is>
          <t>crate</t>
        </is>
      </c>
      <c r="B267" t="inlineStr">
        <is>
          <t>server/src/testFixtures/java/org/elasticsearch/test/MockLogAppender.java</t>
        </is>
      </c>
      <c r="C267">
        <f>HYPERLINK("https://github.com/crate/crate/blob/master/server/src/testFixtures/java/org/elasticsearch/test/MockLogAppender.java")</f>
        <v/>
      </c>
      <c r="D267" t="inlineStr">
        <is>
          <t>The code appears to be part of a test suite for Elasticsearch, specifically focusing on testing core algorithms. It uses AssertJ for assertions and includes a simple test case that checks if a list of strings matches a regular expression pattern. The complexity is O(N), where N is the number of elements in the list being tested against the regex pattern.</t>
        </is>
      </c>
      <c r="E267" t="n">
        <v>0.0036</v>
      </c>
      <c r="F267" t="n">
        <v>0.0571</v>
      </c>
      <c r="G267" t="n">
        <v>0.1128</v>
      </c>
      <c r="H267" t="inlineStr">
        <is>
          <t>The code implements core algorithms and tests them using assertions. It includes logging and uses regular expressions. The complexity is O(N) due to potential loops or recursive operations within the algorithms.</t>
        </is>
      </c>
      <c r="I267" t="n">
        <v>0.0141</v>
      </c>
      <c r="J267" t="n">
        <v>0.15</v>
      </c>
      <c r="K267" t="n">
        <v>0.3064</v>
      </c>
      <c r="L267" t="inlineStr">
        <is>
          <t>This Java test class uses AssertJ assertions to verify that certain methods return expected results when given various input patterns. The `testPatternMatching` method tests multiple regular expressions against different strings to ensure they match as intended.</t>
        </is>
      </c>
      <c r="M267" t="n">
        <v>0.0052</v>
      </c>
      <c r="N267" t="n">
        <v>0.0455</v>
      </c>
      <c r="O267" t="n">
        <v>0.0926</v>
      </c>
    </row>
    <row r="268">
      <c r="A268" t="inlineStr">
        <is>
          <t>crate</t>
        </is>
      </c>
      <c r="B268" t="inlineStr">
        <is>
          <t>server/src/testFixtures/java/org/elasticsearch/test/AbstractDiffableWireSerializationTestCase.java</t>
        </is>
      </c>
      <c r="C268">
        <f>HYPERLINK("https://github.com/crate/crate/blob/master/server/src/testFixtures/java/org/elasticsearch/test/AbstractDiffableWireSerializationTestCase.java")</f>
        <v/>
      </c>
      <c r="D268" t="inlineStr">
        <is>
          <t>The provided code defines a class `Diff` that implements the `Diffable&lt;Diff&gt;` interface from the Elasticsearch library. It includes methods for reading and writing diffs using the `Writeable.Reader` interface. The complexity of the implementation is O(1) since it involves basic operations like reading and writing data structures. This class is part of the Elasticsearch test package and is used for handling cluster differences in</t>
        </is>
      </c>
      <c r="E268" t="n">
        <v>0.0038</v>
      </c>
      <c r="F268" t="n">
        <v>0.0541</v>
      </c>
      <c r="G268" t="n">
        <v>0.1481</v>
      </c>
      <c r="H268" t="inlineStr">
        <is>
          <t>This repository contains backend software components that implement core algorithms. The complexity of these implementations is O(N), indicating linear time complexity. The README provides general information about the project's purpose and structure.</t>
        </is>
      </c>
      <c r="I268" t="n">
        <v>0.0083</v>
      </c>
      <c r="J268" t="n">
        <v>0.2381</v>
      </c>
      <c r="K268" t="n">
        <v>0.2404</v>
      </c>
      <c r="L268" t="inlineStr">
        <is>
          <t>The provided Java code defines a class `Diff` that represents a difference between two cluster states. It includes methods for reading and writing diffs using the `Writeable.Reader` interface, which allows for efficient serialization and deserialization of diff objects. The class also implements the `Diffable` interface, indicating that instances can be converted into their serialized form and back. This implementation supports the creation of test cases</t>
        </is>
      </c>
      <c r="M268" t="n">
        <v>0.0037</v>
      </c>
      <c r="N268" t="n">
        <v>0.0541</v>
      </c>
      <c r="O268" t="n">
        <v>0.146</v>
      </c>
    </row>
    <row r="269">
      <c r="A269" t="inlineStr">
        <is>
          <t>crate</t>
        </is>
      </c>
      <c r="B269" t="inlineStr">
        <is>
          <t>server/src/testFixtures/java/org/elasticsearch/test/PosixPermissionsResetter.java</t>
        </is>
      </c>
      <c r="C269">
        <f>HYPERLINK("https://github.com/crate/crate/blob/master/server/src/testFixtures/java/org/elasticsearch/test/PosixPermissionsResetter.java")</f>
        <v/>
      </c>
      <c r="D269" t="inlineStr">
        <is>
          <t>The provided code is part of an Elasticsearch test suite that uses AssertJ assertions to verify the correctness of various functionalities within the Elasticsearch framework. It includes methods for checking file attributes using Java's NIO package and asserting conditions related to these checks. The complexity of the implementation is O(N), where N represents the number of operations performed during testing. The comments indicate that the code implements core algorithms used in the</t>
        </is>
      </c>
      <c r="E269" t="n">
        <v>0.0059</v>
      </c>
      <c r="F269" t="n">
        <v>0.0488</v>
      </c>
      <c r="G269" t="n">
        <v>0.2192</v>
      </c>
      <c r="H269" t="inlineStr">
        <is>
          <t>The repository contains backend software components that implement core algorithms. The complexity is O(N), indicating linear time complexity. The README provides basic information about the project's purpose and structure.</t>
        </is>
      </c>
      <c r="I269" t="n">
        <v>0.008500000000000001</v>
      </c>
      <c r="J269" t="n">
        <v>0.2051</v>
      </c>
      <c r="K269" t="n">
        <v>0.3125</v>
      </c>
      <c r="L269" t="inlineStr">
        <is>
          <t>This Java test class uses AssertJ assertions to verify that certain methods return expected results when given specific input parameters. The `Files` and `PosixFileAttributes` classes are used to manipulate files and retrieve their attributes, respectively. The tests cover various scenarios such as checking if a directory exists, retrieving file size, and verifying file permissions.</t>
        </is>
      </c>
      <c r="M269" t="n">
        <v>0.004</v>
      </c>
      <c r="N269" t="n">
        <v>0.0645</v>
      </c>
      <c r="O269" t="n">
        <v>0.119</v>
      </c>
    </row>
    <row r="270">
      <c r="A270" t="inlineStr">
        <is>
          <t>crate</t>
        </is>
      </c>
      <c r="B270" t="inlineStr">
        <is>
          <t>server/src/testFixtures/java/org/elasticsearch/test/TestCustomMetadata.java</t>
        </is>
      </c>
      <c r="C270">
        <f>HYPERLINK("https://github.com/crate/crate/blob/master/server/src/testFixtures/java/org/elasticsearch/test/TestCustomMetadata.java")</f>
        <v/>
      </c>
      <c r="D270" t="inlineStr">
        <is>
          <t>The provided Java code snippet appears to be part of an Elasticsearch project, specifically within the `org.elasticsearch.test` package. It includes comments indicating that it's licensed under the Apache License, version 2.0. The code defines a class without any implementation details but mentions its purpose as being related to testing and implementing core algorithms within the Elasticsearch framework. The complexity level is described as O(N), suggesting</t>
        </is>
      </c>
      <c r="E270" t="n">
        <v>0.0033</v>
      </c>
      <c r="F270" t="n">
        <v>0.0513</v>
      </c>
      <c r="G270" t="n">
        <v>0.2304</v>
      </c>
      <c r="H270" t="inlineStr">
        <is>
          <t>This repository contains backend software components that implement core algorithms. The complexity of these implementations is O(N), indicating linear time complexity relative to the input size. The README provides details about the project's licensing, structure, and purpose.</t>
        </is>
      </c>
      <c r="I270" t="n">
        <v>0.0071</v>
      </c>
      <c r="J270" t="n">
        <v>0.2128</v>
      </c>
      <c r="K270" t="n">
        <v>0.2294</v>
      </c>
      <c r="L270" t="inlineStr">
        <is>
          <t>The provided Java code defines a test package within the Elasticsearch framework that includes classes related to testing Elasticsearch cluster changes. The `AbstractNamedDiffable` class serves as a base class for named diffables used in Elasticsearch's cluster management system. It provides methods for creating and parsing these diffables from JSON strings. The code also includes utility functions for handling exceptions and managing input/output operations.</t>
        </is>
      </c>
      <c r="M270" t="n">
        <v>0.0029</v>
      </c>
      <c r="N270" t="n">
        <v>0.0548</v>
      </c>
      <c r="O270" t="n">
        <v>0.0741</v>
      </c>
    </row>
    <row r="271">
      <c r="A271" t="inlineStr">
        <is>
          <t>crate</t>
        </is>
      </c>
      <c r="B271" t="inlineStr">
        <is>
          <t>server/src/testFixtures/java/org/elasticsearch/test/VersionUtils.java</t>
        </is>
      </c>
      <c r="C271">
        <f>HYPERLINK("https://github.com/crate/crate/blob/master/server/src/testFixtures/java/org/elasticsearch/test/VersionUtils.java")</f>
        <v/>
      </c>
      <c r="D271" t="inlineStr">
        <is>
          <t>The provided Java code defines a class `TestUtils` within the package `org.elasticsearch.test`. This class includes methods for generating random data, sorting lists, and performing other utility operations. The complexity of these operations is O(N), where N represents the size of the input list. The comments indicate that the implementation focuses on core algorithms and provides tools for testing purposes. The code size is approximately 1</t>
        </is>
      </c>
      <c r="E271" t="n">
        <v>0.0037</v>
      </c>
      <c r="F271" t="n">
        <v>0.1053</v>
      </c>
      <c r="G271" t="n">
        <v>0.146</v>
      </c>
      <c r="H271" t="inlineStr">
        <is>
          <t>This repository contains backend software components that implement core algorithms. The complexity of these implementations varies depending on the specific algorithm being used, but it generally ranges from linear (O(N)) to exponential (O(2^N)). The code size is approximately 1000 lines.</t>
        </is>
      </c>
      <c r="I271" t="n">
        <v>0.0061</v>
      </c>
      <c r="J271" t="n">
        <v>0.1569</v>
      </c>
      <c r="K271" t="n">
        <v>0.1786</v>
      </c>
      <c r="L271" t="inlineStr">
        <is>
          <t>The code provides utility functions for testing purposes within the Elasticsearch project. It includes methods for generating random data, sorting lists, and filtering collections based on optional conditions. The implementation complexity is moderate, with a time complexity of O(N), where N is the size of the input list. The code uses Java's Stream API for efficient collection processing.</t>
        </is>
      </c>
      <c r="M271" t="n">
        <v>0.0031</v>
      </c>
      <c r="N271" t="n">
        <v>0.0588</v>
      </c>
      <c r="O271" t="n">
        <v>0.1154</v>
      </c>
    </row>
    <row r="272">
      <c r="A272" t="inlineStr">
        <is>
          <t>crate</t>
        </is>
      </c>
      <c r="B272" t="inlineStr">
        <is>
          <t>server/src/testFixtures/java/org/elasticsearch/test/AbstractWireTestCase.java</t>
        </is>
      </c>
      <c r="C272">
        <f>HYPERLINK("https://github.com/crate/crate/blob/master/server/src/testFixtures/java/org/elasticsearch/test/AbstractWireTestCase.java")</f>
        <v/>
      </c>
      <c r="D272" t="inlineStr">
        <is>
          <t>The provided code appears to be part of a test suite for Elasticsearch, specifically focusing on assertions using AssertJ. It includes a method that uses `assertThat` from AssertJ to verify certain conditions related to version numbers and collections. The complexity of the implementation is O(1) as it involves simple comparisons and operations on fixed-size data structures like arrays and lists. The comments indicate that this code is</t>
        </is>
      </c>
      <c r="E272" t="n">
        <v>0.0027</v>
      </c>
      <c r="F272" t="n">
        <v>0.0519</v>
      </c>
      <c r="G272" t="n">
        <v>0.1439</v>
      </c>
      <c r="H272" t="inlineStr">
        <is>
          <t>This repository contains backend software components that implement core algorithms. The complexity of the implementation is O(N), indicating linear time complexity. The README provides details about the project's licensing, structure, and purpose.</t>
        </is>
      </c>
      <c r="I272" t="n">
        <v>0.0083</v>
      </c>
      <c r="J272" t="n">
        <v>0.2381</v>
      </c>
      <c r="K272" t="n">
        <v>0.2404</v>
      </c>
      <c r="L272" t="inlineStr">
        <is>
          <t>The provided code is part of a test suite for Elasticsearch, specifically focusing on testing version-related functionalities within the `org.elasticsearch` package. It includes assertions using AssertJ to verify that certain methods return expected versions based on input parameters. The code uses Java's `Collections` class for creating immutable collections and handles potential exceptions such as `IOException`. The overall complexity is O(1), making it efficient for</t>
        </is>
      </c>
      <c r="M272" t="n">
        <v>0.0028</v>
      </c>
      <c r="N272" t="n">
        <v>0.0526</v>
      </c>
      <c r="O272" t="n">
        <v>0.0735</v>
      </c>
    </row>
    <row r="273">
      <c r="A273" t="inlineStr">
        <is>
          <t>crate</t>
        </is>
      </c>
      <c r="B273" t="inlineStr">
        <is>
          <t>server/src/testFixtures/java/org/elasticsearch/test/TestCluster.java</t>
        </is>
      </c>
      <c r="C273">
        <f>HYPERLINK("https://github.com/crate/crate/blob/master/server/src/testFixtures/java/org/elasticsearch/test/TestCluster.java")</f>
        <v/>
      </c>
      <c r="D273" t="inlineStr">
        <is>
          <t>The provided code is part of a test suite for Elasticsearch, specifically focusing on testing Lucene integration within CrateDB. It includes assertions using AssertJ to verify certain conditions related to time values and rare events during tests. The complexity is O(N), indicating that it involves processing data elements linearly. The comments suggest that the implementation focuses on core algorithmic correctness. The code size is approximately 10</t>
        </is>
      </c>
      <c r="E273" t="n">
        <v>0.0033</v>
      </c>
      <c r="F273" t="n">
        <v>0.0533</v>
      </c>
      <c r="G273" t="n">
        <v>0.1449</v>
      </c>
      <c r="H273" t="inlineStr">
        <is>
          <t>Contains backend software components implementing core algorithms. Complexity is O(N).</t>
        </is>
      </c>
      <c r="I273" t="n">
        <v>0.0251</v>
      </c>
      <c r="J273" t="n">
        <v>0.3158</v>
      </c>
      <c r="K273" t="n">
        <v>0.3117</v>
      </c>
      <c r="L273" t="inlineStr">
        <is>
          <t>The code implements unit tests for Elasticsearch's Crate Lucene integration using AssertJ assertions. It includes test cases that verify various functionalities such as indexing documents, querying data, and handling time values. The code uses rare() method from CrateLuceneTestCase for probabilistic testing scenarios.</t>
        </is>
      </c>
      <c r="M273" t="n">
        <v>0.0052</v>
      </c>
      <c r="N273" t="n">
        <v>0.1176</v>
      </c>
      <c r="O273" t="n">
        <v>0.1316</v>
      </c>
    </row>
    <row r="274">
      <c r="A274" t="inlineStr">
        <is>
          <t>crate</t>
        </is>
      </c>
      <c r="B274" t="inlineStr">
        <is>
          <t>server/src/testFixtures/java/org/elasticsearch/test/EqualsHashCodeTestUtils.java</t>
        </is>
      </c>
      <c r="C274">
        <f>HYPERLINK("https://github.com/crate/crate/blob/master/server/src/testFixtures/java/org/elasticsearch/test/EqualsHashCodeTestUtils.java")</f>
        <v/>
      </c>
      <c r="D274" t="inlineStr">
        <is>
          <t>The provided Java code defines a utility class `TestUtils` within the package `org.elasticsearch.test`. This class includes several methods for performing common tests and assertions related to Elasticsearch-related functionalities. The key features include:
1. **Assertions**: Methods like `assertThat()` from AssertJ library are used to verify expected outcomes in test cases.
2. **I/O Handling**: A method to handle IOExceptions</t>
        </is>
      </c>
      <c r="E274" t="n">
        <v>0.0038</v>
      </c>
      <c r="F274" t="n">
        <v>0.058</v>
      </c>
      <c r="G274" t="n">
        <v>0.1163</v>
      </c>
      <c r="H274" t="inlineStr">
        <is>
          <t>This repository contains backend software components implementing core algorithms. The complexity is O(N), indicating linear time performance. The README provides details about the project's structure and purpose.</t>
        </is>
      </c>
      <c r="I274" t="n">
        <v>0.009900000000000001</v>
      </c>
      <c r="J274" t="n">
        <v>0.2703</v>
      </c>
      <c r="K274" t="n">
        <v>0.3758</v>
      </c>
      <c r="L274" t="inlineStr">
        <is>
          <t>The utility class `org.elasticsearch.test.TestUtils` provides methods for making assertions about test cases, ensuring they pass according to expected outcomes. It includes a method `assertThat` from AssertJ library for performing assertions, which helps in verifying conditions during unit tests. The class is designed to be used within the Elasticsearch project for maintaining consistent testing practices across different modules.</t>
        </is>
      </c>
      <c r="M274" t="n">
        <v>0</v>
      </c>
      <c r="N274" t="n">
        <v>0.0294</v>
      </c>
      <c r="O274" t="n">
        <v>0.0388</v>
      </c>
    </row>
    <row r="275">
      <c r="A275" t="inlineStr">
        <is>
          <t>crate</t>
        </is>
      </c>
      <c r="B275" t="inlineStr">
        <is>
          <t>server/src/testFixtures/java/org/elasticsearch/test/IntegTestCase.java</t>
        </is>
      </c>
      <c r="C275">
        <f>HYPERLINK("https://github.com/crate/crate/blob/master/server/src/testFixtures/java/org/elasticsearch/test/IntegTestCase.java")</f>
        <v/>
      </c>
      <c r="D275" t="inlineStr">
        <is>
          <t>The code implements core algorithms without providing detailed comments or explanations about its complexity or usage. It does not specify any particular data structures or operations it performs. The README indicates that this is part of a larger project containing backend software components.</t>
        </is>
      </c>
      <c r="E275" t="n">
        <v>0.01</v>
      </c>
      <c r="F275" t="n">
        <v>0.0784</v>
      </c>
      <c r="G275" t="n">
        <v>0.3235</v>
      </c>
      <c r="H275" t="inlineStr">
        <is>
          <t>Implements core algorithms for backend software components. Complexity is O(N).</t>
        </is>
      </c>
      <c r="I275" t="n">
        <v>0.0251</v>
      </c>
      <c r="J275" t="n">
        <v>0.2105</v>
      </c>
      <c r="K275" t="n">
        <v>0.3117</v>
      </c>
      <c r="L275" t="inlineStr">
        <is>
          <t>This code implements core algorithms for backend software components, focusing on efficient data processing and manipulation. It uses a time complexity of O(N), making it suitable for handling large datasets. The implementation includes comments that describe the core functionalities, ensuring clarity and ease of maintenance.</t>
        </is>
      </c>
      <c r="M275" t="n">
        <v>0.0109</v>
      </c>
      <c r="N275" t="n">
        <v>0.2222</v>
      </c>
      <c r="O275" t="n">
        <v>0.2564</v>
      </c>
    </row>
    <row r="276">
      <c r="A276" t="inlineStr">
        <is>
          <t>crate</t>
        </is>
      </c>
      <c r="B276" t="inlineStr">
        <is>
          <t>server/src/testFixtures/java/org/elasticsearch/test/AbstractWireSerializingTestCase.java</t>
        </is>
      </c>
      <c r="C276">
        <f>HYPERLINK("https://github.com/crate/crate/blob/master/server/src/testFixtures/java/org/elasticsearch/test/AbstractWireSerializingTestCase.java")</f>
        <v/>
      </c>
      <c r="D276" t="inlineStr">
        <is>
          <t>The provided code defines an abstract base class `AbstractWireSerializingTestCase` that extends another class `T`. This class implements methods for serializing objects using the `Writeable` interface, which is commonly used in Elasticsearch for network communication and data serialization. The class includes methods for reading from a stream (`readFrom`) and writing to a stream (`writeTo`). It also provides utility methods for handling</t>
        </is>
      </c>
      <c r="E276" t="n">
        <v>0.004</v>
      </c>
      <c r="F276" t="n">
        <v>0.0882</v>
      </c>
      <c r="G276" t="n">
        <v>0.1515</v>
      </c>
      <c r="H276" t="inlineStr">
        <is>
          <t>The repository contains backend software components that implement core algorithms. The complexity is high due to the extensive number of lines of code, which exceeds typical project sizes. The implementation includes various classes and methods designed to perform complex operations efficiently.</t>
        </is>
      </c>
      <c r="I276" t="n">
        <v>0.0059</v>
      </c>
      <c r="J276" t="n">
        <v>0.1633</v>
      </c>
      <c r="K276" t="n">
        <v>0.177</v>
      </c>
      <c r="L276" t="inlineStr">
        <is>
          <t>The code defines an abstract base class `AbstractWireSerializingTestCase` that serves as a template for testing serialization and deserialization methods using the `Writeable` interface in Elasticsearch. It includes methods for setting up test data, serializing objects, and verifying their correctness after deserialization. The class uses versioning to ensure compatibility across different versions of the system.</t>
        </is>
      </c>
      <c r="M276" t="n">
        <v>0.0034</v>
      </c>
      <c r="N276" t="n">
        <v>0.0323</v>
      </c>
      <c r="O276" t="n">
        <v>0.0794</v>
      </c>
    </row>
    <row r="277">
      <c r="A277" t="inlineStr">
        <is>
          <t>crate</t>
        </is>
      </c>
      <c r="B277" t="inlineStr">
        <is>
          <t>server/src/testFixtures/java/org/elasticsearch/test/NotEqualMessageBuilder.java</t>
        </is>
      </c>
      <c r="C277">
        <f>HYPERLINK("https://github.com/crate/crate/blob/master/server/src/testFixtures/java/org/elasticsearch/test/NotEqualMessageBuilder.java")</f>
        <v/>
      </c>
      <c r="D277" t="inlineStr">
        <is>
          <t>The provided Java code defines a class `CoreAlgorithms` within the package `org.elasticsearch.test`. This class appears to be part of a larger system designed for testing purposes, likely involving Elasticsearch. The class includes methods that implement core algorithms, which are used to process data efficiently. It uses Java's generics and annotations like `@Nullable` to handle potential null values gracefully. The complexity of the implementation</t>
        </is>
      </c>
      <c r="E277" t="n">
        <v>0.0038</v>
      </c>
      <c r="F277" t="n">
        <v>0.1081</v>
      </c>
      <c r="G277" t="n">
        <v>0.1852</v>
      </c>
      <c r="H277" t="inlineStr">
        <is>
          <t>This repository contains backend software components that implement core algorithms. The complexity of these implementations is O(N), indicating linear time complexity relative to the size of the input data. The comments provide details about the implementation's purpose and functionality.</t>
        </is>
      </c>
      <c r="I277" t="n">
        <v>0.0067</v>
      </c>
      <c r="J277" t="n">
        <v>0.2041</v>
      </c>
      <c r="K277" t="n">
        <v>0.2252</v>
      </c>
      <c r="L277" t="inlineStr">
        <is>
          <t>This Java class provides utility methods for testing purposes within the Elasticsearch framework. It includes methods for creating test data structures such as lists, maps, and trees, which can be used in various tests across different modules of the system. The class uses annotations from `jspecify` to ensure type safety during compilation.</t>
        </is>
      </c>
      <c r="M277" t="n">
        <v>0.0042</v>
      </c>
      <c r="N277" t="n">
        <v>0.0667</v>
      </c>
      <c r="O277" t="n">
        <v>0.1613</v>
      </c>
    </row>
    <row r="278">
      <c r="A278" t="inlineStr">
        <is>
          <t>crate</t>
        </is>
      </c>
      <c r="B278" t="inlineStr">
        <is>
          <t>server/src/testFixtures/java/org/elasticsearch/test/MockKeywordPlugin.java</t>
        </is>
      </c>
      <c r="C278">
        <f>HYPERLINK("https://github.com/crate/crate/blob/master/server/src/testFixtures/java/org/elasticsearch/test/MockKeywordPlugin.java")</f>
        <v/>
      </c>
      <c r="D278" t="inlineStr">
        <is>
          <t>The provided code defines a custom `MockTokenizer` class that extends Lucene's `MockTokenizer`, which is used for testing purposes. It also includes a `TokenizerFactory` implementation named `MockTokenizerFactory`. The code is part of a larger project focused on Elasticsearch, where it serves as a mock tokenizer factory for testing purposes within the Elasticsearch framework.</t>
        </is>
      </c>
      <c r="E278" t="n">
        <v>0</v>
      </c>
      <c r="F278" t="n">
        <v>0.0328</v>
      </c>
      <c r="G278" t="n">
        <v>0.0806</v>
      </c>
      <c r="H278" t="inlineStr">
        <is>
          <t>The code implements core algorithms for a backend system. It includes classes such as `MockTokenizer` and `TokenizerFactory`, which are part of the Lucene library used for text analysis. The complexity is O(N), indicating that it processes data linearly based on input size. The comments describe its implementation of core algorithms, while the README provides general information about the repository's contents.</t>
        </is>
      </c>
      <c r="I278" t="n">
        <v>0.0071</v>
      </c>
      <c r="J278" t="n">
        <v>0.0857</v>
      </c>
      <c r="K278" t="n">
        <v>0.1515</v>
      </c>
      <c r="L278" t="inlineStr">
        <is>
          <t>The provided Java code defines a test class `MockTokenizerFactory` within the Elasticsearch project's testing package. It extends `TokenizerFactory`, which is used to create instances of `Tokenizer`. The factory uses `MockTokenizer` from Lucene as the underlying tokenizer implementation. The class includes methods to initialize and configure the tokenizer based on parameters passed during creation. This setup allows for easy testing of analysis components without</t>
        </is>
      </c>
      <c r="M278" t="n">
        <v>0.0034</v>
      </c>
      <c r="N278" t="n">
        <v>0.0556</v>
      </c>
      <c r="O278" t="n">
        <v>0.1111</v>
      </c>
    </row>
    <row r="279">
      <c r="A279" t="inlineStr">
        <is>
          <t>crate</t>
        </is>
      </c>
      <c r="B279" t="inlineStr">
        <is>
          <t>server/src/testFixtures/java/org/elasticsearch/test/ClusterServiceUtils.java</t>
        </is>
      </c>
      <c r="C279">
        <f>HYPERLINK("https://github.com/crate/crate/blob/master/server/src/testFixtures/java/org/elasticsearch/test/ClusterServiceUtils.java")</f>
        <v/>
      </c>
      <c r="D279" t="inlineStr">
        <is>
          <t>The provided code appears to be part of a test suite for Elasticsearch, specifically focusing on testing core algorithms within the Elasticsearch framework. The code includes imports from JUnit for assertions and Java's concurrency utilities for handling asynchronous operations. It uses a `CountDownLatch` to synchronize threads and an `AtomicReference` to track results during tests. The comments indicate that the implementation focuses on core algorithms, which suggests it</t>
        </is>
      </c>
      <c r="E279" t="n">
        <v>0.0032</v>
      </c>
      <c r="F279" t="n">
        <v>0.0526</v>
      </c>
      <c r="G279" t="n">
        <v>0.1439</v>
      </c>
      <c r="H279" t="inlineStr">
        <is>
          <t>This repository contains backend software components implementing core algorithms. The complexity is O(N), indicating linear time complexity. The README provides basic information about the project's purpose and structure.</t>
        </is>
      </c>
      <c r="I279" t="n">
        <v>0.0095</v>
      </c>
      <c r="J279" t="n">
        <v>0.2632</v>
      </c>
      <c r="K279" t="n">
        <v>0.372</v>
      </c>
      <c r="L279" t="inlineStr">
        <is>
          <t>The provided code appears to be part of a test suite within an Elasticsearch project. It includes methods for testing various functionalities related to concurrent execution using Java's `CountDownLatch` and `AtomicReference`. The code uses JUnit assertions to verify expected outcomes during these tests.</t>
        </is>
      </c>
      <c r="M279" t="n">
        <v>0.0043</v>
      </c>
      <c r="N279" t="n">
        <v>0.0769</v>
      </c>
      <c r="O279" t="n">
        <v>0.08699999999999999</v>
      </c>
    </row>
    <row r="280">
      <c r="A280" t="inlineStr">
        <is>
          <t>crate</t>
        </is>
      </c>
      <c r="B280" t="inlineStr">
        <is>
          <t>server/src/testFixtures/java/org/elasticsearch/test/AbstractDiffableSerializationTestCase.java</t>
        </is>
      </c>
      <c r="C280">
        <f>HYPERLINK("https://github.com/crate/crate/blob/master/server/src/testFixtures/java/org/elasticsearch/test/AbstractDiffableSerializationTestCase.java")</f>
        <v/>
      </c>
      <c r="D280" t="inlineStr">
        <is>
          <t>The provided code defines a class `Diff` that represents changes between two versions of a cluster state using Diffable objects. It includes methods for reading and writing diffs to streams, as well as calculating differences between two states. The complexity of the implementation is O(N), where N is the number of elements being compared. The comments indicate that it implements core algorithms related to cluster state management.</t>
        </is>
      </c>
      <c r="E280" t="n">
        <v>0.0064</v>
      </c>
      <c r="F280" t="n">
        <v>0.0526</v>
      </c>
      <c r="G280" t="n">
        <v>0.2271</v>
      </c>
      <c r="H280" t="inlineStr">
        <is>
          <t>The code implements core algorithms for handling cluster diffs and diffables, using Java's `Writeable` interface for serialization and deserialization. It includes comments explaining its purpose and complexity, as well as a README describing its usage within the Elasticsearch project. The total size of the codebase is 1000 lines.</t>
        </is>
      </c>
      <c r="I280" t="n">
        <v>0.008999999999999999</v>
      </c>
      <c r="J280" t="n">
        <v>0.1053</v>
      </c>
      <c r="K280" t="n">
        <v>0.263</v>
      </c>
      <c r="L280" t="inlineStr">
        <is>
          <t>The provided Java code defines a package `org.elasticsearch.test` containing classes related to testing Elasticsearch cluster diffs. It includes a class `DiffTestUtil` that provides utility methods for working with diff objects, which represent changes between two cluster states. The code uses the `Diff` interface from the Elasticsearch library to handle these differences efficiently.</t>
        </is>
      </c>
      <c r="M280" t="n">
        <v>0</v>
      </c>
      <c r="N280" t="n">
        <v>0</v>
      </c>
      <c r="O280" t="n">
        <v>0.0403</v>
      </c>
    </row>
    <row r="281">
      <c r="A281" t="inlineStr">
        <is>
          <t>crate</t>
        </is>
      </c>
      <c r="B281" t="inlineStr">
        <is>
          <t>server/src/testFixtures/java/org/elasticsearch/test/ESTestCase.java</t>
        </is>
      </c>
      <c r="C281">
        <f>HYPERLINK("https://github.com/crate/crate/blob/master/server/src/testFixtures/java/org/elasticsearch/test/ESTestCase.java")</f>
        <v/>
      </c>
      <c r="D281" t="inlineStr">
        <is>
          <t>The provided Java code appears to be part of a test suite within the Elasticsearch project. It includes assertions using AssertJ to verify that certain conditions hold true during testing. The code uses Lucene's `TestUtil.nextInt()` method to generate random integers, which could be used as input values for tests related to indexing, searching, or other operations in Elasticsearch. The complexity of the implementation is O(N),</t>
        </is>
      </c>
      <c r="E281" t="n">
        <v>0</v>
      </c>
      <c r="F281" t="n">
        <v>0.0263</v>
      </c>
      <c r="G281" t="n">
        <v>0.073</v>
      </c>
      <c r="H281" t="inlineStr">
        <is>
          <t>This repository contains backend software components that implement core algorithms. The complexity of these implementations is O(N), indicating linear time complexity relative to the size of the input data. The code base has been initialized with a single commit containing the initial implementation.</t>
        </is>
      </c>
      <c r="I281" t="n">
        <v>0.0056</v>
      </c>
      <c r="J281" t="n">
        <v>0.1538</v>
      </c>
      <c r="K281" t="n">
        <v>0.1739</v>
      </c>
      <c r="L281" t="inlineStr">
        <is>
          <t>This Java test suite uses Lucene's `TestUtil` to generate random integers and asserts that they fall within expected ranges using AssertJ assertions. The tests cover various scenarios related to integer generation and validation.</t>
        </is>
      </c>
      <c r="M281" t="n">
        <v>0.0067</v>
      </c>
      <c r="N281" t="n">
        <v>0.09520000000000001</v>
      </c>
      <c r="O281" t="n">
        <v>0.1429</v>
      </c>
    </row>
    <row r="282">
      <c r="A282" t="inlineStr">
        <is>
          <t>crate</t>
        </is>
      </c>
      <c r="B282" t="inlineStr">
        <is>
          <t>server/src/testFixtures/java/org/elasticsearch/test/MockHttpTransport.java</t>
        </is>
      </c>
      <c r="C282">
        <f>HYPERLINK("https://github.com/crate/crate/blob/master/server/src/testFixtures/java/org/elasticsearch/test/MockHttpTransport.java")</f>
        <v/>
      </c>
      <c r="D282" t="inlineStr">
        <is>
          <t>The provided Java code defines a class `AbstractLifecycleComponent` within the package `org.elasticsearch.test`. This class extends `Object` and implements the `LifecycleAware` interface from the Elasticsearch library. It includes methods for initializing (`initialize()`), starting (`start()`), stopping (`stop()`), and closing (`close()`) lifecycle stages of the component. The class also provides accessors for retrieving the bound</t>
        </is>
      </c>
      <c r="E282" t="n">
        <v>0.0046</v>
      </c>
      <c r="F282" t="n">
        <v>0.0968</v>
      </c>
      <c r="G282" t="n">
        <v>0.121</v>
      </c>
      <c r="H282" t="inlineStr">
        <is>
          <t>This repository contains backend software components that implement core algorithms. The complexity of the implementation is O(N), indicating linear time complexity. The comments provide details about the algorithm's purpose, while the commits indicate the initial creation of the codebase. The total size of the codebase is 1000 lines.</t>
        </is>
      </c>
      <c r="I282" t="n">
        <v>0.005</v>
      </c>
      <c r="J282" t="n">
        <v>0.1379</v>
      </c>
      <c r="K282" t="n">
        <v>0.1667</v>
      </c>
      <c r="L282" t="inlineStr">
        <is>
          <t>The code defines a test class `AbstractLifecycleComponent` that extends `org.elasticsearch.common.component.AbstractLifecycleComponent`. It includes methods related to transport address binding and lifecycle management. The class provides basic functionality for setting up and managing a bound transport address during component initialization and shutdown processes.</t>
        </is>
      </c>
      <c r="M282" t="n">
        <v>0.0054</v>
      </c>
      <c r="N282" t="n">
        <v>0.0755</v>
      </c>
      <c r="O282" t="n">
        <v>0.0885</v>
      </c>
    </row>
    <row r="283">
      <c r="A283" t="inlineStr">
        <is>
          <t>crate</t>
        </is>
      </c>
      <c r="B283" t="inlineStr">
        <is>
          <t>server/src/testFixtures/java/org/elasticsearch/test/AbstractSerializingTestCase.java</t>
        </is>
      </c>
      <c r="C283">
        <f>HYPERLINK("https://github.com/crate/crate/blob/master/server/src/testFixtures/java/org/elasticsearch/test/AbstractSerializingTestCase.java")</f>
        <v/>
      </c>
      <c r="D283" t="inlineStr">
        <is>
          <t>The provided Java code defines a package `org.elasticsearch.test` that includes classes and methods related to testing Elasticsearch components. It uses various packages such as `java.io`, `java.util.function`, and `org.elasticsearch.common`. The code appears to be part of a larger project licensed under the Apache License 2.0. The complexity is O(N), indicating linear time complexity, which suggests it processes data</t>
        </is>
      </c>
      <c r="E283" t="n">
        <v>0.0032</v>
      </c>
      <c r="F283" t="n">
        <v>0.0541</v>
      </c>
      <c r="G283" t="n">
        <v>0.0775</v>
      </c>
      <c r="H283" t="inlineStr">
        <is>
          <t>This repository contains backend software components that implement core algorithms. The complexity of these implementations is O(N), indicating linear time complexity. The README provides details about the repository's purpose and structure.</t>
        </is>
      </c>
      <c r="I283" t="n">
        <v>0.008500000000000001</v>
      </c>
      <c r="J283" t="n">
        <v>0.2439</v>
      </c>
      <c r="K283" t="n">
        <v>0.2427</v>
      </c>
      <c r="L283" t="inlineStr">
        <is>
          <t>The provided Java code defines test utilities for Elasticsearch, including classes that handle serialization, deserialization, and validation of objects using `Writeable` interfaces. It includes methods for checking if strings are empty, comparing byte arrays, and verifying object equality based on their serialized form. The code also provides utility functions for reading from and writing to streams, which are essential for testing data persistence and network communication in Elasticsearch</t>
        </is>
      </c>
      <c r="M283" t="n">
        <v>0.0027</v>
      </c>
      <c r="N283" t="n">
        <v>0.0526</v>
      </c>
      <c r="O283" t="n">
        <v>0.07140000000000001</v>
      </c>
    </row>
    <row r="284">
      <c r="A284" t="inlineStr">
        <is>
          <t>crate</t>
        </is>
      </c>
      <c r="B284" t="inlineStr">
        <is>
          <t>server/src/testFixtures/java/org/elasticsearch/test/MockIndexEventListener.java</t>
        </is>
      </c>
      <c r="C284">
        <f>HYPERLINK("https://github.com/crate/crate/blob/master/server/src/testFixtures/java/org/elasticsearch/test/MockIndexEventListener.java")</f>
        <v/>
      </c>
      <c r="D284" t="inlineStr">
        <is>
          <t>The provided Java code defines a class within the `org.elasticsearch.test` package that appears to be part of a larger system related to testing Elasticsearch cluster routing logic. The class likely includes methods for handling shard routing data, possibly involving operations such as sorting, filtering, or manipulating shard routing objects. The complexity of the implementation is O(N), indicating it involves processing collections or arrays of elements. The comments suggest</t>
        </is>
      </c>
      <c r="E284" t="n">
        <v>0.0027</v>
      </c>
      <c r="F284" t="n">
        <v>0.0253</v>
      </c>
      <c r="G284" t="n">
        <v>0.1071</v>
      </c>
      <c r="H284" t="inlineStr">
        <is>
          <t>The repository contains backend software components that implement core algorithms. The complexity is O(N), indicating linear time complexity. The README provides basic information about the project's purpose and structure.</t>
        </is>
      </c>
      <c r="I284" t="n">
        <v>0.008500000000000001</v>
      </c>
      <c r="J284" t="n">
        <v>0.2051</v>
      </c>
      <c r="K284" t="n">
        <v>0.3125</v>
      </c>
      <c r="L284" t="inlineStr">
        <is>
          <t>The provided Java code defines a test class `TestShardRouting` within the `org.elasticsearch.test` package. It includes methods to verify the correctness of shard routing configurations using assertions. The class uses various utility classes from Elasticsearch's cluster routing module to create and manipulate shard routing objects. The tests focus on ensuring that the routing data is correctly initialized, updated, and compared during different scenarios.</t>
        </is>
      </c>
      <c r="M284" t="n">
        <v>0.0035</v>
      </c>
      <c r="N284" t="n">
        <v>0.0548</v>
      </c>
      <c r="O284" t="n">
        <v>0.1119</v>
      </c>
    </row>
    <row r="285">
      <c r="A285" t="inlineStr">
        <is>
          <t>crate</t>
        </is>
      </c>
      <c r="B285" t="inlineStr">
        <is>
          <t>server/src/testFixtures/java/org/elasticsearch/test/IndexSettingsModule.java</t>
        </is>
      </c>
      <c r="C285">
        <f>HYPERLINK("https://github.com/crate/crate/blob/master/server/src/testFixtures/java/org/elasticsearch/test/IndexSettingsModule.java")</f>
        <v/>
      </c>
      <c r="D285" t="inlineStr">
        <is>
          <t>The provided Java code defines a class `Test` within the package `org.elasticsearch.test`. The class appears to be part of a larger system designed for testing purposes related to Elasticsearch, which is an open-source search engine platform. Here's a concise summary of its functionality:
### Key Features:
1. **Package Declaration**: The code is part of the `org.elasticsearch.test` package, suggesting it is</t>
        </is>
      </c>
      <c r="E285" t="n">
        <v>0</v>
      </c>
      <c r="F285" t="n">
        <v>0.0274</v>
      </c>
      <c r="G285" t="n">
        <v>0.0379</v>
      </c>
      <c r="H285" t="inlineStr">
        <is>
          <t>This repository contains backend software components implementing core algorithms. The complexity is O(N), indicating linear time complexity, which means it scales proportionally with the size of the input data.</t>
        </is>
      </c>
      <c r="I285" t="n">
        <v>0.008500000000000001</v>
      </c>
      <c r="J285" t="n">
        <v>0.2105</v>
      </c>
      <c r="K285" t="n">
        <v>0.3125</v>
      </c>
      <c r="L285" t="inlineStr">
        <is>
          <t>This Java class provides utility methods for testing Elasticsearch-related functionalities such as index metadata validation and version checks. It includes methods to validate if a given set of indices matches expected versions and to compare two sets of indices based on their names and versions. The code uses basic data structures like `HashSet` and `Arrays`, and leverages Elasticsearch's `IndexMetadata` and `Version` classes for comparison.</t>
        </is>
      </c>
      <c r="M285" t="n">
        <v>0.0034</v>
      </c>
      <c r="N285" t="n">
        <v>0.08110000000000001</v>
      </c>
      <c r="O285" t="n">
        <v>0.1103</v>
      </c>
    </row>
    <row r="286">
      <c r="A286" t="inlineStr">
        <is>
          <t>crate</t>
        </is>
      </c>
      <c r="B286" t="inlineStr">
        <is>
          <t>server/src/testFixtures/java/org/elasticsearch/test/CorruptionUtils.java</t>
        </is>
      </c>
      <c r="C286">
        <f>HYPERLINK("https://github.com/crate/crate/blob/master/server/src/testFixtures/java/org/elasticsearch/test/CorruptionUtils.java")</f>
        <v/>
      </c>
      <c r="D286" t="inlineStr">
        <is>
          <t>The provided code is part of a test suite for Elasticsearch, specifically focusing on testing Lucene integration within CrateDB. It includes assertions using AssertJ to verify the correctness of certain operations related to Lucene indexing and querying. The code uses assumptions from CrateLuceneTestCase to ensure that tests run only when necessary conditions are met. The complexity of the implementation is O(N), indicating linear time complexity based on</t>
        </is>
      </c>
      <c r="E286" t="n">
        <v>0.0027</v>
      </c>
      <c r="F286" t="n">
        <v>0.0263</v>
      </c>
      <c r="G286" t="n">
        <v>0.1079</v>
      </c>
      <c r="H286" t="inlineStr">
        <is>
          <t>This repository contains backend software components that implement core algorithms. The complexity is O(N), indicating linear time complexity. The README provides basic information about the project's purpose and structure.</t>
        </is>
      </c>
      <c r="I286" t="n">
        <v>0.0092</v>
      </c>
      <c r="J286" t="n">
        <v>0.2564</v>
      </c>
      <c r="K286" t="n">
        <v>0.3683</v>
      </c>
      <c r="L286" t="inlineStr">
        <is>
          <t>The code appears to be part of a test suite for Elasticsearch's Crate Lucene integration tests. It includes assertions using AssertJ to verify that certain conditions hold true during testing scenarios involving Lucene indexing and querying within Elasticsearch. The code uses `CrateLuceneTestCase` for assumptions and basic assertions, ensuring that the tests run correctly under various conditions.</t>
        </is>
      </c>
      <c r="M286" t="n">
        <v>0.0033</v>
      </c>
      <c r="N286" t="n">
        <v>0.0308</v>
      </c>
      <c r="O286" t="n">
        <v>0.0781</v>
      </c>
    </row>
    <row r="287">
      <c r="A287" t="inlineStr">
        <is>
          <t>crate</t>
        </is>
      </c>
      <c r="B287" t="inlineStr">
        <is>
          <t>server/src/testFixtures/java/org/elasticsearch/test/engine/AssertingDirectoryReader.java</t>
        </is>
      </c>
      <c r="C287">
        <f>HYPERLINK("https://github.com/crate/crate/blob/master/server/src/testFixtures/java/org/elasticsearch/test/engine/AssertingDirectoryReader.java")</f>
        <v/>
      </c>
      <c r="D287" t="inlineStr">
        <is>
          <t>The code implements core algorithms without providing any details about their complexity, comments, commits, or size. It is licensed under the Apache License, version 2.0.</t>
        </is>
      </c>
      <c r="E287" t="n">
        <v>0.016</v>
      </c>
      <c r="F287" t="n">
        <v>0.1176</v>
      </c>
      <c r="G287" t="n">
        <v>0.1933</v>
      </c>
      <c r="H287" t="inlineStr">
        <is>
          <t>Implements core algorithms.</t>
        </is>
      </c>
      <c r="I287" t="n">
        <v>0.0215</v>
      </c>
      <c r="J287" t="n">
        <v>0.3636</v>
      </c>
      <c r="K287" t="n">
        <v>0.25</v>
      </c>
      <c r="L287" t="inlineStr">
        <is>
          <t>The provided code implements core algorithms for a backend software component, focusing on efficient data processing and manipulation. It processes large datasets using an O(N) complexity algorithm, leveraging existing comments and commit messages to guide implementation. The code size is 1000 lines, reflecting its importance within the repository's context as a foundational backend component.</t>
        </is>
      </c>
      <c r="M287" t="n">
        <v>0.008500000000000001</v>
      </c>
      <c r="N287" t="n">
        <v>0.09379999999999999</v>
      </c>
      <c r="O287" t="n">
        <v>0.2952</v>
      </c>
    </row>
    <row r="288">
      <c r="A288" t="inlineStr">
        <is>
          <t>crate</t>
        </is>
      </c>
      <c r="B288" t="inlineStr">
        <is>
          <t>server/src/testFixtures/java/org/elasticsearch/test/engine/ThrowingLeafReaderWrapper.java</t>
        </is>
      </c>
      <c r="C288">
        <f>HYPERLINK("https://github.com/crate/crate/blob/master/server/src/testFixtures/java/org/elasticsearch/test/engine/ThrowingLeafReaderWrapper.java")</f>
        <v/>
      </c>
      <c r="D288" t="inlineStr">
        <is>
          <t>The provided code snippet is part of an Elasticsearch test engine package. It includes a class that implements `FilterLeafReader` from Lucene's index API. This class likely filters documents based on certain criteria during indexing or search operations. The implementation uses binary document values to efficiently filter data. The complexity of the algorithm is O(N), where N represents the number of documents being processed. The comments indicate that</t>
        </is>
      </c>
      <c r="E288" t="n">
        <v>0.0032</v>
      </c>
      <c r="F288" t="n">
        <v>0.0519</v>
      </c>
      <c r="G288" t="n">
        <v>0.1079</v>
      </c>
      <c r="H288" t="inlineStr">
        <is>
          <t>The repository contains backend software components implementing core algorithms. The complexity is O(N), indicating linear time complexity. The README provides basic information about the project's purpose and structure.</t>
        </is>
      </c>
      <c r="I288" t="n">
        <v>0.008800000000000001</v>
      </c>
      <c r="J288" t="n">
        <v>0.2105</v>
      </c>
      <c r="K288" t="n">
        <v>0.3156</v>
      </c>
      <c r="L288" t="inlineStr">
        <is>
          <t>This Java package contains test classes for Elasticsearch's engine component, focusing on testing binary document values and filter leaf readers using Lucene libraries. The code complexity is moderate, with comments indicating implementation of core algorithms, and the total size is approximately 1000 lines.</t>
        </is>
      </c>
      <c r="M288" t="n">
        <v>0.0056</v>
      </c>
      <c r="N288" t="n">
        <v>0.1538</v>
      </c>
      <c r="O288" t="n">
        <v>0.2174</v>
      </c>
    </row>
    <row r="289">
      <c r="A289" t="inlineStr">
        <is>
          <t>crate</t>
        </is>
      </c>
      <c r="B289" t="inlineStr">
        <is>
          <t>server/src/testFixtures/java/org/elasticsearch/test/engine/MockEngineFactory.java</t>
        </is>
      </c>
      <c r="C289">
        <f>HYPERLINK("https://github.com/crate/crate/blob/master/server/src/testFixtures/java/org/elasticsearch/test/engine/MockEngineFactory.java")</f>
        <v/>
      </c>
      <c r="D289" t="inlineStr">
        <is>
          <t>The provided Java code defines a class `EngineTest` within the package `org.elasticsearch.test.engine`. This class appears to be part of a testing framework for Elasticsearch's engine component. The code imports necessary classes from Lucene and Elasticsearch libraries, including `FilterDirectoryReader`, `Engine`, and `EngineConfig`.
Here's a brief summary of its functionality:
1. **Package Declaration**: It declares that</t>
        </is>
      </c>
      <c r="E289" t="n">
        <v>0.004</v>
      </c>
      <c r="F289" t="n">
        <v>0.0597</v>
      </c>
      <c r="G289" t="n">
        <v>0.119</v>
      </c>
      <c r="H289" t="inlineStr">
        <is>
          <t>The repository contains backend software components that implement core algorithms. The complexity is O(N), indicating linear time complexity. The README provides details about the licensing and usage of the software.</t>
        </is>
      </c>
      <c r="I289" t="n">
        <v>0.008200000000000001</v>
      </c>
      <c r="J289" t="n">
        <v>0.2051</v>
      </c>
      <c r="K289" t="n">
        <v>0.3094</v>
      </c>
      <c r="L289" t="inlineStr">
        <is>
          <t>This Java class provides a test implementation for Lucene's `FilterDirectoryReader` within Elasticsearch's engine framework. It includes methods to create a filtered directory reader using various configurations and ensures that the filtering process works correctly during indexing and searching operations. The code is designed to be used as part of the Elasticsearch testing suite to validate index engine functionalities.</t>
        </is>
      </c>
      <c r="M289" t="n">
        <v>0.0037</v>
      </c>
      <c r="N289" t="n">
        <v>0.0882</v>
      </c>
      <c r="O289" t="n">
        <v>0.1538</v>
      </c>
    </row>
    <row r="290">
      <c r="A290" t="inlineStr">
        <is>
          <t>crate</t>
        </is>
      </c>
      <c r="B290" t="inlineStr">
        <is>
          <t>server/src/testFixtures/java/org/elasticsearch/test/engine/MockEngineSupport.java</t>
        </is>
      </c>
      <c r="C290">
        <f>HYPERLINK("https://github.com/crate/crate/blob/master/server/src/testFixtures/java/org/elasticsearch/test/engine/MockEngineSupport.java")</f>
        <v/>
      </c>
      <c r="D290" t="inlineStr">
        <is>
          <t>The provided Java code defines a class `EngineTest` within the package `org.elasticsearch.test.engine`. This class appears to be part of a testing framework for Elasticsearch engines, likely used to verify the correctness of various engine implementations. The code includes methods for creating instances of different types of engines using reflection, as well as handling close operations and managing dependencies through identity maps. The complexity of the implementation is O</t>
        </is>
      </c>
      <c r="E290" t="n">
        <v>0.0032</v>
      </c>
      <c r="F290" t="n">
        <v>0.0759</v>
      </c>
      <c r="G290" t="n">
        <v>0.1429</v>
      </c>
      <c r="H290" t="inlineStr">
        <is>
          <t>This repository contains backend software components that implement core algorithms. The complexity of the implementation is O(N), indicating linear time complexity. The comments describe the purpose as implementing core algorithms. The commits indicate it's the initial codebase commit. The total size of the code is 1000 lines.</t>
        </is>
      </c>
      <c r="I290" t="n">
        <v>0.0051</v>
      </c>
      <c r="J290" t="n">
        <v>0.1404</v>
      </c>
      <c r="K290" t="n">
        <v>0.2652</v>
      </c>
      <c r="L290" t="inlineStr">
        <is>
          <t>The code implements a test engine that uses reflection to create instances of classes based on their names. It maintains a cache using `IdentityHashMap` to store previously created instances to avoid redundant object creation. The class provides methods to close resources and retrieve cached instances.</t>
        </is>
      </c>
      <c r="M290" t="n">
        <v>0.0049</v>
      </c>
      <c r="N290" t="n">
        <v>0.0755</v>
      </c>
      <c r="O290" t="n">
        <v>0.1282</v>
      </c>
    </row>
    <row r="291">
      <c r="A291" t="inlineStr">
        <is>
          <t>crate</t>
        </is>
      </c>
      <c r="B291" t="inlineStr">
        <is>
          <t>server/src/testFixtures/java/org/elasticsearch/test/engine/MockInternalEngine.java</t>
        </is>
      </c>
      <c r="C291">
        <f>HYPERLINK("https://github.com/crate/crate/blob/master/server/src/testFixtures/java/org/elasticsearch/test/engine/MockInternalEngine.java")</f>
        <v/>
      </c>
      <c r="D291" t="inlineStr">
        <is>
          <t>The provided code is part of Elasticsearch's test engine implementation. It includes a class `FilterDirectoryReader` that extends Lucene's `FilterDirectoryReader`. This class is used to filter documents based on certain criteria during indexing operations within Elasticsearch. The code is licensed under the Apache License, Version 2.0.</t>
        </is>
      </c>
      <c r="E291" t="n">
        <v>0.0041</v>
      </c>
      <c r="F291" t="n">
        <v>0.0357</v>
      </c>
      <c r="G291" t="n">
        <v>0.08550000000000001</v>
      </c>
      <c r="H291" t="inlineStr">
        <is>
          <t>This repository contains backend software components implementing core algorithms. The complexity is high due to the extensive implementation of various algorithms within the package `org.elasticsearch.test.engine`.</t>
        </is>
      </c>
      <c r="I291" t="n">
        <v>0.01</v>
      </c>
      <c r="J291" t="n">
        <v>0.2222</v>
      </c>
      <c r="K291" t="n">
        <v>0.2062</v>
      </c>
      <c r="L291" t="inlineStr">
        <is>
          <t>This Java code defines a test class `TestEngine` within the `org.elasticsearch.test.engine` package. The class implements methods to create and manage instances of `FilterDirectoryReader`, which is used for filtering documents during indexing and searching processes in Elasticsearch. It also includes methods related to engine configuration and creation using `EngineConfig`. The code is part of a larger system designed to test Elasticsearch's internal engine</t>
        </is>
      </c>
      <c r="M291" t="n">
        <v>0.0039</v>
      </c>
      <c r="N291" t="n">
        <v>0.08110000000000001</v>
      </c>
      <c r="O291" t="n">
        <v>0.1493</v>
      </c>
    </row>
    <row r="292">
      <c r="A292" t="inlineStr">
        <is>
          <t>crate</t>
        </is>
      </c>
      <c r="B292" t="inlineStr">
        <is>
          <t>server/src/testFixtures/java/org/elasticsearch/test/gateway/TestGatewayAllocator.java</t>
        </is>
      </c>
      <c r="C292">
        <f>HYPERLINK("https://github.com/crate/crate/blob/master/server/src/testFixtures/java/org/elasticsearch/test/gateway/TestGatewayAllocator.java")</f>
        <v/>
      </c>
      <c r="D292" t="inlineStr">
        <is>
          <t>The code appears to be part of an Elasticsearch test suite that implements a gateway component. It includes classes such as `DiscoveryNode`, `DiscoveryNodes`, and `ShardRouting` which are used to manage nodes and shards within a cluster. The complexity is O(N) due to potential operations involving collections like lists or maps. There are no comments explaining the implementation details, making it difficult to understand without</t>
        </is>
      </c>
      <c r="E292" t="n">
        <v>0.0034</v>
      </c>
      <c r="F292" t="n">
        <v>0.0548</v>
      </c>
      <c r="G292" t="n">
        <v>0.1103</v>
      </c>
      <c r="H292" t="inlineStr">
        <is>
          <t>This repository contains backend software components that implement core algorithms. The complexity of these implementations is O(N), indicating they scale linearly with input size. The codebase has been initialized with a single commit containing the initial implementation.</t>
        </is>
      </c>
      <c r="I292" t="n">
        <v>0.0066</v>
      </c>
      <c r="J292" t="n">
        <v>0.1739</v>
      </c>
      <c r="K292" t="n">
        <v>0.1835</v>
      </c>
      <c r="L292" t="inlineStr">
        <is>
          <t>This Java class, `GatewayService`, manages the gateway nodes in an Elasticsearch cluster. It handles node discovery, shard routing, and other related tasks necessary for maintaining the health and consistency of the cluster across different data centers. The service uses DiscoveryNodes to track active nodes and ShardRouting to manage how shards are allocated among these nodes.</t>
        </is>
      </c>
      <c r="M292" t="n">
        <v>0.004</v>
      </c>
      <c r="N292" t="n">
        <v>0.0635</v>
      </c>
      <c r="O292" t="n">
        <v>0.1181</v>
      </c>
    </row>
    <row r="293">
      <c r="A293" t="inlineStr">
        <is>
          <t>crate</t>
        </is>
      </c>
      <c r="B293" t="inlineStr">
        <is>
          <t>server/src/testFixtures/java/org/elasticsearch/test/store/MockFSIndexStore.java</t>
        </is>
      </c>
      <c r="C293">
        <f>HYPERLINK("https://github.com/crate/crate/blob/master/server/src/testFixtures/java/org/elasticsearch/test/store/MockFSIndexStore.java")</f>
        <v/>
      </c>
      <c r="D293" t="inlineStr">
        <is>
          <t>The provided code is part of an Elasticsearch test store implementation that includes logging utilities and settings handling. It uses Log4J for logging and provides methods to log messages and retrieve settings. The complexity is O(1) due to constant-time operations like setting and retrieving logger instances.</t>
        </is>
      </c>
      <c r="E293" t="n">
        <v>0.004</v>
      </c>
      <c r="F293" t="n">
        <v>0.07140000000000001</v>
      </c>
      <c r="G293" t="n">
        <v>0.1271</v>
      </c>
      <c r="H293" t="inlineStr">
        <is>
          <t>The code implements core algorithms for a backend software component. It includes logging using Log4j and uses JSPECIFY annotations for nullability checks. The complexity is O(N), indicating linear time complexity.</t>
        </is>
      </c>
      <c r="I293" t="n">
        <v>0.0157</v>
      </c>
      <c r="J293" t="n">
        <v>0.1538</v>
      </c>
      <c r="K293" t="n">
        <v>0.3647</v>
      </c>
      <c r="L293" t="inlineStr">
        <is>
          <t>This Java package contains test store implementations for Elasticsearch, focusing on logging and settings management within tests. The code includes classes that handle logging using Log4j and manage settings configurations necessary for testing purposes.</t>
        </is>
      </c>
      <c r="M293" t="n">
        <v>0.0065</v>
      </c>
      <c r="N293" t="n">
        <v>0.1429</v>
      </c>
      <c r="O293" t="n">
        <v>0.1887</v>
      </c>
    </row>
    <row r="294">
      <c r="A294" t="inlineStr">
        <is>
          <t>crate</t>
        </is>
      </c>
      <c r="B294" t="inlineStr">
        <is>
          <t>server/src/testFixtures/java/org/elasticsearch/test/store/MockFSDirectoryFactory.java</t>
        </is>
      </c>
      <c r="C294">
        <f>HYPERLINK("https://github.com/crate/crate/blob/master/server/src/testFixtures/java/org/elasticsearch/test/store/MockFSDirectoryFactory.java")</f>
        <v/>
      </c>
      <c r="D294" t="inlineStr">
        <is>
          <t>The provided Java code defines a class `TestStore` within the package `org.elasticsearch.test.store`. This class appears to be part of a testing framework used for managing storage systems, likely related to Elasticsearch. The class includes methods for interacting with a test store, such as opening and closing connections, reading from and writing to data, and handling exceptions. It uses assertions to validate operations and provides basic logging</t>
        </is>
      </c>
      <c r="E294" t="n">
        <v>0.0033</v>
      </c>
      <c r="F294" t="n">
        <v>0.0519</v>
      </c>
      <c r="G294" t="n">
        <v>0.1087</v>
      </c>
      <c r="H294" t="inlineStr">
        <is>
          <t>This repository contains backend software components that implement core algorithms. The complexity is O(N), indicating linear time complexity, which means the performance increases proportionally with the size of the input data. The comments describe the implementation of these core algorithms, while the commits indicate the initial creation of the codebase. The total code size is 1000 lines.</t>
        </is>
      </c>
      <c r="I294" t="n">
        <v>0.0042</v>
      </c>
      <c r="J294" t="n">
        <v>0.1212</v>
      </c>
      <c r="K294" t="n">
        <v>0.155</v>
      </c>
      <c r="L294" t="inlineStr">
        <is>
          <t>The code provides utility methods for testing purposes within the Elasticsearch framework, including logging utilities and assertions. It includes classes like `TestStore` for managing test data storage and `TestIOUtils` for handling I/O operations during tests. The code uses Java's standard library and third-party libraries such as AssertJ for assertions.</t>
        </is>
      </c>
      <c r="M294" t="n">
        <v>0.0037</v>
      </c>
      <c r="N294" t="n">
        <v>0.0333</v>
      </c>
      <c r="O294" t="n">
        <v>0.08260000000000001</v>
      </c>
    </row>
    <row r="295">
      <c r="A295" t="inlineStr">
        <is>
          <t>crate</t>
        </is>
      </c>
      <c r="B295" t="inlineStr">
        <is>
          <t>server/src/testFixtures/java/org/elasticsearch/test/hamcrest/ElasticsearchAssertions.java</t>
        </is>
      </c>
      <c r="C295">
        <f>HYPERLINK("https://github.com/crate/crate/blob/master/server/src/testFixtures/java/org/elasticsearch/test/hamcrest/ElasticsearchAssertions.java")</f>
        <v/>
      </c>
      <c r="D295" t="inlineStr">
        <is>
          <t>The provided code is part of an Elasticsearch test framework that uses AssertJ assertions to verify the health status of an Elasticsearch cluster. It includes a method `assertClusterIsGreen` that takes a `ClusterHealthResponse` object as input and checks if the cluster's state is green using the `isGreen()` method from the response. The complexity of this operation is O(1) since it involves checking</t>
        </is>
      </c>
      <c r="E295" t="n">
        <v>0.003</v>
      </c>
      <c r="F295" t="n">
        <v>0.0282</v>
      </c>
      <c r="G295" t="n">
        <v>0.1128</v>
      </c>
      <c r="H295" t="inlineStr">
        <is>
          <t>This repository contains backend software components that implement core algorithms. The complexity is O(N), indicating linear time complexity, which means the performance increases proportionally with the size of the input data.</t>
        </is>
      </c>
      <c r="I295" t="n">
        <v>0.007900000000000001</v>
      </c>
      <c r="J295" t="n">
        <v>0.2</v>
      </c>
      <c r="K295" t="n">
        <v>0.3064</v>
      </c>
      <c r="L295" t="inlineStr">
        <is>
          <t>This Java package contains test utilities for asserting cluster health using AssertJ assertions within Elasticsearch tests. It includes methods to verify various aspects of a cluster's state, such as green status, number of nodes, and index availability. The code is designed to be easily integrated into Elasticsearch testing frameworks to ensure that clusters meet expected conditions during integration and performance tests.</t>
        </is>
      </c>
      <c r="M295" t="n">
        <v>0.0036</v>
      </c>
      <c r="N295" t="n">
        <v>0.0571</v>
      </c>
      <c r="O295" t="n">
        <v>0.1128</v>
      </c>
    </row>
    <row r="296">
      <c r="A296" t="inlineStr">
        <is>
          <t>crate</t>
        </is>
      </c>
      <c r="B296" t="inlineStr">
        <is>
          <t>server/src/testFixtures/java/org/elasticsearch/test/test/ESTestCaseTests.java</t>
        </is>
      </c>
      <c r="C296">
        <f>HYPERLINK("https://github.com/crate/crate/blob/master/server/src/testFixtures/java/org/elasticsearch/test/test/ESTestCaseTests.java")</f>
        <v/>
      </c>
      <c r="D296" t="inlineStr">
        <is>
          <t>The provided Java code snippet appears to be part of a test suite within an Elasticsearch project. It uses AssertJ assertions to verify that certain conditions hold true during testing. The code imports necessary classes from the `org.assertj.core` package and includes comments indicating its purpose as implementing core algorithms. The complexity is O(N), suggesting it involves iterating over data structures or performing operations proportional to the size of the input</t>
        </is>
      </c>
      <c r="E296" t="n">
        <v>0.0031</v>
      </c>
      <c r="F296" t="n">
        <v>0.0494</v>
      </c>
      <c r="G296" t="n">
        <v>0.2223</v>
      </c>
      <c r="H296" t="inlineStr">
        <is>
          <t>This repository contains backend software components that implement core algorithms. The complexity of these implementations is O(N), indicating linear time complexity. The README provides basic information about the project's purpose and structure.</t>
        </is>
      </c>
      <c r="I296" t="n">
        <v>0.0083</v>
      </c>
      <c r="J296" t="n">
        <v>0.2381</v>
      </c>
      <c r="K296" t="n">
        <v>0.2404</v>
      </c>
      <c r="L296" t="inlineStr">
        <is>
          <t>This Java test class uses AssertJ assertions to verify that certain methods return expected results when given various input scenarios. It includes tests for sorting algorithms like bubble sort, insertion sort, and quicksort, as well as basic array manipulation functions such as reversing and finding maximum values. The code demonstrates a comprehensive approach to testing complex algorithms and data structures.</t>
        </is>
      </c>
      <c r="M296" t="n">
        <v>0.0036</v>
      </c>
      <c r="N296" t="n">
        <v>0.0882</v>
      </c>
      <c r="O296" t="n">
        <v>0.1136</v>
      </c>
    </row>
    <row r="297">
      <c r="A297" t="inlineStr">
        <is>
          <t>crate</t>
        </is>
      </c>
      <c r="B297" t="inlineStr">
        <is>
          <t>server/src/testFixtures/java/org/elasticsearch/test/test/InternalTestClusterTests.java</t>
        </is>
      </c>
      <c r="C297">
        <f>HYPERLINK("https://github.com/crate/crate/blob/master/server/src/testFixtures/java/org/elasticsearch/test/test/InternalTestClusterTests.java")</f>
        <v/>
      </c>
      <c r="D297" t="inlineStr">
        <is>
          <t>The code implements core algorithms with a time complexity of O(N). It includes comments explaining its implementation and complexity analysis. The README provides details about the repository's contents, including backend software components, complexity, comments, commits, and code size.</t>
        </is>
      </c>
      <c r="E297" t="n">
        <v>0.0123</v>
      </c>
      <c r="F297" t="n">
        <v>0.125</v>
      </c>
      <c r="G297" t="n">
        <v>0.2869</v>
      </c>
      <c r="H297" t="inlineStr">
        <is>
          <t>This repository contains backend software components that implement core algorithms. The complexity of the implementation is O(N), indicating linear time complexity. The comments describe the purpose of each part of the code, while the commits log the initial creation of the codebase. The total size of the code is 1000 lines.</t>
        </is>
      </c>
      <c r="I297" t="n">
        <v>0.0047</v>
      </c>
      <c r="J297" t="n">
        <v>0.1333</v>
      </c>
      <c r="K297" t="n">
        <v>0.2033</v>
      </c>
      <c r="L297"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297" t="n">
        <v>0.0123</v>
      </c>
      <c r="N297" t="n">
        <v>0.1633</v>
      </c>
      <c r="O297" t="n">
        <v>0.3807</v>
      </c>
    </row>
    <row r="298">
      <c r="A298" t="inlineStr">
        <is>
          <t>crate</t>
        </is>
      </c>
      <c r="B298" t="inlineStr">
        <is>
          <t>server/src/testFixtures/java/org/elasticsearch/test/test/InternalTestClusterIT.java</t>
        </is>
      </c>
      <c r="C298">
        <f>HYPERLINK("https://github.com/crate/crate/blob/master/server/src/testFixtures/java/org/elasticsearch/test/test/InternalTestClusterIT.java")</f>
        <v/>
      </c>
      <c r="D298" t="inlineStr">
        <is>
          <t>The code appears to be a test class that uses AssertJ assertions to verify the correctness of some operations performed using an `NodeClient` instance. The complexity is O(N), indicating linear time complexity, which suggests it might involve iterating over data structures or performing calculations based on input size N. The comments indicate that the implementation involves core algorithms, but without seeing the actual code, we cannot provide a detailed</t>
        </is>
      </c>
      <c r="E298" t="n">
        <v>0.0026</v>
      </c>
      <c r="F298" t="n">
        <v>0.0513</v>
      </c>
      <c r="G298" t="n">
        <v>0.1064</v>
      </c>
      <c r="H298" t="inlineStr">
        <is>
          <t>The repository contains backend software components implementing core algorithms. The complexity is O(N), indicating linear time complexity.</t>
        </is>
      </c>
      <c r="I298" t="n">
        <v>0.0137</v>
      </c>
      <c r="J298" t="n">
        <v>0.2308</v>
      </c>
      <c r="K298" t="n">
        <v>0.2871</v>
      </c>
      <c r="L298" t="inlineStr">
        <is>
          <t>The provided code appears to be part of a test suite within an Elasticsearch project. It includes assertions using AssertJ to verify the correctness of certain operations performed by a NodeClient instance. The code uses static imports from `org.assertj.core.api.Assertions` and references classes such as `NodeClient`, `Settings`, and others related to Elasticsearch testing. The overall functionality seems to involve setting up a node client with</t>
        </is>
      </c>
      <c r="M298" t="n">
        <v>0.0034</v>
      </c>
      <c r="N298" t="n">
        <v>0.0526</v>
      </c>
      <c r="O298" t="n">
        <v>0.0735</v>
      </c>
    </row>
    <row r="299">
      <c r="A299" t="inlineStr">
        <is>
          <t>crate</t>
        </is>
      </c>
      <c r="B299" t="inlineStr">
        <is>
          <t>server/src/testFixtures/java/org/elasticsearch/test/test/LoggingListenerTests.java</t>
        </is>
      </c>
      <c r="C299">
        <f>HYPERLINK("https://github.com/crate/crate/blob/master/server/src/testFixtures/java/org/elasticsearch/test/test/LoggingListenerTests.java")</f>
        <v/>
      </c>
      <c r="D299" t="inlineStr">
        <is>
          <t>The code appears to be part of a test suite within the Elasticsearch project, specifically focusing on testing core algorithms using assertions from the AssertJ library. The code includes methods that assert expected outcomes against actual results, handling exceptions when necessary. It also uses reflection to dynamically invoke methods and compare their outputs. The complexity of the implementation is O(N), indicating it scales linearly with input size.</t>
        </is>
      </c>
      <c r="E299" t="n">
        <v>0.0032</v>
      </c>
      <c r="F299" t="n">
        <v>0.0526</v>
      </c>
      <c r="G299" t="n">
        <v>0.1439</v>
      </c>
      <c r="H299" t="inlineStr">
        <is>
          <t>The repository contains backend software components that implement core algorithms. The complexity of the implementation is O(N), indicating linear time complexity. The README provides details about the repository's purpose, licensing, and structure.</t>
        </is>
      </c>
      <c r="I299" t="n">
        <v>0.0077</v>
      </c>
      <c r="J299" t="n">
        <v>0.1905</v>
      </c>
      <c r="K299" t="n">
        <v>0.1923</v>
      </c>
      <c r="L299" t="inlineStr">
        <is>
          <t>The provided code is part of a test suite within the Elasticsearch project, specifically focusing on testing the `org.elasticsearch.test` package. It includes assertions using AssertJ to verify that certain methods behave as expected. The code uses reflection to dynamically invoke methods and checks their return values against expected outcomes. The tests cover various aspects of the test framework's functionality, ensuring that it can accurately identify and report issues related</t>
        </is>
      </c>
      <c r="M299" t="n">
        <v>0.0026</v>
      </c>
      <c r="N299" t="n">
        <v>0.05</v>
      </c>
      <c r="O299" t="n">
        <v>0.0709</v>
      </c>
    </row>
    <row r="300">
      <c r="A300" t="inlineStr">
        <is>
          <t>crate</t>
        </is>
      </c>
      <c r="B300" t="inlineStr">
        <is>
          <t>server/src/testFixtures/java/org/elasticsearch/test/disruption/NetworkDisruptionTests.java</t>
        </is>
      </c>
      <c r="C300">
        <f>HYPERLINK("https://github.com/crate/crate/blob/master/server/src/testFixtures/java/org/elasticsearch/test/disruption/NetworkDisruptionTests.java")</f>
        <v/>
      </c>
      <c r="D300" t="inlineStr">
        <is>
          <t>The provided code is part of an Elasticsearch test suite that includes a class `DisruptionTest` which tests various disruptions during cluster operations. The class uses assertions from AssertJ to verify expected outcomes after applying different types of disruptions such as node failures, network partitions, etc. It also utilizes a set data structure to keep track of nodes involved in each disruption scenario. The complexity of the implementation is O(N</t>
        </is>
      </c>
      <c r="E300" t="n">
        <v>0</v>
      </c>
      <c r="F300" t="n">
        <v>0.0256</v>
      </c>
      <c r="G300" t="n">
        <v>0.0709</v>
      </c>
      <c r="H300" t="inlineStr">
        <is>
          <t>The provided code implements core algorithms for backend software components. It includes assertions and uses Java packages for testing purposes. The complexity is O(N), indicating linear time complexity.</t>
        </is>
      </c>
      <c r="I300" t="n">
        <v>0.0169</v>
      </c>
      <c r="J300" t="n">
        <v>0.1622</v>
      </c>
      <c r="K300" t="n">
        <v>0.372</v>
      </c>
      <c r="L300" t="inlineStr">
        <is>
          <t>This Java class provides test cases for disrupting various aspects of Elasticsearch's cluster health using `ESTestCase`. It includes tests for disabling shard allocation, setting up node failures, and simulating network partitions. The code uses assertions from AssertJ to verify that disruptions affect expected outcomes such as shard counts and node states.</t>
        </is>
      </c>
      <c r="M300" t="n">
        <v>0.0043</v>
      </c>
      <c r="N300" t="n">
        <v>0.0667</v>
      </c>
      <c r="O300" t="n">
        <v>0.122</v>
      </c>
    </row>
    <row r="301">
      <c r="A301" t="inlineStr">
        <is>
          <t>crate</t>
        </is>
      </c>
      <c r="B301" t="inlineStr">
        <is>
          <t>server/src/testFixtures/java/org/elasticsearch/test/disruption/SlowClusterStateProcessing.java</t>
        </is>
      </c>
      <c r="C301">
        <f>HYPERLINK("https://github.com/crate/crate/blob/master/server/src/testFixtures/java/org/elasticsearch/test/disruption/SlowClusterStateProcessing.java")</f>
        <v/>
      </c>
      <c r="D301" t="inlineStr">
        <is>
          <t>The provided code defines a class `Disruptor` that simulates disruptions during testing. It uses Java's concurrency utilities such as `CountDownLatch`, `AtomicBoolean`, and `Random`. The class provides methods to create and manage disruptors, which can be used to simulate various types of failures or delays during tests. This implementation is designed to help ensure robustness and reliability in testing environments.</t>
        </is>
      </c>
      <c r="E301" t="n">
        <v>0.0037</v>
      </c>
      <c r="F301" t="n">
        <v>0.0882</v>
      </c>
      <c r="G301" t="n">
        <v>0.1527</v>
      </c>
      <c r="H301" t="inlineStr">
        <is>
          <t>This repository contains backend software components that implement core algorithms. The complexity is O(N), indicating linear time complexity. The implementation includes Java classes such as `Random` and `CountDownLatch`, along with an atomic boolean flag. The README provides details about the project's licensing and structure.</t>
        </is>
      </c>
      <c r="I301" t="n">
        <v>0.0059</v>
      </c>
      <c r="J301" t="n">
        <v>0.1852</v>
      </c>
      <c r="K301" t="n">
        <v>0.2155</v>
      </c>
      <c r="L301" t="inlineStr">
        <is>
          <t>This Java class provides methods to simulate disruptions during testing, such as network failures or node unavailability, using `CountDownLatch` and `AtomicBoolean`. It includes methods to wait for a specified number of nodes to be unavailable and to trigger these disruptions programmatically. The class uses a random seed for reproducibility when simulating network delays.</t>
        </is>
      </c>
      <c r="M301" t="n">
        <v>0.0041</v>
      </c>
      <c r="N301" t="n">
        <v>0.06560000000000001</v>
      </c>
      <c r="O301" t="n">
        <v>0.12</v>
      </c>
    </row>
    <row r="302">
      <c r="A302" t="inlineStr">
        <is>
          <t>crate</t>
        </is>
      </c>
      <c r="B302" t="inlineStr">
        <is>
          <t>server/src/testFixtures/java/org/elasticsearch/test/disruption/BlockMasterServiceOnMaster.java</t>
        </is>
      </c>
      <c r="C302">
        <f>HYPERLINK("https://github.com/crate/crate/blob/master/server/src/testFixtures/java/org/elasticsearch/test/disruption/BlockMasterServiceOnMaster.java")</f>
        <v/>
      </c>
      <c r="D302" t="inlineStr">
        <is>
          <t>The provided code defines a class `ClusterStateDisruptor` within the package `org.elasticsearch.test.disruption`. This class appears to be designed to disrupt cluster states during testing purposes. It includes methods that can update the state of a cluster using a custom task (`ClusterStateUpdateTask`) and handle exceptions related to these updates. The implementation uses Log4j for logging any errors encountered during the disruption</t>
        </is>
      </c>
      <c r="E302" t="n">
        <v>0.0037</v>
      </c>
      <c r="F302" t="n">
        <v>0.0571</v>
      </c>
      <c r="G302" t="n">
        <v>0.1527</v>
      </c>
      <c r="H302" t="inlineStr">
        <is>
          <t>The provided code implements core algorithms for a cluster state update task in Elasticsearch, handling various disruptions such as node failures or network issues. It uses Log4J for logging and processes cluster states efficiently. The complexity is high due to its extensive algorithmic operations involved in managing cluster updates during disruptions.</t>
        </is>
      </c>
      <c r="I302" t="n">
        <v>0.008399999999999999</v>
      </c>
      <c r="J302" t="n">
        <v>0.1017</v>
      </c>
      <c r="K302" t="n">
        <v>0.2566</v>
      </c>
      <c r="L302" t="inlineStr">
        <is>
          <t>The provided code implements a `ClusterStateUpdateTask` that handles disruptions within an Elasticsearch cluster. It processes updates to the cluster state based on certain conditions and logs any exceptions encountered during processing. The task uses Log4j for logging purposes.</t>
        </is>
      </c>
      <c r="M302" t="n">
        <v>0.0058</v>
      </c>
      <c r="N302" t="n">
        <v>0.08699999999999999</v>
      </c>
      <c r="O302" t="n">
        <v>0.1364</v>
      </c>
    </row>
    <row r="303">
      <c r="A303" t="inlineStr">
        <is>
          <t>crate</t>
        </is>
      </c>
      <c r="B303" t="inlineStr">
        <is>
          <t>server/src/testFixtures/java/org/elasticsearch/test/disruption/DisruptableMockTransport.java</t>
        </is>
      </c>
      <c r="C303">
        <f>HYPERLINK("https://github.com/crate/crate/blob/master/server/src/testFixtures/java/org/elasticsearch/test/disruption/DisruptableMockTransport.java")</f>
        <v/>
      </c>
      <c r="D303" t="inlineStr">
        <is>
          <t>The provided code snippet appears to be part of a larger project that includes tests for disruption scenarios in Elasticsearch. It defines a class `DisruptionTestUtils` within the package `org.elasticsearch.test.disruption`. The class likely provides utility methods for testing how various disruptions affect Elasticsearch's behavior during operations like indexing and searching. The comments indicate that it is licensed under the Apache License, Version 2.0</t>
        </is>
      </c>
      <c r="E303" t="n">
        <v>0.0029</v>
      </c>
      <c r="F303" t="n">
        <v>0.0267</v>
      </c>
      <c r="G303" t="n">
        <v>0.0746</v>
      </c>
      <c r="H303" t="inlineStr">
        <is>
          <t>This repository contains backend software components that implement core algorithms. The complexity of the implementation is O(N), indicating linear time complexity relative to the input size. The README provides details about the licensing and usage of the software.</t>
        </is>
      </c>
      <c r="I303" t="n">
        <v>0.0069</v>
      </c>
      <c r="J303" t="n">
        <v>0.2128</v>
      </c>
      <c r="K303" t="n">
        <v>0.2273</v>
      </c>
      <c r="L303" t="inlineStr">
        <is>
          <t>This Java package contains test utilities for simulating disruptions during Elasticsearch testing. It provides methods to create and apply various types of disruptions such as node failures, network partitions, and cluster state changes. The code uses writeables for serialization and deserialization of disruption configurations, ensuring flexibility and reusability across different tests.</t>
        </is>
      </c>
      <c r="M303" t="n">
        <v>0.0043</v>
      </c>
      <c r="N303" t="n">
        <v>0.0678</v>
      </c>
      <c r="O303" t="n">
        <v>0.122</v>
      </c>
    </row>
    <row r="304">
      <c r="A304" t="inlineStr">
        <is>
          <t>crate</t>
        </is>
      </c>
      <c r="B304" t="inlineStr">
        <is>
          <t>server/src/testFixtures/java/org/elasticsearch/test/disruption/SingleNodeDisruption.java</t>
        </is>
      </c>
      <c r="C304">
        <f>HYPERLINK("https://github.com/crate/crate/blob/master/server/src/testFixtures/java/org/elasticsearch/test/disruption/SingleNodeDisruption.java")</f>
        <v/>
      </c>
      <c r="D304" t="inlineStr">
        <is>
          <t>The provided Java code defines a class `DisruptionTest` within the package `org.elasticsearch.test.disruption`. It includes assertions using AssertJ to verify certain conditions related to random numbers generated by a `Random` object. The code does not contain any complex logic but rather serves as a simple test utility for checking randomness properties.</t>
        </is>
      </c>
      <c r="E304" t="n">
        <v>0</v>
      </c>
      <c r="F304" t="n">
        <v>0.0328</v>
      </c>
      <c r="G304" t="n">
        <v>0.041</v>
      </c>
      <c r="H304" t="inlineStr">
        <is>
          <t>This repository contains backend software components that implement core algorithms. The complexity of these implementations is O(N), indicating linear time performance relative to input size. The code base has been initialized with basic structure and logging setup.</t>
        </is>
      </c>
      <c r="I304" t="n">
        <v>0.0071</v>
      </c>
      <c r="J304" t="n">
        <v>0.2174</v>
      </c>
      <c r="K304" t="n">
        <v>0.2294</v>
      </c>
      <c r="L304" t="inlineStr">
        <is>
          <t>The provided code is part of a test suite for Elasticsearch's disruption framework, which simulates various failures during testing to ensure robustness. The code includes assertions to verify that certain conditions are met after disruptions occur. It uses Java's `Random` class to introduce random delays and simulate different types of failures. The code is written in Java and is part of a larger project focused on testing Elasticsearch's backend</t>
        </is>
      </c>
      <c r="M304" t="n">
        <v>0.0026</v>
      </c>
      <c r="N304" t="n">
        <v>0.025</v>
      </c>
      <c r="O304" t="n">
        <v>0.0709</v>
      </c>
    </row>
    <row r="305">
      <c r="A305" t="inlineStr">
        <is>
          <t>crate</t>
        </is>
      </c>
      <c r="B305" t="inlineStr">
        <is>
          <t>server/src/testFixtures/java/org/elasticsearch/test/disruption/BlockClusterStateProcessing.java</t>
        </is>
      </c>
      <c r="C305">
        <f>HYPERLINK("https://github.com/crate/crate/blob/master/server/src/testFixtures/java/org/elasticsearch/test/disruption/BlockClusterStateProcessing.java")</f>
        <v/>
      </c>
      <c r="D305" t="inlineStr">
        <is>
          <t>The provided code is part of a test disruption framework used in Elasticsearch testing. It includes classes such as `Disruptor`, which manages threads that can disrupt other parts of the system during tests. The `Random` class is used to generate random disruptions, and `CountDownLatch` and `AtomicReference` are utilized for synchronization purposes. This code is designed to help ensure robustness and reliability of Elasticsearch</t>
        </is>
      </c>
      <c r="E305" t="n">
        <v>0.0034</v>
      </c>
      <c r="F305" t="n">
        <v>0.0563</v>
      </c>
      <c r="G305" t="n">
        <v>0.1111</v>
      </c>
      <c r="H305" t="inlineStr">
        <is>
          <t>This repository contains backend software components that implement core algorithms. The complexity is O(N), indicating linear time complexity, which means the performance increases proportionally with the size of the input data. The comments describe the implementation of these algorithms, while the commits indicate the initial creation of the codebase. The total code size is 1000 lines.</t>
        </is>
      </c>
      <c r="I305" t="n">
        <v>0.0043</v>
      </c>
      <c r="J305" t="n">
        <v>0.1231</v>
      </c>
      <c r="K305" t="n">
        <v>0.1563</v>
      </c>
      <c r="L305" t="inlineStr">
        <is>
          <t>The code implements a disruption mechanism that randomly pauses execution within a specified range, allowing tests to simulate network delays or other disruptions without affecting the overall test suite's stability. It uses Java concurrency utilities like `CountDownLatch` and `AtomicReference` to manage the pause duration and ensure thread safety during testing. The implementation is part of a larger set of backend software components designed to support various testing scenarios.</t>
        </is>
      </c>
      <c r="M305" t="n">
        <v>0.0035</v>
      </c>
      <c r="N305" t="n">
        <v>0.0519</v>
      </c>
      <c r="O305" t="n">
        <v>0.1429</v>
      </c>
    </row>
    <row r="306">
      <c r="A306" t="inlineStr">
        <is>
          <t>crate</t>
        </is>
      </c>
      <c r="B306" t="inlineStr">
        <is>
          <t>server/src/testFixtures/java/org/elasticsearch/test/disruption/NetworkDisruption.java</t>
        </is>
      </c>
      <c r="C306">
        <f>HYPERLINK("https://github.com/crate/crate/blob/master/server/src/testFixtures/java/org/elasticsearch/test/disruption/NetworkDisruption.java")</f>
        <v/>
      </c>
      <c r="D306" t="inlineStr">
        <is>
          <t>The provided code appears to be part of a test suite for Elasticsearch, specifically focusing on disruption testing. It includes classes related to random picking from collections (`RandomPicks`), logging utilities (`LogManager`, `Logger`), and possibly other utility methods. The complexity is described as O(N) but does not provide details about what operations it performs that would have such complexity. The comments indicate that the</t>
        </is>
      </c>
      <c r="E306" t="n">
        <v>0.0029</v>
      </c>
      <c r="F306" t="n">
        <v>0.0278</v>
      </c>
      <c r="G306" t="n">
        <v>0.0741</v>
      </c>
      <c r="H306" t="inlineStr">
        <is>
          <t>This repository contains backend software components implementing core algorithms. The complexity of the implementation is O(N), indicating linear time complexity. The README provides basic information about the project's licensing and structure.</t>
        </is>
      </c>
      <c r="I306" t="n">
        <v>0.008500000000000001</v>
      </c>
      <c r="J306" t="n">
        <v>0.2439</v>
      </c>
      <c r="K306" t="n">
        <v>0.2427</v>
      </c>
      <c r="L306" t="inlineStr">
        <is>
          <t>The provided Java code defines a package `org.elasticsearch.test.disruption` containing classes that implement disruption strategies for testing purposes within Elasticsearch. The code includes methods for selecting random picks from collections using `RandomPicks`, which can be used to simulate various disruptions such as node failures or network partitions during tests. The class uses Log4J for logging, providing basic error handling capabilities. The implementation complexity is O</t>
        </is>
      </c>
      <c r="M306" t="n">
        <v>0</v>
      </c>
      <c r="N306" t="n">
        <v>0.0267</v>
      </c>
      <c r="O306" t="n">
        <v>0.0735</v>
      </c>
    </row>
    <row r="307">
      <c r="A307" t="inlineStr">
        <is>
          <t>crate</t>
        </is>
      </c>
      <c r="B307" t="inlineStr">
        <is>
          <t>server/src/testFixtures/java/org/elasticsearch/test/disruption/NoOpDisruptionScheme.java</t>
        </is>
      </c>
      <c r="C307">
        <f>HYPERLINK("https://github.com/crate/crate/blob/master/server/src/testFixtures/java/org/elasticsearch/test/disruption/NoOpDisruptionScheme.java")</f>
        <v/>
      </c>
      <c r="D307" t="inlineStr">
        <is>
          <t>The provided Java code defines a `NoOpDisruptionScheme` class that implements the `ServiceDisruptionScheme` interface. This class provides no actual disruption logic; it simply returns immediately without performing any actions when methods like `start()` or `stop()` are called. The implementation does not modify the state of the test cluster or perform any network disruptions. It is intended as a placeholder or mock for</t>
        </is>
      </c>
      <c r="E307" t="n">
        <v>0.0036</v>
      </c>
      <c r="F307" t="n">
        <v>0.058</v>
      </c>
      <c r="G307" t="n">
        <v>0.0752</v>
      </c>
      <c r="H307" t="inlineStr">
        <is>
          <t>This repository contains backend software components that implement core algorithms. The complexity of these implementations is O(N), indicating linear time complexity relative to the input size. The code base has been initialized with a single commit containing the initial implementation.</t>
        </is>
      </c>
      <c r="I307" t="n">
        <v>0.0061</v>
      </c>
      <c r="J307" t="n">
        <v>0.1633</v>
      </c>
      <c r="K307" t="n">
        <v>0.1786</v>
      </c>
      <c r="L307" t="inlineStr">
        <is>
          <t>The `NoOpDisruptionScheme` class provides a no-op implementation of the `ServiceDisruptionScheme` interface, which is used to simulate service disruptions without affecting actual cluster services. The class includes methods to apply and remove disruptions, both of which are implemented as empty functions (`doApply()` and `doRemove()`) since there are no real disruptions being simulated. This scheme is useful for testing</t>
        </is>
      </c>
      <c r="M307" t="n">
        <v>0.0038</v>
      </c>
      <c r="N307" t="n">
        <v>0.09089999999999999</v>
      </c>
      <c r="O307" t="n">
        <v>0.155</v>
      </c>
    </row>
    <row r="308">
      <c r="A308" t="inlineStr">
        <is>
          <t>crate</t>
        </is>
      </c>
      <c r="B308" t="inlineStr">
        <is>
          <t>server/src/testFixtures/java/org/elasticsearch/test/disruption/ServiceDisruptionScheme.java</t>
        </is>
      </c>
      <c r="C308">
        <f>HYPERLINK("https://github.com/crate/crate/blob/master/server/src/testFixtures/java/org/elasticsearch/test/disruption/ServiceDisruptionScheme.java")</f>
        <v/>
      </c>
      <c r="D308" t="inlineStr">
        <is>
          <t>The provided Java code defines an `interface` named `ServiceDisruptionScheme`. This interface outlines methods that can be used to disrupt services within a test cluster managed by the `TestCluster` class from CrateDB's testing framework. The disruption schemes allow developers to simulate various operational issues such as node failures, network partitions, or service outages during tests, which helps ensure robustness and reliability of applications</t>
        </is>
      </c>
      <c r="E308" t="n">
        <v>0.0035</v>
      </c>
      <c r="F308" t="n">
        <v>0.0563</v>
      </c>
      <c r="G308" t="n">
        <v>0.1119</v>
      </c>
      <c r="H308" t="inlineStr">
        <is>
          <t>This repository contains backend software components that implement core algorithms. The complexity of these implementations is O(N), indicating linear time complexity relative to the input size N. The comments provide details about the implementation's purpose and its role within the system. The commits indicate that it was initially created as part of the project. The total code size is 1000 lines.</t>
        </is>
      </c>
      <c r="I308" t="n">
        <v>0.0042</v>
      </c>
      <c r="J308" t="n">
        <v>0.1408</v>
      </c>
      <c r="K308" t="n">
        <v>0.2256</v>
      </c>
      <c r="L308" t="inlineStr">
        <is>
          <t>This Java interface defines a contract for disruption schemes that can be applied to an Elasticsearch cluster during testing. The `applyToCluster` method takes a `TestCluster` object as input and applies disruptions to it according to the scheme's implementation. The disruption schemes are designed to simulate various operational issues such as node failures, network partitions, or data corruption, allowing developers to test how their applications handle these scenarios</t>
        </is>
      </c>
      <c r="M308" t="n">
        <v>0.0032</v>
      </c>
      <c r="N308" t="n">
        <v>0.0526</v>
      </c>
      <c r="O308" t="n">
        <v>0.07190000000000001</v>
      </c>
    </row>
    <row r="309">
      <c r="A309" t="inlineStr">
        <is>
          <t>crate</t>
        </is>
      </c>
      <c r="B309" t="inlineStr">
        <is>
          <t>server/src/testFixtures/java/org/elasticsearch/test/junit/annotations/TestLogging.java</t>
        </is>
      </c>
      <c r="C309">
        <f>HYPERLINK("https://github.com/crate/crate/blob/master/server/src/testFixtures/java/org/elasticsearch/test/junit/annotations/TestLogging.java")</f>
        <v/>
      </c>
      <c r="D309" t="inlineStr">
        <is>
          <t>The provided Java code defines a JUnit test annotation called `@CustomTestAnnotation`. This annotation can be used to mark tests that require custom setup or teardown logic. The annotation includes retention policy `RetentionPolicy.RUNTIME` so it can be accessed at runtime during testing. It also targets methods annotated with `@Test`, allowing it to be applied to individual test methods within classes. The complexity of the</t>
        </is>
      </c>
      <c r="E309" t="n">
        <v>0.0034</v>
      </c>
      <c r="F309" t="n">
        <v>0.0556</v>
      </c>
      <c r="G309" t="n">
        <v>0.1111</v>
      </c>
      <c r="H309" t="inlineStr">
        <is>
          <t>The code provides annotations for testing purposes within the Elasticsearch framework. It includes methods for setting up tests and managing test configurations. The complexity is high due to its extensive usage across various parts of the system, and it involves multiple commits over time. The comments describe the implementation of core algorithms used in the testing framework.</t>
        </is>
      </c>
      <c r="I309" t="n">
        <v>0.0038</v>
      </c>
      <c r="J309" t="n">
        <v>0.0615</v>
      </c>
      <c r="K309" t="n">
        <v>0.155</v>
      </c>
      <c r="L309" t="inlineStr">
        <is>
          <t>This Java annotation package provides test annotations for testing Elasticsearch components, allowing developers to define how tests should be executed and which parts of the system they affect. The annotations help manage test configurations, dependencies, and execution order, ensuring that tests run efficiently and accurately within the Elasticsearch framework.</t>
        </is>
      </c>
      <c r="M309" t="n">
        <v>0.0045</v>
      </c>
      <c r="N309" t="n">
        <v>0.0702</v>
      </c>
      <c r="O309" t="n">
        <v>0.124</v>
      </c>
    </row>
    <row r="310">
      <c r="A310" t="inlineStr">
        <is>
          <t>crate</t>
        </is>
      </c>
      <c r="B310" t="inlineStr">
        <is>
          <t>server/src/testFixtures/java/org/elasticsearch/test/junit/annotations/Network.java</t>
        </is>
      </c>
      <c r="C310">
        <f>HYPERLINK("https://github.com/crate/crate/blob/master/server/src/testFixtures/java/org/elasticsearch/test/junit/annotations/Network.java")</f>
        <v/>
      </c>
      <c r="D310" t="inlineStr">
        <is>
          <t>The provided Java code defines an annotation `@TestGroup` that can be used to categorize test methods within JUnit tests. This allows for grouping related tests together, which can help manage and organize large test suites effectively. The annotation includes metadata such as retention policy (`RetentionPolicy.RUNTIME`) and inheritance behavior (`Inherited`). It does not contain any implementation details but serves as a marker for organizing</t>
        </is>
      </c>
      <c r="E310" t="n">
        <v>0.0034</v>
      </c>
      <c r="F310" t="n">
        <v>0.0556</v>
      </c>
      <c r="G310" t="n">
        <v>0.1481</v>
      </c>
      <c r="H310" t="inlineStr">
        <is>
          <t>This repository contains backend software components implementing core algorithms. The complexity is O(N), indicating linear time complexity. The README provides details about the repository's purpose and structure.</t>
        </is>
      </c>
      <c r="I310" t="n">
        <v>0.009900000000000001</v>
      </c>
      <c r="J310" t="n">
        <v>0.2703</v>
      </c>
      <c r="K310" t="n">
        <v>0.3758</v>
      </c>
      <c r="L310" t="inlineStr">
        <is>
          <t>This Java package contains annotations used for configuring test groups in Elasticsearch's randomized testing framework. The `TestGroup` annotation defines different categories of tests that can be run together, such as unit tests, integration tests, and performance tests. These annotations help organize and manage the execution of various types of tests within the project.</t>
        </is>
      </c>
      <c r="M310" t="n">
        <v>0.0041</v>
      </c>
      <c r="N310" t="n">
        <v>0.0645</v>
      </c>
      <c r="O310" t="n">
        <v>0.12</v>
      </c>
    </row>
    <row r="311">
      <c r="A311" t="inlineStr">
        <is>
          <t>crate</t>
        </is>
      </c>
      <c r="B311" t="inlineStr">
        <is>
          <t>server/src/testFixtures/java/org/elasticsearch/test/junit/listeners/LoggingListener.java</t>
        </is>
      </c>
      <c r="C311">
        <f>HYPERLINK("https://github.com/crate/crate/blob/master/server/src/testFixtures/java/org/elasticsearch/test/junit/listeners/LoggingListener.java")</f>
        <v/>
      </c>
      <c r="D311" t="inlineStr">
        <is>
          <t>The provided code is part of an Elasticsearch test suite that includes a custom JUnit listener. It logs various events during test execution using Log4J, which helps in monitoring and debugging test failures. The complexity of the implementation is O(1) as it involves basic logging operations without any nested loops or recursive calls. The comments indicate that the code implements core algorithms related to testing and logging.</t>
        </is>
      </c>
      <c r="E311" t="n">
        <v>0.0064</v>
      </c>
      <c r="F311" t="n">
        <v>0.0789</v>
      </c>
      <c r="G311" t="n">
        <v>0.2271</v>
      </c>
      <c r="H311" t="inlineStr">
        <is>
          <t>The code implements core algorithms for a backend system. It uses Log4J for logging and includes comments explaining its implementation. The complexity is O(N), indicating that it scales linearly with input size. The total code size is 1000 lines.</t>
        </is>
      </c>
      <c r="I311" t="n">
        <v>0.0111</v>
      </c>
      <c r="J311" t="n">
        <v>0.125</v>
      </c>
      <c r="K311" t="n">
        <v>0.2843</v>
      </c>
      <c r="L311" t="inlineStr">
        <is>
          <t>The provided code defines a JUnit test listener that logs various events during testing execution using Log4J. It includes methods for handling setup, teardown, and individual test results, providing detailed logging output for debugging purposes. The implementation complexity is O(1), as it primarily involves basic logging operations.</t>
        </is>
      </c>
      <c r="M311" t="n">
        <v>0.0039</v>
      </c>
      <c r="N311" t="n">
        <v>0.0357</v>
      </c>
      <c r="O311" t="n">
        <v>0.1261</v>
      </c>
    </row>
    <row r="312">
      <c r="A312" t="inlineStr">
        <is>
          <t>crate</t>
        </is>
      </c>
      <c r="B312" t="inlineStr">
        <is>
          <t>server/src/testFixtures/java/org/elasticsearch/test/junit/listeners/ReproduceInfoPrinter.java</t>
        </is>
      </c>
      <c r="C312">
        <f>HYPERLINK("https://github.com/crate/crate/blob/master/server/src/testFixtures/java/org/elasticsearch/test/junit/listeners/ReproduceInfoPrinter.java")</f>
        <v/>
      </c>
      <c r="D312" t="inlineStr">
        <is>
          <t>The provided Java code defines a test listener class within the `org.elasticsearch.test.junit.listeners` package. This class is likely part of a testing framework used for Elasticsearch, which is designed to run tests multiple times (`iterations`) to ensure robustness. The class uses system properties prefixed with `SYSPROP_PREFIX` to configure these iterations. It does not contain any implementation details but rather serves as a template</t>
        </is>
      </c>
      <c r="E312" t="n">
        <v>0.0029</v>
      </c>
      <c r="F312" t="n">
        <v>0.0533</v>
      </c>
      <c r="G312" t="n">
        <v>0.1119</v>
      </c>
      <c r="H312" t="inlineStr">
        <is>
          <t>The repository contains backend software components that implement core algorithms. The complexity of the implementation is O(N), indicating linear time complexity. The README provides details about the repository's purpose and structure.</t>
        </is>
      </c>
      <c r="I312" t="n">
        <v>0.007900000000000001</v>
      </c>
      <c r="J312" t="n">
        <v>0.1951</v>
      </c>
      <c r="K312" t="n">
        <v>0.1942</v>
      </c>
      <c r="L312" t="inlineStr">
        <is>
          <t>This Java class implements test listeners for JUnit tests that utilize randomized testing frameworks like Carrot Search's RandomizedTesting. It sets up properties related to iteration count and prefix used during randomization, which can be accessed through system properties. The class provides methods to configure these settings before running tests, ensuring consistent randomness across different runs.</t>
        </is>
      </c>
      <c r="M312" t="n">
        <v>0.0044</v>
      </c>
      <c r="N312" t="n">
        <v>0.09379999999999999</v>
      </c>
      <c r="O312" t="n">
        <v>0.1575</v>
      </c>
    </row>
    <row r="313">
      <c r="A313" t="inlineStr">
        <is>
          <t>crate</t>
        </is>
      </c>
      <c r="B313" t="inlineStr">
        <is>
          <t>server/src/testFixtures/java/org/elasticsearch/test/transport/MockTransportService.java</t>
        </is>
      </c>
      <c r="C313">
        <f>HYPERLINK("https://github.com/crate/crate/blob/master/server/src/testFixtures/java/org/elasticsearch/test/transport/MockTransportService.java")</f>
        <v/>
      </c>
      <c r="D313" t="inlineStr">
        <is>
          <t>The provided Java code defines a package `org.elasticsearch.test.transport` that includes classes related to testing transport functionalities within Elasticsearch. The code does not contain any actual implementation details but rather serves as a template or placeholder for future development. It outlines the structure and purpose of the package without providing concrete functionality.</t>
        </is>
      </c>
      <c r="E313" t="n">
        <v>0.0036</v>
      </c>
      <c r="F313" t="n">
        <v>0.0645</v>
      </c>
      <c r="G313" t="n">
        <v>0.122</v>
      </c>
      <c r="H313" t="inlineStr">
        <is>
          <t>This repository contains backend software components implementing core algorithms. Complexity is O(N), indicating linear time complexity. The README provides basic details about the project's purpose and structure.</t>
        </is>
      </c>
      <c r="I313" t="n">
        <v>0.009900000000000001</v>
      </c>
      <c r="J313" t="n">
        <v>0.2703</v>
      </c>
      <c r="K313" t="n">
        <v>0.3758</v>
      </c>
      <c r="L313" t="inlineStr">
        <is>
          <t>This Java package contains test classes for Elasticsearch's transport layer, focusing on testing various aspects such as message serialization, deserialization, and network communication. The code uses a combination of unit tests and integration tests to ensure that the transport system functions correctly across different scenarios.</t>
        </is>
      </c>
      <c r="M313" t="n">
        <v>0.0049</v>
      </c>
      <c r="N313" t="n">
        <v>0.0741</v>
      </c>
      <c r="O313" t="n">
        <v>0.1282</v>
      </c>
    </row>
    <row r="314">
      <c r="A314" t="inlineStr">
        <is>
          <t>crate</t>
        </is>
      </c>
      <c r="B314" t="inlineStr">
        <is>
          <t>server/src/testFixtures/java/org/elasticsearch/test/transport/StubbableConnectionManager.java</t>
        </is>
      </c>
      <c r="C314">
        <f>HYPERLINK("https://github.com/crate/crate/blob/master/server/src/testFixtures/java/org/elasticsearch/test/transport/StubbableConnectionManager.java")</f>
        <v/>
      </c>
      <c r="D314" t="inlineStr">
        <is>
          <t>The provided code defines a class `ConcurrentHashMap` that implements a concurrent hash map data structure using Java's concurrency utilities. It includes methods for adding, removing, and retrieving elements while ensuring thread safety. The complexity of operations like put, get, and remove is O(1) on average, making it suitable for high-concurrency environments. This implementation provides atomic updates and avoids race conditions when accessed</t>
        </is>
      </c>
      <c r="E314" t="n">
        <v>0.0039</v>
      </c>
      <c r="F314" t="n">
        <v>0.0822</v>
      </c>
      <c r="G314" t="n">
        <v>0.1493</v>
      </c>
      <c r="H314" t="inlineStr">
        <is>
          <t>This repository contains backend software components implementing core algorithms. The complexity of the implementation is O(N), indicating linear time complexity relative to the size of the input data.</t>
        </is>
      </c>
      <c r="I314" t="n">
        <v>0.008800000000000001</v>
      </c>
      <c r="J314" t="n">
        <v>0.2162</v>
      </c>
      <c r="K314" t="n">
        <v>0.2</v>
      </c>
      <c r="L314" t="inlineStr">
        <is>
          <t>The code implements a test transport component within the Elasticsearch framework, utilizing concurrent data structures like `ConcurrentHashMap` to manage connections efficiently. It includes methods for handling actions asynchronously using `ActionListener`, facilitating communication between nodes in a cluster during testing scenarios. The implementation complexity is O(N), indicating linear time complexity for certain operations, which aligns with typical requirements for managing large datasets in such environments.</t>
        </is>
      </c>
      <c r="M314" t="n">
        <v>0.0028</v>
      </c>
      <c r="N314" t="n">
        <v>0.0274</v>
      </c>
      <c r="O314" t="n">
        <v>0.0735</v>
      </c>
    </row>
    <row r="315">
      <c r="A315" t="inlineStr">
        <is>
          <t>crate</t>
        </is>
      </c>
      <c r="B315" t="inlineStr">
        <is>
          <t>server/src/testFixtures/java/org/elasticsearch/test/transport/MockTransport.java</t>
        </is>
      </c>
      <c r="C315">
        <f>HYPERLINK("https://github.com/crate/crate/blob/master/server/src/testFixtures/java/org/elasticsearch/test/transport/MockTransport.java")</f>
        <v/>
      </c>
      <c r="D315" t="inlineStr">
        <is>
          <t>The provided code appears to be part of a testing framework for Elasticsearch's transport layer. It includes utility methods for rare operations and concurrent data structures such as `ConcurrentHashMap`. The complexity is O(N) due to potential operations involving arrays or collections that scale linearly with input size. The comments indicate that it implements core algorithms necessary for testing purposes.</t>
        </is>
      </c>
      <c r="E315" t="n">
        <v>0.0072</v>
      </c>
      <c r="F315" t="n">
        <v>0.058</v>
      </c>
      <c r="G315" t="n">
        <v>0.2409</v>
      </c>
      <c r="H315" t="inlineStr">
        <is>
          <t>This repository contains backend software components implementing core algorithms. The complexity is O(N), indicating linear time performance relative to input size. The README provides details about the repository's purpose and structure.</t>
        </is>
      </c>
      <c r="I315" t="n">
        <v>0.008500000000000001</v>
      </c>
      <c r="J315" t="n">
        <v>0.2439</v>
      </c>
      <c r="K315" t="n">
        <v>0.3612</v>
      </c>
      <c r="L315" t="inlineStr">
        <is>
          <t>This Java package contains test classes for Elasticsearch's transport layer, focusing on testing Lucene-related functionalities within the context of CrateDB. The code uses concurrent data structures like `ConcurrentHashMap` to manage test cases efficiently. It includes methods that simulate rare occurrences using the `rarely()` method from CrateLuceneTestCase, ensuring that certain tests run infrequently during normal operation. The class size is</t>
        </is>
      </c>
      <c r="M315" t="n">
        <v>0.0031</v>
      </c>
      <c r="N315" t="n">
        <v>0.058</v>
      </c>
      <c r="O315" t="n">
        <v>0.07630000000000001</v>
      </c>
    </row>
    <row r="316">
      <c r="A316" t="inlineStr">
        <is>
          <t>crate</t>
        </is>
      </c>
      <c r="B316" t="inlineStr">
        <is>
          <t>server/src/testFixtures/java/org/elasticsearch/test/transport/CapturingTransport.java</t>
        </is>
      </c>
      <c r="C316">
        <f>HYPERLINK("https://github.com/crate/crate/blob/master/server/src/testFixtures/java/org/elasticsearch/test/transport/CapturingTransport.java")</f>
        <v/>
      </c>
      <c r="D316" t="inlineStr">
        <is>
          <t>The code appears to be a Java implementation of a transport system test suite within the Elasticsearch project. It includes classes for testing various aspects of network communication between nodes in an Elasticsearch cluster. The complexity is O(N), indicating that the time complexity of certain operations scales linearly with the number of elements involved. The comments suggest that the implementation focuses on core algorithmic functions related to transport protocols used in Elasticsearch.</t>
        </is>
      </c>
      <c r="E316" t="n">
        <v>0.0025</v>
      </c>
      <c r="F316" t="n">
        <v>0.0741</v>
      </c>
      <c r="G316" t="n">
        <v>0.1042</v>
      </c>
      <c r="H316" t="inlineStr">
        <is>
          <t>The repository contains backend software components that implement core algorithms. The complexity is O(N), indicating linear time complexity.</t>
        </is>
      </c>
      <c r="I316" t="n">
        <v>0.0128</v>
      </c>
      <c r="J316" t="n">
        <v>0.2222</v>
      </c>
      <c r="K316" t="n">
        <v>0.284</v>
      </c>
      <c r="L316" t="inlineStr">
        <is>
          <t>The provided Java code defines a class `TransportTest` within the package `org.elasticsearch.test.transport`. It appears to be part of a larger system designed for testing transport-related functionalities in Elasticsearch. The class likely includes methods for simulating network communication, handling messages, and verifying expected behaviors during tests. The code uses basic data structures like lists and maps to manage test data and results. The complexity of the</t>
        </is>
      </c>
      <c r="M316" t="n">
        <v>0.0028</v>
      </c>
      <c r="N316" t="n">
        <v>0.0519</v>
      </c>
      <c r="O316" t="n">
        <v>0.073</v>
      </c>
    </row>
    <row r="317">
      <c r="A317" t="inlineStr">
        <is>
          <t>crate</t>
        </is>
      </c>
      <c r="B317" t="inlineStr">
        <is>
          <t>server/src/testFixtures/java/org/elasticsearch/test/transport/StubbableTransport.java</t>
        </is>
      </c>
      <c r="C317">
        <f>HYPERLINK("https://github.com/crate/crate/blob/master/server/src/testFixtures/java/org/elasticsearch/test/transport/StubbableTransport.java")</f>
        <v/>
      </c>
      <c r="D317" t="inlineStr">
        <is>
          <t>The provided Java code snippet appears to be part of a test class within the Elasticsearch project, specifically designed to handle transport-related tests. The class uses a `ConcurrentHashMap` to store mappings between hostnames and their corresponding IP addresses. It includes methods to add new entries, retrieve existing entries, and remove entries from the map. The comments indicate that it implements core algorithms related to network communication testing.</t>
        </is>
      </c>
      <c r="E317" t="n">
        <v>0.0064</v>
      </c>
      <c r="F317" t="n">
        <v>0.0526</v>
      </c>
      <c r="G317" t="n">
        <v>0.2271</v>
      </c>
      <c r="H317" t="inlineStr">
        <is>
          <t>This repository contains backend software components that implement core algorithms. The complexity is O(N), indicating linear time complexity in relation to input size N. The comments describe the implementation of these algorithms, while the commits indicate the initial creation of the codebase. The total code size is 1000 lines.</t>
        </is>
      </c>
      <c r="I317" t="n">
        <v>0.0049</v>
      </c>
      <c r="J317" t="n">
        <v>0.1379</v>
      </c>
      <c r="K317" t="n">
        <v>0.1653</v>
      </c>
      <c r="L317" t="inlineStr">
        <is>
          <t>This Java package contains test classes for Elasticsearch's transport layer, focusing on testing various aspects of network communication between nodes within an Elasticsearch cluster. The code uses concurrent data structures like `ConcurrentHashMap` to manage connections efficiently. It includes methods for handling exceptions such as `UnknownHostException`, which can occur during network operations. The tests cover different scenarios related to sending and receiving messages over the transport protocol, ensuring</t>
        </is>
      </c>
      <c r="M317" t="n">
        <v>0.0032</v>
      </c>
      <c r="N317" t="n">
        <v>0.0526</v>
      </c>
      <c r="O317" t="n">
        <v>0.1079</v>
      </c>
    </row>
    <row r="318">
      <c r="A318" t="inlineStr">
        <is>
          <t>crate</t>
        </is>
      </c>
      <c r="B318" t="inlineStr">
        <is>
          <t>server/src/testFixtures/java/org/elasticsearch/test/transport/FakeTransport.java</t>
        </is>
      </c>
      <c r="C318">
        <f>HYPERLINK("https://github.com/crate/crate/blob/master/server/src/testFixtures/java/org/elasticsearch/test/transport/FakeTransport.java")</f>
        <v/>
      </c>
      <c r="D318" t="inlineStr">
        <is>
          <t>The provided code snippet appears to be part of a Java package named `org.elasticsearch.test.transport`. It includes comments indicating that it is licensed under the Apache License, Version 2.0. The class likely implements core algorithms related to transport operations within Elasticsearch, possibly involving discovery nodes and handling actions asynchronously using `ActionListener`.
However, without seeing the full implementation details, I can't provide a comprehensive summary</t>
        </is>
      </c>
      <c r="E318" t="n">
        <v>0.0068</v>
      </c>
      <c r="F318" t="n">
        <v>0.0789</v>
      </c>
      <c r="G318" t="n">
        <v>0.2338</v>
      </c>
      <c r="H318" t="inlineStr">
        <is>
          <t>This repository contains backend software components implementing core algorithms. The complexity of these implementations is O(N), indicating linear time complexity relative to input size.</t>
        </is>
      </c>
      <c r="I318" t="n">
        <v>0.0104</v>
      </c>
      <c r="J318" t="n">
        <v>0.2424</v>
      </c>
      <c r="K318" t="n">
        <v>0.2083</v>
      </c>
      <c r="L318" t="inlineStr">
        <is>
          <t>The provided code implements test utilities for Elasticsearch's transport layer, focusing on handling discovery nodes and performing actions asynchronously. It includes methods for creating mock discovery nodes and executing asynchronous actions using `ActionListener`. The code is designed to be used within the Elasticsearch testing framework to simulate network interactions during tests.</t>
        </is>
      </c>
      <c r="M318" t="n">
        <v>0.0043</v>
      </c>
      <c r="N318" t="n">
        <v>0.0667</v>
      </c>
      <c r="O318" t="n">
        <v>0.122</v>
      </c>
    </row>
    <row r="319">
      <c r="A319" t="inlineStr">
        <is>
          <t>crate</t>
        </is>
      </c>
      <c r="B319" t="inlineStr">
        <is>
          <t>server/src/testFixtures/java/org/elasticsearch/indices/analysis/AnalysisFactoryTestCase.java</t>
        </is>
      </c>
      <c r="C319">
        <f>HYPERLINK("https://github.com/crate/crate/blob/master/server/src/testFixtures/java/org/elasticsearch/indices/analysis/AnalysisFactoryTestCase.java")</f>
        <v/>
      </c>
      <c r="D319" t="inlineStr">
        <is>
          <t>The provided code snippet appears to be part of a Java package named `org.elasticsearch.indices.analysis`, which likely deals with analysis functionalities within Elasticsearch. The code includes comments explaining its purpose, licensing, and complexity. It also mentions that it implements core algorithms related to indices and analysis. The README indicates that this repository contains backend software components, and there have been no commits yet. The total size of the code</t>
        </is>
      </c>
      <c r="E319" t="n">
        <v>0.0067</v>
      </c>
      <c r="F319" t="n">
        <v>0.0759</v>
      </c>
      <c r="G319" t="n">
        <v>0.3046</v>
      </c>
      <c r="H319" t="inlineStr">
        <is>
          <t>The code implements core algorithms for processing indices in Elasticsearch. It includes assertions and uses Java collections such as HashMaps. The complexity is O(N), indicating linear time operations based on input size N.</t>
        </is>
      </c>
      <c r="I319" t="n">
        <v>0.0132</v>
      </c>
      <c r="J319" t="n">
        <v>0.1429</v>
      </c>
      <c r="K319" t="n">
        <v>0.3006</v>
      </c>
      <c r="L319" t="inlineStr">
        <is>
          <t>This Java package contains classes related to Elasticsearch's analysis capabilities, focusing on index-level analyzers. The code includes utility methods for creating mappings and assertions, demonstrating basic testing practices within the context of Elasticsearch development.</t>
        </is>
      </c>
      <c r="M319" t="n">
        <v>0.0065</v>
      </c>
      <c r="N319" t="n">
        <v>0.09089999999999999</v>
      </c>
      <c r="O319" t="n">
        <v>0.2411</v>
      </c>
    </row>
    <row r="320">
      <c r="A320" t="inlineStr">
        <is>
          <t>crate</t>
        </is>
      </c>
      <c r="B320" t="inlineStr">
        <is>
          <t>server/src/testFixtures/java/org/elasticsearch/indices/breaker/NoneCircuitBreakerService.java</t>
        </is>
      </c>
      <c r="C320">
        <f>HYPERLINK("https://github.com/crate/crate/blob/master/server/src/testFixtures/java/org/elasticsearch/indices/breaker/NoneCircuitBreakerService.java")</f>
        <v/>
      </c>
      <c r="D320" t="inlineStr">
        <is>
          <t>The provided code defines a package `org.elasticsearch.indices.breaker` that includes classes related to circuit breakers used for managing resource usage limits in Elasticsearch indices. The code implements core algorithms for handling circuit breaking exceptions when resources exceed predefined thresholds. It also provides a no-op implementation (`NoopCircuitBreaker`) as part of the library.</t>
        </is>
      </c>
      <c r="E320" t="n">
        <v>0.0078</v>
      </c>
      <c r="F320" t="n">
        <v>0.0645</v>
      </c>
      <c r="G320" t="n">
        <v>0.2095</v>
      </c>
      <c r="H320" t="inlineStr">
        <is>
          <t>This repository contains backend software components implementing core algorithms. The complexity is O(N), indicating linear time complexity.</t>
        </is>
      </c>
      <c r="I320" t="n">
        <v>0.0151</v>
      </c>
      <c r="J320" t="n">
        <v>0.3077</v>
      </c>
      <c r="K320" t="n">
        <v>0.3546</v>
      </c>
      <c r="L320" t="inlineStr">
        <is>
          <t>This Java package provides a circuit breaker mechanism for managing resource usage across multiple indices in an Elasticsearch cluster. The `CircuitBreaker` class implements a strategy for breaking circuits when memory limits are exceeded, preventing further requests from being processed until resources become available again. The implementation includes methods for recording bytes used and checking if a request should be allowed based on current circuit state.</t>
        </is>
      </c>
      <c r="M320" t="n">
        <v>0.0037</v>
      </c>
      <c r="N320" t="n">
        <v>0.0822</v>
      </c>
      <c r="O320" t="n">
        <v>0.2304</v>
      </c>
    </row>
    <row r="321">
      <c r="A321" t="inlineStr">
        <is>
          <t>crate</t>
        </is>
      </c>
      <c r="B321" t="inlineStr">
        <is>
          <t>server/src/testFixtures/java/org/elasticsearch/indices/recovery/AsyncRecoveryTarget.java</t>
        </is>
      </c>
      <c r="C321">
        <f>HYPERLINK("https://github.com/crate/crate/blob/master/server/src/testFixtures/java/org/elasticsearch/indices/recovery/AsyncRecoveryTarget.java")</f>
        <v/>
      </c>
      <c r="D321" t="inlineStr">
        <is>
          <t>The provided code implements core recovery algorithms for Elasticsearch indices. It includes classes such as `RecoverySource` and `RecoveryTarget`, which handle the process of restoring data from another node during index recovery. The complexity of the implementation is O(N), where N represents the number of operations involved in the recovery process. The code uses Lucene's BytesRef class for handling byte arrays efficiently.</t>
        </is>
      </c>
      <c r="E321" t="n">
        <v>0.007</v>
      </c>
      <c r="F321" t="n">
        <v>0.08450000000000001</v>
      </c>
      <c r="G321" t="n">
        <v>0.2373</v>
      </c>
      <c r="H321" t="inlineStr">
        <is>
          <t>The code implements core algorithms for managing index recovery in Elasticsearch. It includes classes such as `RecoveryState` and `IndexShard`. The complexity is O(N) due to operations involving arrays and lists.</t>
        </is>
      </c>
      <c r="I321" t="n">
        <v>0.0146</v>
      </c>
      <c r="J321" t="n">
        <v>0.1538</v>
      </c>
      <c r="K321" t="n">
        <v>0.2505</v>
      </c>
      <c r="L321" t="inlineStr">
        <is>
          <t>This Java package contains backend software components responsible for managing index recovery processes in Elasticsearch. The code implements core algorithms for handling data restoration from snapshots or other sources, ensuring efficient and reliable indexing operations.</t>
        </is>
      </c>
      <c r="M321" t="n">
        <v>0.0141</v>
      </c>
      <c r="N321" t="n">
        <v>0.2326</v>
      </c>
      <c r="O321" t="n">
        <v>0.3477</v>
      </c>
    </row>
    <row r="322">
      <c r="A322" t="inlineStr">
        <is>
          <t>crate</t>
        </is>
      </c>
      <c r="B322" t="inlineStr">
        <is>
          <t>server/src/testFixtures/java/org/elasticsearch/transport/TestResponse.java</t>
        </is>
      </c>
      <c r="C322">
        <f>HYPERLINK("https://github.com/crate/crate/blob/master/server/src/testFixtures/java/org/elasticsearch/transport/TestResponse.java")</f>
        <v/>
      </c>
      <c r="D322" t="inlineStr">
        <is>
          <t>The provided code defines a `TestResponse` class that extends another class (`TransportResponse`). It includes methods for reading from and writing to a stream using `StreamInput` and `StreamOutput`, respectively. The class is part of a larger system designed for handling transport responses in Elasticsearch, which is licensed under the Apache License version 2.0. The complexity of the implementation is O(N), indicating</t>
        </is>
      </c>
      <c r="E322" t="n">
        <v>0.003</v>
      </c>
      <c r="F322" t="n">
        <v>0.0286</v>
      </c>
      <c r="G322" t="n">
        <v>0.1136</v>
      </c>
      <c r="H322" t="inlineStr">
        <is>
          <t>This repository contains backend software components implementing core algorithms. The complexity is O(N), indicating linear time performance relative to input size. The comments describe the implementation of these algorithms, while the README provides general information about the project's purpose and structure.</t>
        </is>
      </c>
      <c r="I322" t="n">
        <v>0.0064</v>
      </c>
      <c r="J322" t="n">
        <v>0.1961</v>
      </c>
      <c r="K322" t="n">
        <v>0.2212</v>
      </c>
      <c r="L322" t="inlineStr">
        <is>
          <t>The `TestResponse` class extends a base response class and provides methods for serialization and deserialization using `StreamInput` and `StreamOutput`. It includes basic input/output handling for network communication in Elasticsearch's transport layer.</t>
        </is>
      </c>
      <c r="M322" t="n">
        <v>0.006</v>
      </c>
      <c r="N322" t="n">
        <v>0.0488</v>
      </c>
      <c r="O322" t="n">
        <v>0.09710000000000001</v>
      </c>
    </row>
    <row r="323">
      <c r="A323" t="inlineStr">
        <is>
          <t>crate</t>
        </is>
      </c>
      <c r="B323" t="inlineStr">
        <is>
          <t>server/src/testFixtures/java/org/elasticsearch/transport/TestProfiles.java</t>
        </is>
      </c>
      <c r="C323">
        <f>HYPERLINK("https://github.com/crate/crate/blob/master/server/src/testFixtures/java/org/elasticsearch/transport/TestProfiles.java")</f>
        <v/>
      </c>
      <c r="D323" t="inlineStr">
        <is>
          <t>The code implements core algorithms with a time complexity of O(N). It includes comments explaining its implementation and is part of a larger repository containing backend software components. The code size is 1000 lines.</t>
        </is>
      </c>
      <c r="E323" t="n">
        <v>0.0138</v>
      </c>
      <c r="F323" t="n">
        <v>0.1395</v>
      </c>
      <c r="G323" t="n">
        <v>0.3509</v>
      </c>
      <c r="H323" t="inlineStr">
        <is>
          <t>Implements core algorithms for backend software components. Complexity is O(N).</t>
        </is>
      </c>
      <c r="I323" t="n">
        <v>0.0251</v>
      </c>
      <c r="J323" t="n">
        <v>0.2105</v>
      </c>
      <c r="K323" t="n">
        <v>0.3117</v>
      </c>
      <c r="L323" t="inlineStr">
        <is>
          <t>The code implements core algorithms for backend software components, focusing on efficient data processing and manipulation using a time complexity of O(N). The implementation includes comments explaining the core functionalities and adheres to best practices for code readability and maintainability.</t>
        </is>
      </c>
      <c r="M323" t="n">
        <v>0.0116</v>
      </c>
      <c r="N323" t="n">
        <v>0.2041</v>
      </c>
      <c r="O323" t="n">
        <v>0.3321</v>
      </c>
    </row>
    <row r="324">
      <c r="A324" t="inlineStr">
        <is>
          <t>crate</t>
        </is>
      </c>
      <c r="B324" t="inlineStr">
        <is>
          <t>server/src/testFixtures/java/org/elasticsearch/transport/TestRequest.java</t>
        </is>
      </c>
      <c r="C324">
        <f>HYPERLINK("https://github.com/crate/crate/blob/master/server/src/testFixtures/java/org/elasticsearch/transport/TestRequest.java")</f>
        <v/>
      </c>
      <c r="D324" t="inlineStr">
        <is>
          <t>The provided Java code defines a `TestRequest` class within the `org.elasticsearch.transport` package. This class likely represents a request object used in an Elasticsearch transport system. It includes methods for reading from and writing to streams using `StreamInput` and `StreamOutput`, which are part of Elasticsearch's I/O framework for handling data serialization and deserialization. The class does not contain any complex logic but</t>
        </is>
      </c>
      <c r="E324" t="n">
        <v>0.0036</v>
      </c>
      <c r="F324" t="n">
        <v>0.0822</v>
      </c>
      <c r="G324" t="n">
        <v>0.1128</v>
      </c>
      <c r="H324" t="inlineStr">
        <is>
          <t>The repository contains backend software components implementing core algorithms. The complexity is O(N), indicating linear time complexity, which means the execution time increases proportionally with the input size. The comments describe the implementation of these core algorithms. There have been several commits since the initial codebase was created, suggesting ongoing development and updates. The total code size is 1000 lines.</t>
        </is>
      </c>
      <c r="I324" t="n">
        <v>0.004</v>
      </c>
      <c r="J324" t="n">
        <v>0.1159</v>
      </c>
      <c r="K324" t="n">
        <v>0.1515</v>
      </c>
      <c r="L324" t="inlineStr">
        <is>
          <t>The `TestRequest` class in the `org.elasticsearch.transport` package serves as a base class for test requests used within the Elasticsearch framework. It provides methods for serialization and deserialization using `StreamInput` and `StreamOutput`, allowing instances of this class to be transmitted over the network during testing scenarios. The class includes basic constructor and getter/setter methods for any properties that might be needed for request</t>
        </is>
      </c>
      <c r="M324" t="n">
        <v>0.0029</v>
      </c>
      <c r="N324" t="n">
        <v>0.0548</v>
      </c>
      <c r="O324" t="n">
        <v>0.1119</v>
      </c>
    </row>
    <row r="325">
      <c r="A325" t="inlineStr">
        <is>
          <t>crate</t>
        </is>
      </c>
      <c r="B325" t="inlineStr">
        <is>
          <t>server/src/testFixtures/java/org/elasticsearch/transport/AbstractSimpleTransportTestCase.java</t>
        </is>
      </c>
      <c r="C325">
        <f>HYPERLINK("https://github.com/crate/crate/blob/master/server/src/testFixtures/java/org/elasticsearch/transport/AbstractSimpleTransportTestCase.java")</f>
        <v/>
      </c>
      <c r="D325" t="inlineStr">
        <is>
          <t>The provided code appears to be part of an Elasticsearch project, specifically related to transport communication between nodes within a cluster. It includes classes such as `TransportService`, which handles network communications, and `DiscoveryNode`, which represents a node in the cluster's discovery process. The code uses Java and follows Apache License 2.0 terms. The complexity is O(N), indicating that it involves processing data structures</t>
        </is>
      </c>
      <c r="E325" t="n">
        <v>0.0029</v>
      </c>
      <c r="F325" t="n">
        <v>0.027</v>
      </c>
      <c r="G325" t="n">
        <v>0.0741</v>
      </c>
      <c r="H325" t="inlineStr">
        <is>
          <t>The code implements core algorithms for backend software components. It includes classes such as `DiscoveryNode` and uses libraries like `TestFutureUtils`. The complexity is high due to its extensive implementation of various algorithms.</t>
        </is>
      </c>
      <c r="I325" t="n">
        <v>0.0147</v>
      </c>
      <c r="J325" t="n">
        <v>0.15</v>
      </c>
      <c r="K325" t="n">
        <v>0.3577</v>
      </c>
      <c r="L325" t="inlineStr">
        <is>
          <t>This abstract class provides base functionality for transport services in Elasticsearch, including methods for sending messages between nodes and handling discovery node events. It uses test utilities for future testing and extends `ESTestCase` for unit tests. The class is designed to be extended by concrete implementations that provide specific message types and processing logic.</t>
        </is>
      </c>
      <c r="M325" t="n">
        <v>0.0048</v>
      </c>
      <c r="N325" t="n">
        <v>0.129</v>
      </c>
      <c r="O325" t="n">
        <v>0.1984</v>
      </c>
    </row>
    <row r="326">
      <c r="A326" t="inlineStr">
        <is>
          <t>crate</t>
        </is>
      </c>
      <c r="B326" t="inlineStr">
        <is>
          <t>server/src/testFixtures/java/org/elasticsearch/transport/TestTransportChannel.java</t>
        </is>
      </c>
      <c r="C326">
        <f>HYPERLINK("https://github.com/crate/crate/blob/master/server/src/testFixtures/java/org/elasticsearch/transport/TestTransportChannel.java")</f>
        <v/>
      </c>
      <c r="D326" t="inlineStr">
        <is>
          <t>The `TestTransportChannel` class is part of the Elasticsearch transport package and implements the `TransportChannel` interface. It provides a mock implementation for testing purposes, allowing developers to simulate network communication without relying on actual network connections. The class includes methods such as sending responses back to clients, handling incoming requests, and managing asynchronous operations using an `ActionListener`. This implementation is useful during development and testing phases</t>
        </is>
      </c>
      <c r="E326" t="n">
        <v>0.0037</v>
      </c>
      <c r="F326" t="n">
        <v>0.0822</v>
      </c>
      <c r="G326" t="n">
        <v>0.146</v>
      </c>
      <c r="H326" t="inlineStr">
        <is>
          <t>This repository contains backend software components that implement core algorithms. The complexity is high due to the extensive implementation of various algorithms. The comments provide details about the implementation process, while the commits indicate the initial creation of the codebase. The total size of the codebase is large, suggesting a comprehensive set of features and functionalities.</t>
        </is>
      </c>
      <c r="I326" t="n">
        <v>0.0046</v>
      </c>
      <c r="J326" t="n">
        <v>0.1562</v>
      </c>
      <c r="K326" t="n">
        <v>0.1953</v>
      </c>
      <c r="L326" t="inlineStr">
        <is>
          <t>The `TestTransportChannel` class implements the `TransportChannel` interface from Elasticsearch's transport package. It provides methods for sending responses back to clients over the network using the specified listener. The class handles asynchronous response delivery through the `ActionListener`, ensuring that responses are sent correctly based on the client's request context.</t>
        </is>
      </c>
      <c r="M326" t="n">
        <v>0.0038</v>
      </c>
      <c r="N326" t="n">
        <v>0.0345</v>
      </c>
      <c r="O326" t="n">
        <v>0.0833</v>
      </c>
    </row>
    <row r="327">
      <c r="A327" t="inlineStr">
        <is>
          <t>crate</t>
        </is>
      </c>
      <c r="B327" t="inlineStr">
        <is>
          <t>server/src/testFixtures/java/org/elasticsearch/cluster/MockInternalClusterInfoService.java</t>
        </is>
      </c>
      <c r="C327">
        <f>HYPERLINK("https://github.com/crate/crate/blob/master/server/src/testFixtures/java/org/elasticsearch/cluster/MockInternalClusterInfoService.java")</f>
        <v/>
      </c>
      <c r="D327" t="inlineStr">
        <is>
          <t>The provided code is part of an Elasticsearch cluster implementation that includes core algorithms for managing nodes and clusters. It uses Java and follows Apache License 2.0. The complexity is O(N), indicating linear time operations. The code size is 1000 lines, and it provides implementations for various functionalities related to clustering management.</t>
        </is>
      </c>
      <c r="E327" t="n">
        <v>0.0042</v>
      </c>
      <c r="F327" t="n">
        <v>0.0968</v>
      </c>
      <c r="G327" t="n">
        <v>0.1613</v>
      </c>
      <c r="H327" t="inlineStr">
        <is>
          <t>This repository contains backend software components that implement core algorithms. The complexity of these implementations is O(N), indicating they scale linearly with input size.</t>
        </is>
      </c>
      <c r="I327" t="n">
        <v>0.0104</v>
      </c>
      <c r="J327" t="n">
        <v>0.2424</v>
      </c>
      <c r="K327" t="n">
        <v>0.2083</v>
      </c>
      <c r="L327" t="inlineStr">
        <is>
          <t>This Java package `org.elasticsearch.cluster` provides classes and methods for managing cluster-level operations in Elasticsearch, such as handling node state changes, coordinating tasks across nodes, and implementing distributed data structures. The code includes utilities for asynchronous processing and concurrent execution, ensuring efficient management of large-scale distributed systems.</t>
        </is>
      </c>
      <c r="M327" t="n">
        <v>0.0048</v>
      </c>
      <c r="N327" t="n">
        <v>0.1034</v>
      </c>
      <c r="O327" t="n">
        <v>0.1271</v>
      </c>
    </row>
    <row r="328">
      <c r="A328" t="inlineStr">
        <is>
          <t>crate</t>
        </is>
      </c>
      <c r="B328" t="inlineStr">
        <is>
          <t>server/src/testFixtures/java/org/elasticsearch/cluster/ESAllocationTestCase.java</t>
        </is>
      </c>
      <c r="C328">
        <f>HYPERLINK("https://github.com/crate/crate/blob/master/server/src/testFixtures/java/org/elasticsearch/cluster/ESAllocationTestCase.java")</f>
        <v/>
      </c>
      <c r="D328" t="inlineStr">
        <is>
          <t>The code implements core algorithms for managing clusters in Elasticsearch, focusing on shard routing states such as INITIALIZING. It includes methods for handling cluster state updates and maintaining consistent data distribution across nodes. The implementation uses Java and adheres to Apache License 2.0.</t>
        </is>
      </c>
      <c r="E328" t="n">
        <v>0.01</v>
      </c>
      <c r="F328" t="n">
        <v>0.1154</v>
      </c>
      <c r="G328" t="n">
        <v>0.2745</v>
      </c>
      <c r="H328" t="inlineStr">
        <is>
          <t>Manages cluster operations and implements core algorithms. Complexity is O(N).</t>
        </is>
      </c>
      <c r="I328" t="n">
        <v>0.0494</v>
      </c>
      <c r="J328" t="n">
        <v>0.2105</v>
      </c>
      <c r="K328" t="n">
        <v>0.3117</v>
      </c>
      <c r="L328" t="inlineStr">
        <is>
          <t>This Java package `org.elasticsearch.cluster` provides classes for managing cluster state and routing shards within an Elasticsearch system. The primary functionalities include initializing shard states, handling node failures, and coordinating data distribution across nodes. The code complexity is moderate, with a size of approximately 1000 lines, focusing on implementing core algorithms related to cluster management and routing.</t>
        </is>
      </c>
      <c r="M328" t="n">
        <v>0.0043</v>
      </c>
      <c r="N328" t="n">
        <v>0.1212</v>
      </c>
      <c r="O328" t="n">
        <v>0.2906</v>
      </c>
    </row>
    <row r="329">
      <c r="A329" t="inlineStr">
        <is>
          <t>crate</t>
        </is>
      </c>
      <c r="B329" t="inlineStr">
        <is>
          <t>server/src/testFixtures/java/org/elasticsearch/cluster/routing/ShardRoutingHelper.java</t>
        </is>
      </c>
      <c r="C329">
        <f>HYPERLINK("https://github.com/crate/crate/blob/master/server/src/testFixtures/java/org/elasticsearch/cluster/routing/ShardRoutingHelper.java")</f>
        <v/>
      </c>
      <c r="D329" t="inlineStr">
        <is>
          <t>The provided code defines a utility class `ClusterRoutingHelper` within the `org.elasticsearch.cluster.routing` package. This class provides public methods to access package-private APIs intended for testing purposes. The complexity of the implementation is O(1), as it involves simple method calls without nested loops or recursive operations. The comments indicate that the implementation focuses on core algorithms related to cluster routing. The code size is approximately</t>
        </is>
      </c>
      <c r="E329" t="n">
        <v>0.0034</v>
      </c>
      <c r="F329" t="n">
        <v>0.0789</v>
      </c>
      <c r="G329" t="n">
        <v>0.1111</v>
      </c>
      <c r="H329" t="inlineStr">
        <is>
          <t>The code provides a helper class for accessing package-private APIs in the `org.elasticsearch.cluster.routing` package, primarily used for testing purposes. It includes comments explaining its purpose and implementation details. The complexity is described as O(N), but without further context, it's unclear what N represents. The code size is given as 1000 lines.</t>
        </is>
      </c>
      <c r="I329" t="n">
        <v>0.0036</v>
      </c>
      <c r="J329" t="n">
        <v>0.0308</v>
      </c>
      <c r="K329" t="n">
        <v>0.122</v>
      </c>
      <c r="L329" t="inlineStr">
        <is>
          <t>This Java class provides a public interface to package-private methods within `org.elasticsearch.cluster.routing`, enabling easier testing of recovery sources without exposing internal implementation details. It includes a method to retrieve snapshot recovery sources, which can be useful for verifying how cluster routing handles snapshots during node failures.</t>
        </is>
      </c>
      <c r="M329" t="n">
        <v>0.004</v>
      </c>
      <c r="N329" t="n">
        <v>0.06900000000000001</v>
      </c>
      <c r="O329" t="n">
        <v>0.1271</v>
      </c>
    </row>
    <row r="330">
      <c r="A330" t="inlineStr">
        <is>
          <t>crate</t>
        </is>
      </c>
      <c r="B330" t="inlineStr">
        <is>
          <t>server/src/testFixtures/java/org/elasticsearch/cluster/routing/TestShardRouting.java</t>
        </is>
      </c>
      <c r="C330">
        <f>HYPERLINK("https://github.com/crate/crate/blob/master/server/src/testFixtures/java/org/elasticsearch/cluster/routing/TestShardRouting.java")</f>
        <v/>
      </c>
      <c r="D330" t="inlineStr">
        <is>
          <t>The provided code appears to be part of an Elasticsearch project, specifically within its cluster routing module. It includes several classes related to managing and distributing data across nodes in a cluster using Lucene indexing. The code uses randomization functions from Crate Lucene and Elasticsearch's test utilities to generate random strings and versions. The complexity is O(N), indicating that it processes elements linearly based on their count. Comments</t>
        </is>
      </c>
      <c r="E330" t="n">
        <v>0.0027</v>
      </c>
      <c r="F330" t="n">
        <v>0.0769</v>
      </c>
      <c r="G330" t="n">
        <v>0.07140000000000001</v>
      </c>
      <c r="H330" t="inlineStr">
        <is>
          <t>This repository contains backend software components implementing core algorithms. The complexity is O(N), indicating linear time complexity, which means it scales proportionally with the size of the input data.</t>
        </is>
      </c>
      <c r="I330" t="n">
        <v>0.008500000000000001</v>
      </c>
      <c r="J330" t="n">
        <v>0.2105</v>
      </c>
      <c r="K330" t="n">
        <v>0.3125</v>
      </c>
      <c r="L330" t="inlineStr">
        <is>
          <t>This Java package contains backend software components responsible for managing cluster routing in Elasticsearch, implementing core algorithms that determine how data should be distributed across nodes within the cluster. The code complexity is moderate, with comments indicating implementation of core algorithms, and the repository was initially committed without detailed documentation. The total size of the codebase is approximately 1000 lines.</t>
        </is>
      </c>
      <c r="M330" t="n">
        <v>0.0043</v>
      </c>
      <c r="N330" t="n">
        <v>0.1471</v>
      </c>
      <c r="O330" t="n">
        <v>0.1894</v>
      </c>
    </row>
    <row r="331">
      <c r="A331" t="inlineStr">
        <is>
          <t>crate</t>
        </is>
      </c>
      <c r="B331" t="inlineStr">
        <is>
          <t>server/src/testFixtures/java/org/elasticsearch/snapshots/AbstractSnapshotIntegTestCase.java</t>
        </is>
      </c>
      <c r="C331">
        <f>HYPERLINK("https://github.com/crate/crate/blob/master/server/src/testFixtures/java/org/elasticsearch/snapshots/AbstractSnapshotIntegTestCase.java")</f>
        <v/>
      </c>
      <c r="D331" t="inlineStr">
        <is>
          <t>The code appears to be part of an Elasticsearch project, specifically related to snapshot management. It includes assertions and tests using AssertJ to verify certain conditions during snapshot operations. The complexity is O(N), indicating that it involves processing data linearly. The comments suggest that the implementation focuses on core algorithms used in managing snapshots within the Elasticsearch framework. The code size is approximately 1000 lines.</t>
        </is>
      </c>
      <c r="E331" t="n">
        <v>0.0033</v>
      </c>
      <c r="F331" t="n">
        <v>0.0541</v>
      </c>
      <c r="G331" t="n">
        <v>0.146</v>
      </c>
      <c r="H331" t="inlineStr">
        <is>
          <t>This repository contains backend software components that implement core algorithms. The complexity of these implementations varies depending on the specific algorithm being used, but it is generally represented as \(O(N)\). The code size is approximately 1000 lines, and it includes comments explaining the implementation details.</t>
        </is>
      </c>
      <c r="I331" t="n">
        <v>0.0058</v>
      </c>
      <c r="J331" t="n">
        <v>0.1852</v>
      </c>
      <c r="K331" t="n">
        <v>0.2137</v>
      </c>
      <c r="L331" t="inlineStr">
        <is>
          <t>The provided code is part of an Elasticsearch snapshot component that includes assertions for testing purposes. It uses AssertJ for making assertions about objects and handles exceptions such as `IOException`. The code appears to be initializing test cases for snapshot-related functionalities within the Elasticsearch framework.</t>
        </is>
      </c>
      <c r="M331" t="n">
        <v>0.0041</v>
      </c>
      <c r="N331" t="n">
        <v>0.037</v>
      </c>
      <c r="O331" t="n">
        <v>0.08550000000000001</v>
      </c>
    </row>
    <row r="332">
      <c r="A332" t="inlineStr">
        <is>
          <t>crate</t>
        </is>
      </c>
      <c r="B332" t="inlineStr">
        <is>
          <t>server/src/testFixtures/java/org/elasticsearch/snapshots/mockstore/BlobStoreWrapper.java</t>
        </is>
      </c>
      <c r="C332">
        <f>HYPERLINK("https://github.com/crate/crate/blob/master/server/src/testFixtures/java/org/elasticsearch/snapshots/mockstore/BlobStoreWrapper.java")</f>
        <v/>
      </c>
      <c r="D332" t="inlineStr">
        <is>
          <t>The code implements a mock blob store for testing purposes within the Elasticsearch project. It provides basic functionalities such as creating, deleting, listing blobs, and retrieving blob metadata. The complexity is O(N) due to potential operations involving iterating over lists of blobs. The implementation includes comments explaining key parts of the code, but no detailed algorithmic description is provided.</t>
        </is>
      </c>
      <c r="E332" t="n">
        <v>0.0037</v>
      </c>
      <c r="F332" t="n">
        <v>0.0882</v>
      </c>
      <c r="G332" t="n">
        <v>0.1145</v>
      </c>
      <c r="H332" t="inlineStr">
        <is>
          <t>Implements core algorithms for managing blob storage in Elasticsearch snapshots.</t>
        </is>
      </c>
      <c r="I332" t="n">
        <v>0.0211</v>
      </c>
      <c r="J332" t="n">
        <v>0.2222</v>
      </c>
      <c r="K332" t="n">
        <v>0.2287</v>
      </c>
      <c r="L332" t="inlineStr">
        <is>
          <t>The code provides a mock implementation of a `BlobContainer` interface from Elasticsearch's blob store framework. It allows for testing purposes without relying on actual storage systems, focusing on core algorithm implementations as indicated by existing comments and initial commit messages. The complexity is O(N), indicating linear time operations, which aligns with typical requirements for such mock implementations.</t>
        </is>
      </c>
      <c r="M332" t="n">
        <v>0.0038</v>
      </c>
      <c r="N332" t="n">
        <v>0.0896</v>
      </c>
      <c r="O332" t="n">
        <v>0.1163</v>
      </c>
    </row>
    <row r="333">
      <c r="A333" t="inlineStr">
        <is>
          <t>crate</t>
        </is>
      </c>
      <c r="B333" t="inlineStr">
        <is>
          <t>server/src/testFixtures/java/org/elasticsearch/snapshots/mockstore/MockRepository.java</t>
        </is>
      </c>
      <c r="C333">
        <f>HYPERLINK("https://github.com/crate/crate/blob/master/server/src/testFixtures/java/org/elasticsearch/snapshots/mockstore/MockRepository.java")</f>
        <v/>
      </c>
      <c r="D333" t="inlineStr">
        <is>
          <t>The provided code implements a mock snapshot store for testing purposes within the Elasticsearch framework. It includes methods for creating snapshots, retrieving snapshots, deleting snapshots, and listing all available snapshots. The implementation uses Java's `MessageDigest` class for hashing operations and handles input/output streams for data storage and retrieval. The complexity of the algorithm is O(N), where N represents the number of snapshots being processed.</t>
        </is>
      </c>
      <c r="E333" t="n">
        <v>0.0034</v>
      </c>
      <c r="F333" t="n">
        <v>0.0533</v>
      </c>
      <c r="G333" t="n">
        <v>0.1103</v>
      </c>
      <c r="H333" t="inlineStr">
        <is>
          <t>Implements core algorithms for backend software components. Complexity is O(N).</t>
        </is>
      </c>
      <c r="I333" t="n">
        <v>0.0251</v>
      </c>
      <c r="J333" t="n">
        <v>0.2105</v>
      </c>
      <c r="K333" t="n">
        <v>0.3117</v>
      </c>
      <c r="L333" t="inlineStr">
        <is>
          <t>The provided Java code defines a mock snapshot store implementation within the Elasticsearch project. It includes methods for creating snapshots, retrieving snapshot metadata, listing available snapshots, and deleting snapshots. The class uses `MessageDigest` for hashing purposes and handles input/output operations using `InputStream`. The code is designed to be used as part of the Elasticsearch backend system, allowing for testing and development without relying on actual storage systems.</t>
        </is>
      </c>
      <c r="M333" t="n">
        <v>0.0027</v>
      </c>
      <c r="N333" t="n">
        <v>0.0526</v>
      </c>
      <c r="O333" t="n">
        <v>0.1079</v>
      </c>
    </row>
    <row r="334">
      <c r="A334" t="inlineStr">
        <is>
          <t>crate</t>
        </is>
      </c>
      <c r="B334" t="inlineStr">
        <is>
          <t>server/src/testFixtures/java/org/elasticsearch/snapshots/mockstore/BlobContainerWrapper.java</t>
        </is>
      </c>
      <c r="C334">
        <f>HYPERLINK("https://github.com/crate/crate/blob/master/server/src/testFixtures/java/org/elasticsearch/snapshots/mockstore/BlobContainerWrapper.java")</f>
        <v/>
      </c>
      <c r="D334" t="inlineStr">
        <is>
          <t>The provided Java code defines a class `MockBlobStore` within the package `org.elasticsearch.snapshots.mockstore`. This class implements the `BlobContainer` interface from Elasticsearch's blob store framework. It provides methods to interact with mock data stored in memory, such as listing blobs, retrieving blob metadata, uploading new blobs, and deleting existing ones. The implementation uses basic operations like adding, removing, and</t>
        </is>
      </c>
      <c r="E334" t="n">
        <v>0.0042</v>
      </c>
      <c r="F334" t="n">
        <v>0.08699999999999999</v>
      </c>
      <c r="G334" t="n">
        <v>0.155</v>
      </c>
      <c r="H334" t="inlineStr">
        <is>
          <t>This repository contains backend software components implementing core algorithms. The complexity is O(N), indicating linear time complexity, which means it scales proportionally with the size of the input data. The comments describe the implementation of these algorithms, while the commits indicate that the initial codebase was committed. The total code size is 1000 lines.</t>
        </is>
      </c>
      <c r="I334" t="n">
        <v>0.0045</v>
      </c>
      <c r="J334" t="n">
        <v>0.127</v>
      </c>
      <c r="K334" t="n">
        <v>0.1587</v>
      </c>
      <c r="L334" t="inlineStr">
        <is>
          <t>This Java class implements a mock blob store for testing purposes within the Elasticsearch framework. It provides methods to list blobs, retrieve blob metadata, upload blobs, delete blobs, and check if a blob exists. The implementation uses basic input/output operations and maps to simulate storage interactions without actual data persistence.</t>
        </is>
      </c>
      <c r="M334" t="n">
        <v>0.0048</v>
      </c>
      <c r="N334" t="n">
        <v>0.1017</v>
      </c>
      <c r="O334" t="n">
        <v>0.1639</v>
      </c>
    </row>
    <row r="335">
      <c r="A335" t="inlineStr">
        <is>
          <t>crate</t>
        </is>
      </c>
      <c r="B335" t="inlineStr">
        <is>
          <t>server/src/testFixtures/java/org/elasticsearch/threadpool/TestThreadPool.java</t>
        </is>
      </c>
      <c r="C335">
        <f>HYPERLINK("https://github.com/crate/crate/blob/master/server/src/testFixtures/java/org/elasticsearch/threadpool/TestThreadPool.java")</f>
        <v/>
      </c>
      <c r="D335" t="inlineStr">
        <is>
          <t>The `TestThreadPool` class extends the `ThreadPool` class from the Elasticsearch framework. It appears to be a test implementation of a thread pool used within the Elasticsearch node. The class includes methods for managing threads and handling tasks, but its functionality is limited as it does not implement any actual threading logic or task execution mechanisms. The comments indicate that it is part of the core algorithms and complexity analysis section of</t>
        </is>
      </c>
      <c r="E335" t="n">
        <v>0.0034</v>
      </c>
      <c r="F335" t="n">
        <v>0.0759</v>
      </c>
      <c r="G335" t="n">
        <v>0.1399</v>
      </c>
      <c r="H335" t="inlineStr">
        <is>
          <t>The provided code defines a `TestThreadPool` class that extends the `ThreadPool` class from the Elasticsearch framework. It includes methods for managing threads and handling settings. The complexity is high due to its extensive implementation of core algorithms, and it has been committed as part of an initial codebase. The total size of the code is large, indicating a significant amount of functionality.</t>
        </is>
      </c>
      <c r="I335" t="n">
        <v>0.0035</v>
      </c>
      <c r="J335" t="n">
        <v>0.0857</v>
      </c>
      <c r="K335" t="n">
        <v>0.1493</v>
      </c>
      <c r="L335" t="inlineStr">
        <is>
          <t>The `TestThreadPool` class extends the `ThreadPool` class from the Elasticsearch framework. It appears to be designed as a test implementation for thread pools within the Elasticsearch node environment. The class includes methods such as `createThread`, which likely initializes threads based on settings and configurations defined in the `Settings` object. The constructor takes a `Node` instance as a parameter, suggesting that it might be used</t>
        </is>
      </c>
      <c r="M335" t="n">
        <v>0.0028</v>
      </c>
      <c r="N335" t="n">
        <v>0.0556</v>
      </c>
      <c r="O335" t="n">
        <v>0.1103</v>
      </c>
    </row>
    <row r="336">
      <c r="A336" t="inlineStr">
        <is>
          <t>crate</t>
        </is>
      </c>
      <c r="B336" t="inlineStr">
        <is>
          <t>server/src/main/java/io/crate/Streamer.java</t>
        </is>
      </c>
      <c r="C336">
        <f>HYPERLINK("https://github.com/crate/crate/blob/master/server/src/main/java/io/crate/Streamer.java")</f>
        <v/>
      </c>
      <c r="D336" t="inlineStr">
        <is>
          <t>The code implements core algorithms with a time complexity of O(N). It includes comments explaining its purpose and usage. The repository contains backend software components and has been maintained since an initial codebase commit. The total size of the codebase is 1000 lines.</t>
        </is>
      </c>
      <c r="E336" t="n">
        <v>0.0108</v>
      </c>
      <c r="F336" t="n">
        <v>0.1154</v>
      </c>
      <c r="G336" t="n">
        <v>0.2745</v>
      </c>
      <c r="H336" t="inlineStr">
        <is>
          <t>Implements core algorithms for backend software components. Complexity is O(N).</t>
        </is>
      </c>
      <c r="I336" t="n">
        <v>0.0251</v>
      </c>
      <c r="J336" t="n">
        <v>0.2105</v>
      </c>
      <c r="K336" t="n">
        <v>0.3117</v>
      </c>
      <c r="L336" t="inlineStr">
        <is>
          <t>The provided code implements core algorithms for backend software components, focusing on efficient data processing and manipulation. It has a time complexity of O(N), indicating linear performance relative to input size. The code includes comments that explain implementation details, making it easier to understand the core functionalities without needing extensive documentation.</t>
        </is>
      </c>
      <c r="M336" t="n">
        <v>0.008999999999999999</v>
      </c>
      <c r="N336" t="n">
        <v>0.1333</v>
      </c>
      <c r="O336" t="n">
        <v>0.3024</v>
      </c>
    </row>
    <row r="337">
      <c r="A337" t="inlineStr">
        <is>
          <t>crate</t>
        </is>
      </c>
      <c r="B337" t="inlineStr">
        <is>
          <t>server/src/main/java/io/crate/Constants.java</t>
        </is>
      </c>
      <c r="C337">
        <f>HYPERLINK("https://github.com/crate/crate/blob/master/server/src/main/java/io/crate/Constants.java")</f>
        <v/>
      </c>
      <c r="D337" t="inlineStr">
        <is>
          <t>The code implements core algorithms without detailed comments, focusing on complexity O(N). It's part of a larger backend software component repository.</t>
        </is>
      </c>
      <c r="E337" t="n">
        <v>0.0214</v>
      </c>
      <c r="F337" t="n">
        <v>0.129</v>
      </c>
      <c r="G337" t="n">
        <v>0.3394</v>
      </c>
      <c r="H337" t="inlineStr">
        <is>
          <t>The code implements core algorithms for a backend system. Complexity is O(N), indicating linear time complexity. Comments describe the implementation details. The README provides general information about the repository's contents.</t>
        </is>
      </c>
      <c r="I337" t="n">
        <v>0.0132</v>
      </c>
      <c r="J337" t="n">
        <v>0.1</v>
      </c>
      <c r="K337" t="n">
        <v>0.1838</v>
      </c>
      <c r="L337" t="inlineStr">
        <is>
          <t>The provided code implements core algorithms for a backend software component, focusing on efficient data processing and manipulation tasks. It processes large datasets using an O(N) complexity approach, leveraging existing comments and commit messages to describe its implementation. The code size is approximately 1000 lines, making it suitable for handling complex database queries and data transformations within the context of a larger system.</t>
        </is>
      </c>
      <c r="M337" t="n">
        <v>0.0073</v>
      </c>
      <c r="N337" t="n">
        <v>0.0833</v>
      </c>
      <c r="O337" t="n">
        <v>0.2756</v>
      </c>
    </row>
    <row r="338">
      <c r="A338" t="inlineStr">
        <is>
          <t>crate</t>
        </is>
      </c>
      <c r="B338" t="inlineStr">
        <is>
          <t>server/src/main/java/io/crate/time/StrictISODateTimeFormat.java</t>
        </is>
      </c>
      <c r="C338">
        <f>HYPERLINK("https://github.com/crate/crate/blob/master/server/src/main/java/io/crate/time/StrictISODateTimeFormat.java")</f>
        <v/>
      </c>
      <c r="D338" t="inlineStr">
        <is>
          <t>The code implements core algorithms using Joda-Time library for date-time operations. It includes methods for handling DateTimeFieldTypes and formatting dates. The complexity is O(N) due to potential loops over collections.</t>
        </is>
      </c>
      <c r="E338" t="n">
        <v>0.0146</v>
      </c>
      <c r="F338" t="n">
        <v>0.1463</v>
      </c>
      <c r="G338" t="n">
        <v>0.3094</v>
      </c>
      <c r="H338" t="inlineStr">
        <is>
          <t>This repository contains backend software components that implement core algorithms using Joda-Time library. The complexity is O(N) due to potential nested loops or recursive functions depending on the implementation details.</t>
        </is>
      </c>
      <c r="I338" t="n">
        <v>0.008200000000000001</v>
      </c>
      <c r="J338" t="n">
        <v>0.25</v>
      </c>
      <c r="K338" t="n">
        <v>0.2451</v>
      </c>
      <c r="L338" t="inlineStr">
        <is>
          <t>This Java package `io.crate.time` provides utilities for handling time-related functionalities using Joda-Time library. It includes methods for parsing date strings into DateTime objects and converting them between different formats. The class `DateTimeUtils` offers static methods such as `parseDate` and `formatDate`, which facilitate easy manipulation and conversion of dates within the application.</t>
        </is>
      </c>
      <c r="M338" t="n">
        <v>0.0043</v>
      </c>
      <c r="N338" t="n">
        <v>0.09520000000000001</v>
      </c>
      <c r="O338" t="n">
        <v>0.122</v>
      </c>
    </row>
    <row r="339">
      <c r="A339" t="inlineStr">
        <is>
          <t>crate</t>
        </is>
      </c>
      <c r="B339" t="inlineStr">
        <is>
          <t>server/src/main/java/io/crate/execution/package-info.java</t>
        </is>
      </c>
      <c r="C339">
        <f>HYPERLINK("https://github.com/crate/crate/blob/master/server/src/main/java/io/crate/execution/package-info.java")</f>
        <v/>
      </c>
      <c r="D339" t="inlineStr">
        <is>
          <t>The code implements core algorithms without providing any specific details about their functionality. It includes comments indicating that it is part of a larger project with complexity O(N) and mentions that it has been committed initially. The README provides basic information about the repository's contents and structure.</t>
        </is>
      </c>
      <c r="E339" t="n">
        <v>0.0091</v>
      </c>
      <c r="F339" t="n">
        <v>0.1404</v>
      </c>
      <c r="G339" t="n">
        <v>0.2652</v>
      </c>
      <c r="H339" t="inlineStr">
        <is>
          <t>Implements core algorithms for backend software components. Complexity is O(N).</t>
        </is>
      </c>
      <c r="I339" t="n">
        <v>0.0251</v>
      </c>
      <c r="J339" t="n">
        <v>0.2105</v>
      </c>
      <c r="K339" t="n">
        <v>0.3117</v>
      </c>
      <c r="L339" t="inlineStr">
        <is>
          <t>The provided code implements core algorithms for backend software components, focusing on efficient data processing and manipulation using a time complexity of O(N). The implementation includes comments explaining the core functionalities, making it easier for developers to understand and maintain.</t>
        </is>
      </c>
      <c r="M339" t="n">
        <v>0.0116</v>
      </c>
      <c r="N339" t="n">
        <v>0.2041</v>
      </c>
      <c r="O339" t="n">
        <v>0.2232</v>
      </c>
    </row>
    <row r="340">
      <c r="A340" t="inlineStr">
        <is>
          <t>crate</t>
        </is>
      </c>
      <c r="B340" t="inlineStr">
        <is>
          <t>server/src/main/java/io/crate/execution/IncrementalPageBucketReceiver.java</t>
        </is>
      </c>
      <c r="C340">
        <f>HYPERLINK("https://github.com/crate/crate/blob/master/server/src/main/java/io/crate/execution/IncrementalPageBucketReceiver.java")</f>
        <v/>
      </c>
      <c r="D340" t="inlineStr">
        <is>
          <t>The provided code implements core algorithms without any comments or documentation. It is written in Java and licensed under the Apache License 2.0. The complexity of the implementation is O(N), indicating linear time complexity. The code size is 1000 lines.</t>
        </is>
      </c>
      <c r="E340" t="n">
        <v>0.0108</v>
      </c>
      <c r="F340" t="n">
        <v>0.12</v>
      </c>
      <c r="G340" t="n">
        <v>0.2282</v>
      </c>
      <c r="H340" t="inlineStr">
        <is>
          <t>Implements core algorithms.</t>
        </is>
      </c>
      <c r="I340" t="n">
        <v>0.0215</v>
      </c>
      <c r="J340" t="n">
        <v>0.3636</v>
      </c>
      <c r="K340" t="n">
        <v>0.25</v>
      </c>
      <c r="L340" t="inlineStr">
        <is>
          <t>This code implements core algorithms for a backend software component, handling input data efficiently with a time complexity of O(N). It includes comments explaining implementation details and is part of a larger project that manages database functionalities. The code size is 1000 lines, reflecting its importance within the system's architecture.</t>
        </is>
      </c>
      <c r="M340" t="n">
        <v>0.0098</v>
      </c>
      <c r="N340" t="n">
        <v>0.1333</v>
      </c>
      <c r="O340" t="n">
        <v>0.3495</v>
      </c>
    </row>
    <row r="341">
      <c r="A341" t="inlineStr">
        <is>
          <t>crate</t>
        </is>
      </c>
      <c r="B341" t="inlineStr">
        <is>
          <t>server/src/main/java/io/crate/execution/TransportExecutorModule.java</t>
        </is>
      </c>
      <c r="C341">
        <f>HYPERLINK("https://github.com/crate/crate/blob/master/server/src/main/java/io/crate/execution/TransportExecutorModule.java")</f>
        <v/>
      </c>
      <c r="D341" t="inlineStr">
        <is>
          <t>The provided code implements core algorithms without any comments or documentation, making it difficult to understand its functionality. The complexity is O(N), indicating linear time performance. It's part of a larger repository containing backend software components.</t>
        </is>
      </c>
      <c r="E341" t="n">
        <v>0.0121</v>
      </c>
      <c r="F341" t="n">
        <v>0.1304</v>
      </c>
      <c r="G341" t="n">
        <v>0.2922</v>
      </c>
      <c r="H341" t="inlineStr">
        <is>
          <t>The repository contains backend software components that implement core algorithms. The complexity of the implementation is O(N), indicating linear time complexity.</t>
        </is>
      </c>
      <c r="I341" t="n">
        <v>0.0109</v>
      </c>
      <c r="J341" t="n">
        <v>0.2</v>
      </c>
      <c r="K341" t="n">
        <v>0.1613</v>
      </c>
      <c r="L341" t="inlineStr">
        <is>
          <t>The code implements core algorithms for backend software components, focusing on efficient data processing and manipulation using a time complexity of O(N). It includes comments explaining implementation details and is part of a larger project that requires high performance and scalability. The code size is approximately 1000 lines, making it essential for maintaining optimal system performance and ensuring robustness across various scenarios.</t>
        </is>
      </c>
      <c r="M341" t="n">
        <v>0.0074</v>
      </c>
      <c r="N341" t="n">
        <v>0.08450000000000001</v>
      </c>
      <c r="O341" t="n">
        <v>0.2776</v>
      </c>
    </row>
    <row r="342">
      <c r="A342" t="inlineStr">
        <is>
          <t>crate</t>
        </is>
      </c>
      <c r="B342" t="inlineStr">
        <is>
          <t>server/src/main/java/io/crate/execution/MultiPhaseExecutor.java</t>
        </is>
      </c>
      <c r="C342">
        <f>HYPERLINK("https://github.com/crate/crate/blob/master/server/src/main/java/io/crate/execution/MultiPhaseExecutor.java")</f>
        <v/>
      </c>
      <c r="D342" t="inlineStr">
        <is>
          <t>The code implements core algorithms with a time complexity of O(N). It includes comments explaining its implementation and structure. The README provides basic information about the project's purpose, complexity, and size.</t>
        </is>
      </c>
      <c r="E342" t="n">
        <v>0.0141</v>
      </c>
      <c r="F342" t="n">
        <v>0.1463</v>
      </c>
      <c r="G342" t="n">
        <v>0.2481</v>
      </c>
      <c r="H342" t="inlineStr">
        <is>
          <t>The code implements core algorithms for a backend system. Complexity is O(N), indicating linear time complexity. The README describes it as containing backend software components.</t>
        </is>
      </c>
      <c r="I342" t="n">
        <v>0.0177</v>
      </c>
      <c r="J342" t="n">
        <v>0.1176</v>
      </c>
      <c r="K342" t="n">
        <v>0.2635</v>
      </c>
      <c r="L342" t="inlineStr">
        <is>
          <t>This code implements core algorithms for backend software components, handling inputs and producing outputs efficiently using an O(N) complexity approach. The implementation includes comments that describe the core functionalities, and the code size is approximately 1000 lines.</t>
        </is>
      </c>
      <c r="M342" t="n">
        <v>0.0133</v>
      </c>
      <c r="N342" t="n">
        <v>0.2609</v>
      </c>
      <c r="O342" t="n">
        <v>0.2752</v>
      </c>
    </row>
    <row r="343">
      <c r="A343" t="inlineStr">
        <is>
          <t>crate</t>
        </is>
      </c>
      <c r="B343" t="inlineStr">
        <is>
          <t>server/src/main/java/io/crate/execution/engine/InitializationTracker.java</t>
        </is>
      </c>
      <c r="C343">
        <f>HYPERLINK("https://github.com/crate/crate/blob/master/server/src/main/java/io/crate/execution/engine/InitializationTracker.java")</f>
        <v/>
      </c>
      <c r="D343" t="inlineStr">
        <is>
          <t>The code implements core algorithms with a time complexity of O(N). It includes comments explaining its implementation and is part of a larger repository containing backend software components. The total size of the code is 1000 lines.</t>
        </is>
      </c>
      <c r="E343" t="n">
        <v>0.0126</v>
      </c>
      <c r="F343" t="n">
        <v>0.1304</v>
      </c>
      <c r="G343" t="n">
        <v>0.3413</v>
      </c>
      <c r="H343" t="inlineStr">
        <is>
          <t>This repository contains backend software components implementing core algorithms. Complexity is O(N), indicating linear time complexity. The README provides general information about the project's purpose and structure.</t>
        </is>
      </c>
      <c r="I343" t="n">
        <v>0.009900000000000001</v>
      </c>
      <c r="J343" t="n">
        <v>0.2703</v>
      </c>
      <c r="K343" t="n">
        <v>0.3758</v>
      </c>
      <c r="L343" t="inlineStr">
        <is>
          <t>The code implements core algorithms for backend software components, handling inputs and producing outputs based on complex logic that processes data efficiently using an O(N) complexity approach. The implementation includes comments explaining the core functionalities, and the code size is 1000 lines.</t>
        </is>
      </c>
      <c r="M343" t="n">
        <v>0.011</v>
      </c>
      <c r="N343" t="n">
        <v>0.1961</v>
      </c>
      <c r="O343" t="n">
        <v>0.2193</v>
      </c>
    </row>
    <row r="344">
      <c r="A344" t="inlineStr">
        <is>
          <t>crate</t>
        </is>
      </c>
      <c r="B344" t="inlineStr">
        <is>
          <t>server/src/main/java/io/crate/execution/engine/NodeOperationTreeGenerator.java</t>
        </is>
      </c>
      <c r="C344">
        <f>HYPERLINK("https://github.com/crate/crate/blob/master/server/src/main/java/io/crate/execution/engine/NodeOperationTreeGenerator.java")</f>
        <v/>
      </c>
      <c r="D344" t="inlineStr">
        <is>
          <t>The provided code implements core algorithms without any comments or documentation, making it difficult to understand its functionality. The complexity is O(N), indicating linear time performance, but there's no explanation of what operations are performed or how they relate to each other. Without further context or comments, it's impossible to summarize the code effectively.</t>
        </is>
      </c>
      <c r="E344" t="n">
        <v>0.0072</v>
      </c>
      <c r="F344" t="n">
        <v>0.09229999999999999</v>
      </c>
      <c r="G344" t="n">
        <v>0.1488</v>
      </c>
      <c r="H344" t="inlineStr">
        <is>
          <t>This repository contains backend software components implementing core algorithms. The complexity is O(N), indicating linear time performance. The comments describe the implementation details, while the commits indicate the initial creation of the codebase. The total size of the code is 1000 lines.</t>
        </is>
      </c>
      <c r="I344" t="n">
        <v>0.0058</v>
      </c>
      <c r="J344" t="n">
        <v>0.1569</v>
      </c>
      <c r="K344" t="n">
        <v>0.1754</v>
      </c>
      <c r="L344" t="inlineStr">
        <is>
          <t>This code implements core algorithms for backend software components, focusing on efficient data processing and manipulation. It processes large datasets using an O(N) complexity approach, leveraging existing comments and commit messages to guide implementation. The code size is approximately 1000 lines, reflecting its comprehensive nature in handling various backend functionalities.</t>
        </is>
      </c>
      <c r="M344" t="n">
        <v>0.0098</v>
      </c>
      <c r="N344" t="n">
        <v>0.1356</v>
      </c>
      <c r="O344" t="n">
        <v>0.3495</v>
      </c>
    </row>
    <row r="345">
      <c r="A345" t="inlineStr">
        <is>
          <t>crate</t>
        </is>
      </c>
      <c r="B345" t="inlineStr">
        <is>
          <t>server/src/main/java/io/crate/execution/engine/JobLauncher.java</t>
        </is>
      </c>
      <c r="C345">
        <f>HYPERLINK("https://github.com/crate/crate/blob/master/server/src/main/java/io/crate/execution/engine/JobLauncher.java")</f>
        <v/>
      </c>
      <c r="D345" t="inlineStr">
        <is>
          <t>The code implements core algorithms with a time complexity of O(N). It includes comments explaining its implementation and has been committed as part of the initial codebase. The total size of the code is 1000 lines.</t>
        </is>
      </c>
      <c r="E345" t="n">
        <v>0.0121</v>
      </c>
      <c r="F345" t="n">
        <v>0.1333</v>
      </c>
      <c r="G345" t="n">
        <v>0.2922</v>
      </c>
      <c r="H345" t="inlineStr">
        <is>
          <t>Implements core algorithms for backend software components. Complexity is O(N).</t>
        </is>
      </c>
      <c r="I345" t="n">
        <v>0.0251</v>
      </c>
      <c r="J345" t="n">
        <v>0.2105</v>
      </c>
      <c r="K345" t="n">
        <v>0.3117</v>
      </c>
      <c r="L345" t="inlineStr">
        <is>
          <t>The code implements core algorithms for backend software components, focusing on efficient data processing and manipulation using a time complexity of O(N). It includes comments that describe implementation details and existing comments from previous commits. The code size is 1000 lines, reflecting its importance as part of the overall system architecture.</t>
        </is>
      </c>
      <c r="M345" t="n">
        <v>0.008999999999999999</v>
      </c>
      <c r="N345" t="n">
        <v>0.1</v>
      </c>
      <c r="O345" t="n">
        <v>0.3024</v>
      </c>
    </row>
    <row r="346">
      <c r="A346" t="inlineStr">
        <is>
          <t>crate</t>
        </is>
      </c>
      <c r="B346" t="inlineStr">
        <is>
          <t>server/src/main/java/io/crate/execution/engine/PhasesTaskFactory.java</t>
        </is>
      </c>
      <c r="C346">
        <f>HYPERLINK("https://github.com/crate/crate/blob/master/server/src/main/java/io/crate/execution/engine/PhasesTaskFactory.java")</f>
        <v/>
      </c>
      <c r="D346" t="inlineStr">
        <is>
          <t>The provided code implements core algorithms without detailed comments, focusing on complexity analysis as O(N). It's part of a larger repository containing backend software components. The README indicates that it has been initialized but lacks comprehensive documentation.</t>
        </is>
      </c>
      <c r="E346" t="n">
        <v>0.0117</v>
      </c>
      <c r="F346" t="n">
        <v>0.0851</v>
      </c>
      <c r="G346" t="n">
        <v>0.2896</v>
      </c>
      <c r="H346" t="inlineStr">
        <is>
          <t>This repository contains backend software components that implement core algorithms. The complexity of the implementation is O(N), indicating linear time complexity. The comments describe the implementation as core algorithms. There has been an initial codebase commit. The total size of the codebase is 1000 lines.</t>
        </is>
      </c>
      <c r="I346" t="n">
        <v>0.0054</v>
      </c>
      <c r="J346" t="n">
        <v>0.1481</v>
      </c>
      <c r="K346" t="n">
        <v>0.1709</v>
      </c>
      <c r="L346" t="inlineStr">
        <is>
          <t>The code implements core algorithms for backend software components, handling data processing efficiently with a time complexity of O(N). It includes comments explaining implementation details and has been committed as part of an initial codebase. The total size of the codebase is 1000 lines.</t>
        </is>
      </c>
      <c r="M346" t="n">
        <v>0.0105</v>
      </c>
      <c r="N346" t="n">
        <v>0.1132</v>
      </c>
      <c r="O346" t="n">
        <v>0.3207</v>
      </c>
    </row>
    <row r="347">
      <c r="A347" t="inlineStr">
        <is>
          <t>crate</t>
        </is>
      </c>
      <c r="B347" t="inlineStr">
        <is>
          <t>server/src/main/java/io/crate/execution/engine/InterceptingRowConsumer.java</t>
        </is>
      </c>
      <c r="C347">
        <f>HYPERLINK("https://github.com/crate/crate/blob/master/server/src/main/java/io/crate/execution/engine/InterceptingRowConsumer.java")</f>
        <v/>
      </c>
      <c r="D347" t="inlineStr">
        <is>
          <t>The code implements core algorithms without providing detailed comments or complexity analysis. It appears to be part of a larger project that includes backend software components. The README indicates it's complex but does not specify its exact nature.</t>
        </is>
      </c>
      <c r="E347" t="n">
        <v>0.0114</v>
      </c>
      <c r="F347" t="n">
        <v>0.0851</v>
      </c>
      <c r="G347" t="n">
        <v>0.2869</v>
      </c>
      <c r="H347" t="inlineStr">
        <is>
          <t>This repository contains backend software components that implement core algorithms. The complexity of the implementation is O(N), indicating linear time complexity. The comments describe the purpose of the code as implementing core algorithms. The commits indicate the initial creation of the codebase. The total size of the code is 1000 lines.</t>
        </is>
      </c>
      <c r="I347" t="n">
        <v>0.0047</v>
      </c>
      <c r="J347" t="n">
        <v>0.1333</v>
      </c>
      <c r="K347" t="n">
        <v>0.2566</v>
      </c>
      <c r="L347" t="inlineStr">
        <is>
          <t>The code implements core algorithms for a backend software component, focusing on efficient data processing and manipulation tasks. It processes large datasets using an O(N) complexity algorithm, leveraging existing comments and commit messages from an initial codebase commit. The code size is approximately 1000 lines, reflecting its importance as part of the overall system architecture.</t>
        </is>
      </c>
      <c r="M347" t="n">
        <v>0.008399999999999999</v>
      </c>
      <c r="N347" t="n">
        <v>0.09379999999999999</v>
      </c>
      <c r="O347" t="n">
        <v>0.2929</v>
      </c>
    </row>
    <row r="348">
      <c r="A348" t="inlineStr">
        <is>
          <t>crate</t>
        </is>
      </c>
      <c r="B348" t="inlineStr">
        <is>
          <t>server/src/main/java/io/crate/execution/engine/PagingUnsupportedResultListener.java</t>
        </is>
      </c>
      <c r="C348">
        <f>HYPERLINK("https://github.com/crate/crate/blob/master/server/src/main/java/io/crate/execution/engine/PagingUnsupportedResultListener.java")</f>
        <v/>
      </c>
      <c r="D348" t="inlineStr">
        <is>
          <t>The provided code implements core algorithms without any comments or documentation, making it difficult to understand its functionality. The complexity is O(N), but the lack of comments makes it impossible to determine what operations are performed on input data. Without further context or explanation, it's unclear how the code should be used or what problem it solves.</t>
        </is>
      </c>
      <c r="E348" t="n">
        <v>0.0068</v>
      </c>
      <c r="F348" t="n">
        <v>0.0896</v>
      </c>
      <c r="G348" t="n">
        <v>0.1981</v>
      </c>
      <c r="H348" t="inlineStr">
        <is>
          <t>The repository contains backend software components that implement core algorithms. The complexity of the implementation is O(N), indicating linear time complexity. The comments describe the implementation as core algorithms. There has been an initial codebase commit. The total size of the code is 1000 lines.</t>
        </is>
      </c>
      <c r="I348" t="n">
        <v>0.0049</v>
      </c>
      <c r="J348" t="n">
        <v>0.1111</v>
      </c>
      <c r="K348" t="n">
        <v>0.1282</v>
      </c>
      <c r="L348" t="inlineStr">
        <is>
          <t>The code implements core algorithms for backend software components, focusing on efficient data processing and manipulation. It processes large datasets using an O(N) complexity approach, leveraging existing comments and commit messages to provide context. The code size is 1000 lines, reflecting its importance as part of the overall system architecture.</t>
        </is>
      </c>
      <c r="M348" t="n">
        <v>0.0092</v>
      </c>
      <c r="N348" t="n">
        <v>0.1017</v>
      </c>
      <c r="O348" t="n">
        <v>0.3049</v>
      </c>
    </row>
    <row r="349">
      <c r="A349" t="inlineStr">
        <is>
          <t>crate</t>
        </is>
      </c>
      <c r="B349" t="inlineStr">
        <is>
          <t>server/src/main/java/io/crate/execution/engine/BucketForwarder.java</t>
        </is>
      </c>
      <c r="C349">
        <f>HYPERLINK("https://github.com/crate/crate/blob/master/server/src/main/java/io/crate/execution/engine/BucketForwarder.java")</f>
        <v/>
      </c>
      <c r="D349" t="inlineStr">
        <is>
          <t>The provided code implements core algorithms with a time complexity of O(N). It includes comments explaining its implementation and complexity analysis. The code size is 1000 lines.</t>
        </is>
      </c>
      <c r="E349" t="n">
        <v>0.0163</v>
      </c>
      <c r="F349" t="n">
        <v>0.1667</v>
      </c>
      <c r="G349" t="n">
        <v>0.2581</v>
      </c>
      <c r="H349" t="inlineStr">
        <is>
          <t>Implements core algorithms for backend software components. Complexity is O(N).</t>
        </is>
      </c>
      <c r="I349" t="n">
        <v>0.0251</v>
      </c>
      <c r="J349" t="n">
        <v>0.2105</v>
      </c>
      <c r="K349" t="n">
        <v>0.3117</v>
      </c>
      <c r="L349" t="inlineStr">
        <is>
          <t>This code implements core algorithms for backend software components, focusing on efficient data processing and manipulation using a time complexity of O(N). The implementation includes comments that describe the core functionalities and existing commit messages indicating the initial codebase setup. The total size of the codebase is 1000 lines.</t>
        </is>
      </c>
      <c r="M349" t="n">
        <v>0.01</v>
      </c>
      <c r="N349" t="n">
        <v>0.2069</v>
      </c>
      <c r="O349" t="n">
        <v>0.4224</v>
      </c>
    </row>
    <row r="350">
      <c r="A350" t="inlineStr">
        <is>
          <t>crate</t>
        </is>
      </c>
      <c r="B350" t="inlineStr">
        <is>
          <t>server/src/main/java/io/crate/execution/engine/FirstColumnConsumers.java</t>
        </is>
      </c>
      <c r="C350">
        <f>HYPERLINK("https://github.com/crate/crate/blob/master/server/src/main/java/io/crate/execution/engine/FirstColumnConsumers.java")</f>
        <v/>
      </c>
      <c r="D350" t="inlineStr">
        <is>
          <t>The provided code implements core algorithms without any comments, making it difficult to understand its functionality. The complexity is O(N), indicating linear time performance relative to input size N. This suggests that the algorithm processes each element of the input once. Without further context or documentation, it's impossible to provide a detailed summary of the implemented algorithms.</t>
        </is>
      </c>
      <c r="E350" t="n">
        <v>0.0075</v>
      </c>
      <c r="F350" t="n">
        <v>0.0896</v>
      </c>
      <c r="G350" t="n">
        <v>0.1981</v>
      </c>
      <c r="H350" t="inlineStr">
        <is>
          <t>This repository contains backend software components that implement core algorithms. The complexity is O(N), indicating linear time complexity, which means the execution time grows proportionally to the input size.</t>
        </is>
      </c>
      <c r="I350" t="n">
        <v>0.008500000000000001</v>
      </c>
      <c r="J350" t="n">
        <v>0.2105</v>
      </c>
      <c r="K350" t="n">
        <v>0.3125</v>
      </c>
      <c r="L350" t="inlineStr">
        <is>
          <t>The code implements core algorithms for backend software components, focusing on efficient data processing and handling. It has a time complexity of O(N), indicating linear performance relative to input size, and includes comments explaining implementation details. The code base was initially committed with no existing comments, suggesting that further documentation and optimization might be needed.</t>
        </is>
      </c>
      <c r="M350" t="n">
        <v>0.008399999999999999</v>
      </c>
      <c r="N350" t="n">
        <v>0.09379999999999999</v>
      </c>
      <c r="O350" t="n">
        <v>0.2485</v>
      </c>
    </row>
    <row r="351">
      <c r="A351" t="inlineStr">
        <is>
          <t>crate</t>
        </is>
      </c>
      <c r="B351" t="inlineStr">
        <is>
          <t>server/src/main/java/io/crate/execution/engine/CorrelatedJoinProjector.java</t>
        </is>
      </c>
      <c r="C351">
        <f>HYPERLINK("https://github.com/crate/crate/blob/master/server/src/main/java/io/crate/execution/engine/CorrelatedJoinProjector.java")</f>
        <v/>
      </c>
      <c r="D351" t="inlineStr">
        <is>
          <t>The provided code implements core algorithms with a time complexity of O(N). It includes comments explaining its implementation and structure. The README indicates that it's part of a larger set of backend software components.</t>
        </is>
      </c>
      <c r="E351" t="n">
        <v>0.0138</v>
      </c>
      <c r="F351" t="n">
        <v>0.1364</v>
      </c>
      <c r="G351" t="n">
        <v>0.3509</v>
      </c>
      <c r="H351" t="inlineStr">
        <is>
          <t>Implements core algorithms for backend software components. Complexity is O(N).</t>
        </is>
      </c>
      <c r="I351" t="n">
        <v>0.0251</v>
      </c>
      <c r="J351" t="n">
        <v>0.2105</v>
      </c>
      <c r="K351" t="n">
        <v>0.3117</v>
      </c>
      <c r="L351" t="inlineStr">
        <is>
          <t>The code implements core algorithms for backend software components, focusing on efficient data processing and manipulation using a time complexity of O(N). It includes comments that describe implementation details and existing comments from previous commits. The code size is approximately 1000 lines, reflecting its importance as part of the overall system architecture.</t>
        </is>
      </c>
      <c r="M351" t="n">
        <v>0.0089</v>
      </c>
      <c r="N351" t="n">
        <v>0.0984</v>
      </c>
      <c r="O351" t="n">
        <v>0.3</v>
      </c>
    </row>
    <row r="352">
      <c r="A352" t="inlineStr">
        <is>
          <t>crate</t>
        </is>
      </c>
      <c r="B352" t="inlineStr">
        <is>
          <t>server/src/main/java/io/crate/execution/engine/collect/PKLookupOperation.java</t>
        </is>
      </c>
      <c r="C352">
        <f>HYPERLINK("https://github.com/crate/crate/blob/master/server/src/main/java/io/crate/execution/engine/collect/PKLookupOperation.java")</f>
        <v/>
      </c>
      <c r="D352" t="inlineStr">
        <is>
          <t>The code implements core algorithms without providing any detailed explanation or comments about its functionality. The complexity is O(N), indicating linear time performance. It's part of a larger project that includes backend software components.</t>
        </is>
      </c>
      <c r="E352" t="n">
        <v>0.0128</v>
      </c>
      <c r="F352" t="n">
        <v>0.1364</v>
      </c>
      <c r="G352" t="n">
        <v>0.2978</v>
      </c>
      <c r="H352" t="inlineStr">
        <is>
          <t>Implements core algorithms for backend software components. Complexity is O(N).</t>
        </is>
      </c>
      <c r="I352" t="n">
        <v>0.0251</v>
      </c>
      <c r="J352" t="n">
        <v>0.2105</v>
      </c>
      <c r="K352" t="n">
        <v>0.3117</v>
      </c>
      <c r="L352" t="inlineStr">
        <is>
          <t>The code implements core algorithms for backend software components, handling data processing efficiently with a time complexity of O(N). It includes comments explaining implementation details and is part of a larger codebase that has been committed initially without detailed documentation. The code size is 1000 lines, indicating significant functionality within the context of backend software development.</t>
        </is>
      </c>
      <c r="M352" t="n">
        <v>0.008699999999999999</v>
      </c>
      <c r="N352" t="n">
        <v>0.09229999999999999</v>
      </c>
      <c r="O352" t="n">
        <v>0.2906</v>
      </c>
    </row>
    <row r="353">
      <c r="A353" t="inlineStr">
        <is>
          <t>crate</t>
        </is>
      </c>
      <c r="B353" t="inlineStr">
        <is>
          <t>server/src/main/java/io/crate/execution/engine/collect/ShardCollectorProvider.java</t>
        </is>
      </c>
      <c r="C353">
        <f>HYPERLINK("https://github.com/crate/crate/blob/master/server/src/main/java/io/crate/execution/engine/collect/ShardCollectorProvider.java")</f>
        <v/>
      </c>
      <c r="D353" t="inlineStr">
        <is>
          <t>The provided code implements core algorithms without any comments, making it difficult to understand its functionality. The complexity is O(N), indicating linear time performance relative to input size N. The repository contains backend software components and has been modified since the initial commit.</t>
        </is>
      </c>
      <c r="E353" t="n">
        <v>0.0108</v>
      </c>
      <c r="F353" t="n">
        <v>0.1538</v>
      </c>
      <c r="G353" t="n">
        <v>0.2745</v>
      </c>
      <c r="H353" t="inlineStr">
        <is>
          <t>The repository contains backend software components that implement core algorithms. The complexity is O(N), indicating linear time performance. The implementation includes comments explaining its purpose. The code size is 1000 lines.</t>
        </is>
      </c>
      <c r="I353" t="n">
        <v>0.0072</v>
      </c>
      <c r="J353" t="n">
        <v>0.15</v>
      </c>
      <c r="K353" t="n">
        <v>0.1456</v>
      </c>
      <c r="L353" t="inlineStr">
        <is>
          <t>This code implements core algorithms for a backend software component, focusing on efficient data processing and manipulation. It processes large datasets using an O(N) complexity algorithm, leveraging existing comments and commit messages to describe its implementation. The code size is 1000 lines, indicating significant functionality within the context of the repository's backend software components.</t>
        </is>
      </c>
      <c r="M353" t="n">
        <v>0.0094</v>
      </c>
      <c r="N353" t="n">
        <v>0.125</v>
      </c>
      <c r="O353" t="n">
        <v>0.3384</v>
      </c>
    </row>
    <row r="354">
      <c r="A354" t="inlineStr">
        <is>
          <t>crate</t>
        </is>
      </c>
      <c r="B354" t="inlineStr">
        <is>
          <t>server/src/main/java/io/crate/execution/engine/collect/GroupByOptimizedIterator.java</t>
        </is>
      </c>
      <c r="C354">
        <f>HYPERLINK("https://github.com/crate/crate/blob/master/server/src/main/java/io/crate/execution/engine/collect/GroupByOptimizedIterator.java")</f>
        <v/>
      </c>
      <c r="D354" t="inlineStr">
        <is>
          <t>The code implements core algorithms with a time complexity of O(N). It includes comments explaining its implementation and complexity analysis. The README provides details about the repository's contents, including the number of commits and lines of code.</t>
        </is>
      </c>
      <c r="E354" t="n">
        <v>0.0117</v>
      </c>
      <c r="F354" t="n">
        <v>0.1277</v>
      </c>
      <c r="G354" t="n">
        <v>0.2345</v>
      </c>
      <c r="H354" t="inlineStr">
        <is>
          <t>The code implements core algorithms for backend software components. Complexity is O(N), indicating linear time complexity. Comments describe the implementation details. The code size is 1000 lines.</t>
        </is>
      </c>
      <c r="I354" t="n">
        <v>0.0163</v>
      </c>
      <c r="J354" t="n">
        <v>0.1111</v>
      </c>
      <c r="K354" t="n">
        <v>0.2581</v>
      </c>
      <c r="L354" t="inlineStr">
        <is>
          <t>The provided code implements core algorithms for a backend software component, handling complex data processing tasks efficiently with a time complexity of O(N). The implementation includes comments that describe the core functionalities, and the code size is approximately 1000 lines.</t>
        </is>
      </c>
      <c r="M354" t="n">
        <v>0.0116</v>
      </c>
      <c r="N354" t="n">
        <v>0.2041</v>
      </c>
      <c r="O354" t="n">
        <v>0.1786</v>
      </c>
    </row>
    <row r="355">
      <c r="A355" t="inlineStr">
        <is>
          <t>crate</t>
        </is>
      </c>
      <c r="B355" t="inlineStr">
        <is>
          <t>server/src/main/java/io/crate/execution/engine/collect/ValueAndInputRow.java</t>
        </is>
      </c>
      <c r="C355">
        <f>HYPERLINK("https://github.com/crate/crate/blob/master/server/src/main/java/io/crate/execution/engine/collect/ValueAndInputRow.java")</f>
        <v/>
      </c>
      <c r="D355" t="inlineStr">
        <is>
          <t>The provided code implements core algorithms without any comments or documentation, making it difficult to understand its functionality. The complexity is O(N), indicating linear time complexity, but no specific details about what operations are performed or how they relate to each other are given. The README mentions that this is part of a larger project containing backend software components, which suggests it could be used as part of a data processing system.</t>
        </is>
      </c>
      <c r="E355" t="n">
        <v>0.0059</v>
      </c>
      <c r="F355" t="n">
        <v>0.0741</v>
      </c>
      <c r="G355" t="n">
        <v>0.2583</v>
      </c>
      <c r="H355" t="inlineStr">
        <is>
          <t>This repository contains backend software components that implement core algorithms. The complexity of the implementation is O(N), indicating linear time complexity. The comments provide details about the algorithm's purpose and structure.</t>
        </is>
      </c>
      <c r="I355" t="n">
        <v>0.008500000000000001</v>
      </c>
      <c r="J355" t="n">
        <v>0.2439</v>
      </c>
      <c r="K355" t="n">
        <v>0.2427</v>
      </c>
      <c r="L355" t="inlineStr">
        <is>
          <t>This code implements core algorithms for backend software components, focusing on efficient data processing and manipulation using a time complexity of O(N). The implementation includes comments that describe the core functionalities, and the code size is 1000 lines.</t>
        </is>
      </c>
      <c r="M355" t="n">
        <v>0.013</v>
      </c>
      <c r="N355" t="n">
        <v>0.2553</v>
      </c>
      <c r="O355" t="n">
        <v>0.2727</v>
      </c>
    </row>
    <row r="356">
      <c r="A356" t="inlineStr">
        <is>
          <t>crate</t>
        </is>
      </c>
      <c r="B356" t="inlineStr">
        <is>
          <t>server/src/main/java/io/crate/execution/engine/collect/BlobShardCollectorProvider.java</t>
        </is>
      </c>
      <c r="C356">
        <f>HYPERLINK("https://github.com/crate/crate/blob/master/server/src/main/java/io/crate/execution/engine/collect/BlobShardCollectorProvider.java")</f>
        <v/>
      </c>
      <c r="D356" t="inlineStr">
        <is>
          <t>The provided code implements core algorithms with a time complexity of O(N). It includes comments explaining its implementation and complexity analysis. The code size is 1000 lines.</t>
        </is>
      </c>
      <c r="E356" t="n">
        <v>0.0163</v>
      </c>
      <c r="F356" t="n">
        <v>0.1667</v>
      </c>
      <c r="G356" t="n">
        <v>0.2581</v>
      </c>
      <c r="H356" t="inlineStr">
        <is>
          <t>Implements core algorithms for backend software components. Complexity is O(N).</t>
        </is>
      </c>
      <c r="I356" t="n">
        <v>0.0251</v>
      </c>
      <c r="J356" t="n">
        <v>0.2105</v>
      </c>
      <c r="K356" t="n">
        <v>0.3117</v>
      </c>
      <c r="L356" t="inlineStr">
        <is>
          <t>This code implements core algorithms for backend software components using a time complexity of O(N). It includes comments explaining implementation details and has been committed as part of an initial codebase. The total size of the codebase is 1000 lines.</t>
        </is>
      </c>
      <c r="M356" t="n">
        <v>0.0123</v>
      </c>
      <c r="N356" t="n">
        <v>0.1633</v>
      </c>
      <c r="O356" t="n">
        <v>0.3807</v>
      </c>
    </row>
    <row r="357">
      <c r="A357" t="inlineStr">
        <is>
          <t>crate</t>
        </is>
      </c>
      <c r="B357" t="inlineStr">
        <is>
          <t>server/src/main/java/io/crate/execution/engine/collect/RowsTransformer.java</t>
        </is>
      </c>
      <c r="C357">
        <f>HYPERLINK("https://github.com/crate/crate/blob/master/server/src/main/java/io/crate/execution/engine/collect/RowsTransformer.java")</f>
        <v/>
      </c>
      <c r="D357" t="inlineStr">
        <is>
          <t>The code implements core algorithms with a time complexity of O(N). It includes comments explaining its implementation and complexity analysis. The README provides details about the repository's contents, complexity, and commits.</t>
        </is>
      </c>
      <c r="E357" t="n">
        <v>0.0141</v>
      </c>
      <c r="F357" t="n">
        <v>0.1463</v>
      </c>
      <c r="G357" t="n">
        <v>0.2481</v>
      </c>
      <c r="H357" t="inlineStr">
        <is>
          <t>The repository contains backend software components that implement core algorithms. The complexity is O(N), indicating linear time complexity, which means the execution time increases linearly with the size of the input data. The comments describe the implementation of these core algorithms. The code size is 1000 lines.</t>
        </is>
      </c>
      <c r="I357" t="n">
        <v>0.0046</v>
      </c>
      <c r="J357" t="n">
        <v>0.1071</v>
      </c>
      <c r="K357" t="n">
        <v>0.1261</v>
      </c>
      <c r="L357" t="inlineStr">
        <is>
          <t>This code implements core algorithms for backend software components, focusing on efficient data processing and manipulation. It processes large datasets using an O(N) complexity algorithm, leveraging existing comments and commit messages to provide context about its implementation. The code size is approximately 1000 lines, reflecting its importance within the project's architecture.</t>
        </is>
      </c>
      <c r="M357" t="n">
        <v>0.009599999999999999</v>
      </c>
      <c r="N357" t="n">
        <v>0.1311</v>
      </c>
      <c r="O357" t="n">
        <v>0.3467</v>
      </c>
    </row>
    <row r="358">
      <c r="A358" t="inlineStr">
        <is>
          <t>crate</t>
        </is>
      </c>
      <c r="B358" t="inlineStr">
        <is>
          <t>server/src/main/java/io/crate/execution/engine/collect/CollectTask.java</t>
        </is>
      </c>
      <c r="C358">
        <f>HYPERLINK("https://github.com/crate/crate/blob/master/server/src/main/java/io/crate/execution/engine/collect/CollectTask.java")</f>
        <v/>
      </c>
      <c r="D358" t="inlineStr">
        <is>
          <t>The provided code implements core algorithms without any comments, making it difficult to understand its functionality. The complexity is O(N), indicating linear time complexity, but no details about the specific algorithm implemented are given. The README indicates that this repository contains backend software components, suggesting it's part of a larger system.</t>
        </is>
      </c>
      <c r="E358" t="n">
        <v>0.008399999999999999</v>
      </c>
      <c r="F358" t="n">
        <v>0.0984</v>
      </c>
      <c r="G358" t="n">
        <v>0.3024</v>
      </c>
      <c r="H358" t="inlineStr">
        <is>
          <t>Implements core algorithms for backend software components. Complexity is O(N).</t>
        </is>
      </c>
      <c r="I358" t="n">
        <v>0.0251</v>
      </c>
      <c r="J358" t="n">
        <v>0.2105</v>
      </c>
      <c r="K358" t="n">
        <v>0.3117</v>
      </c>
      <c r="L358" t="inlineStr">
        <is>
          <t>The code implements core algorithms for backend software components, handling input data efficiently with a time complexity of O(N). It includes comments explaining implementation details and is part of a larger codebase with a total size of 1000 lines. The initial commit message indicates that this is the first version of the codebase.</t>
        </is>
      </c>
      <c r="M358" t="n">
        <v>0.008699999999999999</v>
      </c>
      <c r="N358" t="n">
        <v>0.0968</v>
      </c>
      <c r="O358" t="n">
        <v>0.3411</v>
      </c>
    </row>
    <row r="359">
      <c r="A359" t="inlineStr">
        <is>
          <t>crate</t>
        </is>
      </c>
      <c r="B359" t="inlineStr">
        <is>
          <t>server/src/main/java/io/crate/execution/engine/collect/DocValuesAggregates.java</t>
        </is>
      </c>
      <c r="C359">
        <f>HYPERLINK("https://github.com/crate/crate/blob/master/server/src/main/java/io/crate/execution/engine/collect/DocValuesAggregates.java")</f>
        <v/>
      </c>
      <c r="D359" t="inlineStr">
        <is>
          <t>The provided code implements core algorithms without any comments or documentation, making it difficult to understand its functionality. The complexity is O(N), indicating linear time performance. There are no commits listed, suggesting that the code was created recently. The total size of the code is 1000 lines.</t>
        </is>
      </c>
      <c r="E359" t="n">
        <v>0.0083</v>
      </c>
      <c r="F359" t="n">
        <v>0.1071</v>
      </c>
      <c r="G359" t="n">
        <v>0.1576</v>
      </c>
      <c r="H359" t="inlineStr">
        <is>
          <t>The code implements core algorithms and is written in C++. It has a complexity of O(N) and includes comments explaining its implementation. The README provides details about the repository's purpose and structure.</t>
        </is>
      </c>
      <c r="I359" t="n">
        <v>0.0137</v>
      </c>
      <c r="J359" t="n">
        <v>0.1429</v>
      </c>
      <c r="K359" t="n">
        <v>0.2457</v>
      </c>
      <c r="L359" t="inlineStr">
        <is>
          <t>The code implements core algorithms for backend software components, handling data processing efficiently with a time complexity of O(N). It includes comments explaining implementation details and is part of a larger codebase with a total size of 1000 lines. The initial commit message indicates that this is the first version of the codebase.</t>
        </is>
      </c>
      <c r="M359" t="n">
        <v>0.008699999999999999</v>
      </c>
      <c r="N359" t="n">
        <v>0.0968</v>
      </c>
      <c r="O359" t="n">
        <v>0.3411</v>
      </c>
    </row>
    <row r="360">
      <c r="A360" t="inlineStr">
        <is>
          <t>crate</t>
        </is>
      </c>
      <c r="B360" t="inlineStr">
        <is>
          <t>server/src/main/java/io/crate/execution/engine/collect/RemoteCollectorFactory.java</t>
        </is>
      </c>
      <c r="C360">
        <f>HYPERLINK("https://github.com/crate/crate/blob/master/server/src/main/java/io/crate/execution/engine/collect/RemoteCollectorFactory.java")</f>
        <v/>
      </c>
      <c r="D360" t="inlineStr">
        <is>
          <t>The code implements core algorithms with a time complexity of O(N). It includes comments explaining its purpose and usage. The README provides details about the repository's contents, complexity, comments, commits, and size.</t>
        </is>
      </c>
      <c r="E360" t="n">
        <v>0.0137</v>
      </c>
      <c r="F360" t="n">
        <v>0.1429</v>
      </c>
      <c r="G360" t="n">
        <v>0.2457</v>
      </c>
      <c r="H360" t="inlineStr">
        <is>
          <t>Implements core algorithms.</t>
        </is>
      </c>
      <c r="I360" t="n">
        <v>0.0215</v>
      </c>
      <c r="J360" t="n">
        <v>0.3636</v>
      </c>
      <c r="K360" t="n">
        <v>0.25</v>
      </c>
      <c r="L360" t="inlineStr">
        <is>
          <t>The code implements core algorithms for a backend software component, handling input data efficiently with a time complexity of O(N). The implementation includes comments explaining the core functionalities, and the code size is approximately 1000 lines.</t>
        </is>
      </c>
      <c r="M360" t="n">
        <v>0.013</v>
      </c>
      <c r="N360" t="n">
        <v>0.2222</v>
      </c>
      <c r="O360" t="n">
        <v>0.1852</v>
      </c>
    </row>
    <row r="361">
      <c r="A361" t="inlineStr">
        <is>
          <t>crate</t>
        </is>
      </c>
      <c r="B361" t="inlineStr">
        <is>
          <t>server/src/main/java/io/crate/execution/engine/collect/MapSideDataCollectOperation.java</t>
        </is>
      </c>
      <c r="C361">
        <f>HYPERLINK("https://github.com/crate/crate/blob/master/server/src/main/java/io/crate/execution/engine/collect/MapSideDataCollectOperation.java")</f>
        <v/>
      </c>
      <c r="D361" t="inlineStr">
        <is>
          <t>The code implements core algorithms without providing detailed comments or explanations. It has a time complexity of O(N) and consists of approximately 1000 lines of code. The repository contains backend software components.</t>
        </is>
      </c>
      <c r="E361" t="n">
        <v>0.0147</v>
      </c>
      <c r="F361" t="n">
        <v>0.1463</v>
      </c>
      <c r="G361" t="n">
        <v>0.3035</v>
      </c>
      <c r="H361" t="inlineStr">
        <is>
          <t>This repository contains backend software components implementing core algorithms. The complexity is O(N), indicating linear time performance. The comments describe the implementation of these algorithms. There has been an initial codebase commit. The total size of the code is 1000 lines.</t>
        </is>
      </c>
      <c r="I361" t="n">
        <v>0.0059</v>
      </c>
      <c r="J361" t="n">
        <v>0.16</v>
      </c>
      <c r="K361" t="n">
        <v>0.177</v>
      </c>
      <c r="L361" t="inlineStr">
        <is>
          <t>This code implements core algorithms for a backend software component, focusing on efficient data processing and manipulation tasks. It processes large datasets using an O(N) complexity algorithm, which ensures optimal performance even as input sizes increase. The implementation includes comments that describe the core functionalities, making it easier for developers to understand and maintain.</t>
        </is>
      </c>
      <c r="M361" t="n">
        <v>0.008999999999999999</v>
      </c>
      <c r="N361" t="n">
        <v>0.1905</v>
      </c>
      <c r="O361" t="n">
        <v>0.2381</v>
      </c>
    </row>
    <row r="362">
      <c r="A362" t="inlineStr">
        <is>
          <t>crate</t>
        </is>
      </c>
      <c r="B362" t="inlineStr">
        <is>
          <t>server/src/main/java/io/crate/execution/engine/collect/LuceneShardCollectorProvider.java</t>
        </is>
      </c>
      <c r="C362">
        <f>HYPERLINK("https://github.com/crate/crate/blob/master/server/src/main/java/io/crate/execution/engine/collect/LuceneShardCollectorProvider.java")</f>
        <v/>
      </c>
      <c r="D362" t="inlineStr">
        <is>
          <t>The provided code implements core algorithms without detailed comments, focusing on complexity O(N). It's part of a larger repository containing backend software components. The code size is 1000 lines.</t>
        </is>
      </c>
      <c r="E362" t="n">
        <v>0.0151</v>
      </c>
      <c r="F362" t="n">
        <v>0.1026</v>
      </c>
      <c r="G362" t="n">
        <v>0.3125</v>
      </c>
      <c r="H362" t="inlineStr">
        <is>
          <t>The code implements core algorithms for backend software components. Complexity is O(N), indicating linear time complexity. Comments describe the implementation details. The repository has been initialized with the first commit.</t>
        </is>
      </c>
      <c r="I362" t="n">
        <v>0.0146</v>
      </c>
      <c r="J362" t="n">
        <v>0.1026</v>
      </c>
      <c r="K362" t="n">
        <v>0.2505</v>
      </c>
      <c r="L362" t="inlineStr">
        <is>
          <t>The code implements core algorithms for backend software components, focusing on efficient data processing and manipulation. It processes large datasets using an O(N) complexity approach, leveraging existing comments and commit messages from an initial codebase commit. The implementation is designed to handle complex business logic within the context of the repository's README documentation.</t>
        </is>
      </c>
      <c r="M362" t="n">
        <v>0.008699999999999999</v>
      </c>
      <c r="N362" t="n">
        <v>0.127</v>
      </c>
      <c r="O362" t="n">
        <v>0.2976</v>
      </c>
    </row>
    <row r="363">
      <c r="A363" t="inlineStr">
        <is>
          <t>crate</t>
        </is>
      </c>
      <c r="B363" t="inlineStr">
        <is>
          <t>server/src/main/java/io/crate/execution/engine/collect/CollectExpression.java</t>
        </is>
      </c>
      <c r="C363">
        <f>HYPERLINK("https://github.com/crate/crate/blob/master/server/src/main/java/io/crate/execution/engine/collect/CollectExpression.java")</f>
        <v/>
      </c>
      <c r="D363" t="inlineStr">
        <is>
          <t>The provided code implements core algorithms with a time complexity of O(N). It includes comments explaining its implementation and structure. The code size is 1000 lines.</t>
        </is>
      </c>
      <c r="E363" t="n">
        <v>0.017</v>
      </c>
      <c r="F363" t="n">
        <v>0.1714</v>
      </c>
      <c r="G363" t="n">
        <v>0.2608</v>
      </c>
      <c r="H363" t="inlineStr">
        <is>
          <t>This repository contains backend software components that implement core algorithms. The complexity is O(N), indicating linear time complexity, which means the execution time increases proportionally with the input size. The comments describe the implementation of these algorithms. The code size is 1000 lines.</t>
        </is>
      </c>
      <c r="I363" t="n">
        <v>0.0056</v>
      </c>
      <c r="J363" t="n">
        <v>0.1538</v>
      </c>
      <c r="K363" t="n">
        <v>0.1739</v>
      </c>
      <c r="L363" t="inlineStr">
        <is>
          <t>This code implements core algorithms for backend software components using a time complexity of O(N). It includes comments explaining implementation details and has been committed as part of an initial codebase. The total size of the codebase is 1000 lines.</t>
        </is>
      </c>
      <c r="M363" t="n">
        <v>0.0123</v>
      </c>
      <c r="N363" t="n">
        <v>0.1633</v>
      </c>
      <c r="O363" t="n">
        <v>0.3807</v>
      </c>
    </row>
    <row r="364">
      <c r="A364" t="inlineStr">
        <is>
          <t>crate</t>
        </is>
      </c>
      <c r="B364" t="inlineStr">
        <is>
          <t>server/src/main/java/io/crate/execution/engine/collect/CollectOperationModule.java</t>
        </is>
      </c>
      <c r="C364">
        <f>HYPERLINK("https://github.com/crate/crate/blob/master/server/src/main/java/io/crate/execution/engine/collect/CollectOperationModule.java")</f>
        <v/>
      </c>
      <c r="D364" t="inlineStr">
        <is>
          <t>The code implements core algorithms with a time complexity of O(N). It includes comments explaining its implementation and has been committed as part of an initial codebase. The total size of the code is 1000 lines.</t>
        </is>
      </c>
      <c r="E364" t="n">
        <v>0.0121</v>
      </c>
      <c r="F364" t="n">
        <v>0.1333</v>
      </c>
      <c r="G364" t="n">
        <v>0.2922</v>
      </c>
      <c r="H364" t="inlineStr">
        <is>
          <t>The repository contains backend software components implementing core algorithms. The complexity is O(N), indicating linear time complexity. The comments describe the implementation of these algorithms. There are no commits listed, suggesting that the project was initialized without any changes since its creation. The total size of the codebase is 1000 lines.</t>
        </is>
      </c>
      <c r="I364" t="n">
        <v>0.0043</v>
      </c>
      <c r="J364" t="n">
        <v>0.1</v>
      </c>
      <c r="K364" t="n">
        <v>0.122</v>
      </c>
      <c r="L364" t="inlineStr">
        <is>
          <t>This code implements core algorithms for backend software components, handling input data efficiently with a time complexity of O(N). The implementation includes comments explaining the core functionalities, and the code size is 1000 lines.</t>
        </is>
      </c>
      <c r="M364" t="n">
        <v>0.0146</v>
      </c>
      <c r="N364" t="n">
        <v>0.2791</v>
      </c>
      <c r="O364" t="n">
        <v>0.2358</v>
      </c>
    </row>
    <row r="365">
      <c r="A365" t="inlineStr">
        <is>
          <t>crate</t>
        </is>
      </c>
      <c r="B365" t="inlineStr">
        <is>
          <t>server/src/main/java/io/crate/execution/engine/collect/NestableCollectExpression.java</t>
        </is>
      </c>
      <c r="C365">
        <f>HYPERLINK("https://github.com/crate/crate/blob/master/server/src/main/java/io/crate/execution/engine/collect/NestableCollectExpression.java")</f>
        <v/>
      </c>
      <c r="D365" t="inlineStr">
        <is>
          <t>The provided code implements core algorithms without any comments or documentation, making it difficult to understand its functionality. The complexity is O(N), indicating linear time complexity, but no details about what operations are performed or how they relate to each other are given. The README mentions that the code is part of a larger repository containing backend software components, but does not provide enough context to summarize its purpose or functionality comprehensively</t>
        </is>
      </c>
      <c r="E365" t="n">
        <v>0.0063</v>
      </c>
      <c r="F365" t="n">
        <v>0.0741</v>
      </c>
      <c r="G365" t="n">
        <v>0.2192</v>
      </c>
      <c r="H365" t="inlineStr">
        <is>
          <t>Implements core algorithms.</t>
        </is>
      </c>
      <c r="I365" t="n">
        <v>0.0215</v>
      </c>
      <c r="J365" t="n">
        <v>0.3636</v>
      </c>
      <c r="K365" t="n">
        <v>0.25</v>
      </c>
      <c r="L365" t="inlineStr">
        <is>
          <t>The code implements core algorithms for backend software components, handling input data efficiently with a time complexity of O(N). It includes comments explaining implementation details and has been committed as part of the initial codebase. The total size of the codebase is 1000 lines.</t>
        </is>
      </c>
      <c r="M365" t="n">
        <v>0.0105</v>
      </c>
      <c r="N365" t="n">
        <v>0.1132</v>
      </c>
      <c r="O365" t="n">
        <v>0.3207</v>
      </c>
    </row>
    <row r="366">
      <c r="A366" t="inlineStr">
        <is>
          <t>crate</t>
        </is>
      </c>
      <c r="B366" t="inlineStr">
        <is>
          <t>server/src/main/java/io/crate/execution/engine/collect/RowCollectExpression.java</t>
        </is>
      </c>
      <c r="C366">
        <f>HYPERLINK("https://github.com/crate/crate/blob/master/server/src/main/java/io/crate/execution/engine/collect/RowCollectExpression.java")</f>
        <v/>
      </c>
      <c r="D366" t="inlineStr">
        <is>
          <t>The code implements core algorithms without detailed comments, focusing on complexity O(N). It's part of a larger project containing backend software components. The README provides basic details about the repository, including its license and structure.</t>
        </is>
      </c>
      <c r="E366" t="n">
        <v>0.0134</v>
      </c>
      <c r="F366" t="n">
        <v>0.1333</v>
      </c>
      <c r="G366" t="n">
        <v>0.3477</v>
      </c>
      <c r="H366" t="inlineStr">
        <is>
          <t>This repository contains backend software components that implement core algorithms. The complexity of the implementation is O(N), indicating linear time complexity. The comments describe the purpose of each algorithm implemented. The commits include an initial codebase commit. The total size of the codebase is 1000 lines.</t>
        </is>
      </c>
      <c r="I366" t="n">
        <v>0.0053</v>
      </c>
      <c r="J366" t="n">
        <v>0.1455</v>
      </c>
      <c r="K366" t="n">
        <v>0.1695</v>
      </c>
      <c r="L366" t="inlineStr">
        <is>
          <t>The code implements core algorithms for a backend software component, focusing on efficient data processing and manipulation. It processes large datasets using an O(N) complexity algorithm, leveraging existing comments and commit messages to provide context about its implementation. The code size is 1000 lines, indicating significant functionality within the repository.</t>
        </is>
      </c>
      <c r="M366" t="n">
        <v>0.0098</v>
      </c>
      <c r="N366" t="n">
        <v>0.1017</v>
      </c>
      <c r="O366" t="n">
        <v>0.3049</v>
      </c>
    </row>
    <row r="367">
      <c r="A367" t="inlineStr">
        <is>
          <t>crate</t>
        </is>
      </c>
      <c r="B367" t="inlineStr">
        <is>
          <t>server/src/main/java/io/crate/execution/engine/collect/DocValuesGroupByOptimizedIterator.java</t>
        </is>
      </c>
      <c r="C367">
        <f>HYPERLINK("https://github.com/crate/crate/blob/master/server/src/main/java/io/crate/execution/engine/collect/DocValuesGroupByOptimizedIterator.java")</f>
        <v/>
      </c>
      <c r="D367" t="inlineStr">
        <is>
          <t>The code implements core algorithms without detailed comments, focusing on complexity O(N). It's part of a larger repository containing backend software components. The total size of the code is 1000 lines.</t>
        </is>
      </c>
      <c r="E367" t="n">
        <v>0.0141</v>
      </c>
      <c r="F367" t="n">
        <v>0.09760000000000001</v>
      </c>
      <c r="G367" t="n">
        <v>0.3064</v>
      </c>
      <c r="H367" t="inlineStr">
        <is>
          <t>The code implements core algorithms and is written in C++. It has a complexity of O(N) and includes comments explaining its implementation. The README provides details about the repository's purpose and structure.</t>
        </is>
      </c>
      <c r="I367" t="n">
        <v>0.0137</v>
      </c>
      <c r="J367" t="n">
        <v>0.1429</v>
      </c>
      <c r="K367" t="n">
        <v>0.2457</v>
      </c>
      <c r="L367" t="inlineStr">
        <is>
          <t>The code implements core algorithms for a backend software component, handling input data efficiently with a time complexity of O(N). It includes comments explaining implementation details and is part of a larger project that processes large datasets. The code size is 1000 lines, reflecting its importance within the system's architecture.</t>
        </is>
      </c>
      <c r="M367" t="n">
        <v>0.0092</v>
      </c>
      <c r="N367" t="n">
        <v>0.1</v>
      </c>
      <c r="O367" t="n">
        <v>0.3049</v>
      </c>
    </row>
    <row r="368">
      <c r="A368" t="inlineStr">
        <is>
          <t>hystrix</t>
        </is>
      </c>
      <c r="B368" t="inlineStr">
        <is>
          <t>hystrix-core/src/jmh/java/com/netflix/hystrix/perf/CollapserPerfTest.java</t>
        </is>
      </c>
      <c r="C368">
        <f>HYPERLINK("https://github.com/Netflix/Hystrix/blob/master/hystrix-core/src/jmh/java/com/netflix/hystrix/perf/CollapserPerfTest.java")</f>
        <v/>
      </c>
      <c r="D368" t="inlineStr">
        <is>
          <t>The code defines a Hystrix collapser that groups multiple requests into a single request to reduce network overhead. It uses Hystrix's command execution model to handle asynchronous operations efficiently. The implementation includes key classes such as `HystrixCollapser`, `HystrixCollapserKey`, `HystrixCollapserProperties`, `HystrixCommand`,</t>
        </is>
      </c>
      <c r="E368" t="n">
        <v>0</v>
      </c>
      <c r="F368" t="n">
        <v>0.0408</v>
      </c>
      <c r="G368" t="n">
        <v>0.0893</v>
      </c>
      <c r="H368" t="inlineStr">
        <is>
          <t>The code implements a Hystrix command that performs a complex algorithmic operation. It uses Hystrix's capabilities for circuit breaking and thread pooling to handle potential failures gracefully. The complexity is O(N), indicating it scales linearly with input size.</t>
        </is>
      </c>
      <c r="I368" t="n">
        <v>0.0058</v>
      </c>
      <c r="J368" t="n">
        <v>0.0833</v>
      </c>
      <c r="K368" t="n">
        <v>0.1364</v>
      </c>
      <c r="L368" t="inlineStr">
        <is>
          <t>This Java code defines a Hystrix command that uses a collapser to reduce multiple requests into fewer calls to a service, improving performance and reducing load. The command processes user data asynchronously using a thread pool, handling exceptions gracefully through fallback mechanisms.</t>
        </is>
      </c>
      <c r="M368" t="n">
        <v>0.0052</v>
      </c>
      <c r="N368" t="n">
        <v>0.08</v>
      </c>
      <c r="O368" t="n">
        <v>0.1316</v>
      </c>
    </row>
    <row r="369">
      <c r="A369" t="inlineStr">
        <is>
          <t>hystrix</t>
        </is>
      </c>
      <c r="B369" t="inlineStr">
        <is>
          <t>hystrix-core/src/jmh/java/com/netflix/hystrix/perf/ObservableCollapserPerfTest.java</t>
        </is>
      </c>
      <c r="C369">
        <f>HYPERLINK("https://github.com/Netflix/Hystrix/blob/master/hystrix-core/src/jmh/java/com/netflix/hystrix/perf/ObservableCollapserPerfTest.java")</f>
        <v/>
      </c>
      <c r="D369" t="inlineStr">
        <is>
          <t>The provided Java code defines a Hystrix collapser implementation within the `com.netflix.hystrix.perf` package. A Hystrix collapser is used to reduce the number of requests made to a service by combining multiple individual requests into a single request. This can improve performance and reduce latency when dealing with services that have high response times or require complex processing.
Here's a brief</t>
        </is>
      </c>
      <c r="E369" t="n">
        <v>0.0036</v>
      </c>
      <c r="F369" t="n">
        <v>0.0556</v>
      </c>
      <c r="G369" t="n">
        <v>0.1515</v>
      </c>
      <c r="H369" t="inlineStr">
        <is>
          <t>This repository contains backend software components that implement core algorithms. The complexity of these implementations is O(N), indicating linear time complexity relative to the input size.</t>
        </is>
      </c>
      <c r="I369" t="n">
        <v>0.009599999999999999</v>
      </c>
      <c r="J369" t="n">
        <v>0.2286</v>
      </c>
      <c r="K369" t="n">
        <v>0.2041</v>
      </c>
      <c r="L369" t="inlineStr">
        <is>
          <t>The provided code implements a Hystrix collapser in Java, which groups multiple requests into a single request to reduce network overhead. The collapser uses `HystrixCollapser`, `HystrixCollapserKey`, `HystrixCollapserMetrics`, `HystrixCollapserProperties`, `HystrixCommand`, `Hyst</t>
        </is>
      </c>
      <c r="M369" t="n">
        <v>0.0062</v>
      </c>
      <c r="N369" t="n">
        <v>0.0526</v>
      </c>
      <c r="O369" t="n">
        <v>0.098</v>
      </c>
    </row>
    <row r="370">
      <c r="A370" t="inlineStr">
        <is>
          <t>hystrix</t>
        </is>
      </c>
      <c r="B370" t="inlineStr">
        <is>
          <t>hystrix-core/src/jmh/java/com/netflix/hystrix/perf/CommandConstructionPerfTest.java</t>
        </is>
      </c>
      <c r="C370">
        <f>HYPERLINK("https://github.com/Netflix/Hystrix/blob/master/hystrix-core/src/jmh/java/com/netflix/hystrix/perf/CommandConstructionPerfTest.java")</f>
        <v/>
      </c>
      <c r="D370" t="inlineStr">
        <is>
          <t>The provided Java code defines a benchmark test suite using JMH (Java Microbenchmark Harness) to measure the performance of constructing Hystrix commands within a group. The `CommandConstructionPerf` class includes methods annotated with `@Benchmark`, which define individual tests to be executed as benchmarks. These tests create instances of `HystrixCommand` grouped under a specified key (`HystrixCommandGroup</t>
        </is>
      </c>
      <c r="E370" t="n">
        <v>0</v>
      </c>
      <c r="F370" t="n">
        <v>0</v>
      </c>
      <c r="G370" t="n">
        <v>0.0397</v>
      </c>
      <c r="H370" t="inlineStr">
        <is>
          <t>The code implements a benchmarking tool using JMH annotations to measure the performance of command construction in Hystrix commands within a group key. It includes comments explaining the implementation and copyright information. The complexity is O(N) due to potential scaling issues related to the number of commands being constructed.</t>
        </is>
      </c>
      <c r="I370" t="n">
        <v>0.0045</v>
      </c>
      <c r="J370" t="n">
        <v>0.06900000000000001</v>
      </c>
      <c r="K370" t="n">
        <v>0.124</v>
      </c>
      <c r="L370" t="inlineStr">
        <is>
          <t>This Java benchmark measures the performance of creating Hystrix commands within a group using JMH annotations. The `CommandConstructionPerf` class includes a single benchmark method that constructs multiple instances of `HystrixCommand`, each configured with different parameters such as command name and group key. The results help evaluate how efficiently these commands can be instantiated during high-load scenarios.</t>
        </is>
      </c>
      <c r="M370" t="n">
        <v>0.0039</v>
      </c>
      <c r="N370" t="n">
        <v>0.0615</v>
      </c>
      <c r="O370" t="n">
        <v>0.1172</v>
      </c>
    </row>
    <row r="371">
      <c r="A371" t="inlineStr">
        <is>
          <t>hystrix</t>
        </is>
      </c>
      <c r="B371" t="inlineStr">
        <is>
          <t>hystrix-core/src/jmh/java/com/netflix/hystrix/perf/RollingMaxPerfTest.java</t>
        </is>
      </c>
      <c r="C371">
        <f>HYPERLINK("https://github.com/Netflix/Hystrix/blob/master/hystrix-core/src/jmh/java/com/netflix/hystrix/perf/RollingMaxPerfTest.java")</f>
        <v/>
      </c>
      <c r="D371" t="inlineStr">
        <is>
          <t>The provided Java code snippet appears to be part of a performance testing framework using JMH (Java Microbenchmark Harness) for measuring the execution time of Hystrix-related operations. The code defines a benchmark class that measures various aspects of Hystrix's rolling number functionality. Here's a concise summary:
**Functionality:**
- **Benchmark Class:** `HystrixPerf`
- **Annotations</t>
        </is>
      </c>
      <c r="E371" t="n">
        <v>0</v>
      </c>
      <c r="F371" t="n">
        <v>0.0323</v>
      </c>
      <c r="G371" t="n">
        <v>0.04</v>
      </c>
      <c r="H371" t="inlineStr">
        <is>
          <t>This repository contains backend software components that implement core algorithms. The complexity is O(N), indicating linear time performance relative to input size. The implementation includes comments explaining its purpose and structure.</t>
        </is>
      </c>
      <c r="I371" t="n">
        <v>0.008500000000000001</v>
      </c>
      <c r="J371" t="n">
        <v>0.25</v>
      </c>
      <c r="K371" t="n">
        <v>0.2427</v>
      </c>
      <c r="L371" t="inlineStr">
        <is>
          <t>This Java benchmark tests the performance of Hystrix's rolling number implementation using JMH annotations. The `HystrixRollingNumber` class is used to track events over time, such as failures or successes, which helps in monitoring system health and capacity. The benchmarks measure the throughput and latency of adding events to the rolling window, ensuring that the library can handle high volumes of data efficiently.</t>
        </is>
      </c>
      <c r="M371" t="n">
        <v>0.0035</v>
      </c>
      <c r="N371" t="n">
        <v>0.08450000000000001</v>
      </c>
      <c r="O371" t="n">
        <v>0.1493</v>
      </c>
    </row>
    <row r="372">
      <c r="A372" t="inlineStr">
        <is>
          <t>hystrix</t>
        </is>
      </c>
      <c r="B372" t="inlineStr">
        <is>
          <t>hystrix-core/src/jmh/java/com/netflix/hystrix/perf/CommandExecutionAndConcurrentMetricsReadPerfTest.java</t>
        </is>
      </c>
      <c r="C372">
        <f>HYPERLINK("https://github.com/Netflix/Hystrix/blob/master/hystrix-core/src/jmh/java/com/netflix/hystrix/perf/CommandExecutionAndConcurrentMetricsReadPerfTest.java")</f>
        <v/>
      </c>
      <c r="D372" t="inlineStr">
        <is>
          <t>The provided Java code defines a benchmark test suite using JMH (Java Microbenchmark Harness) to measure the performance of Hystrix commands within a specified group key. The tests focus on various properties such as command execution time, success rates, and failure metrics. Each benchmark method creates instances of `HystrixCommand` with different configurations and measures their behavior under load. This setup helps developers evaluate how</t>
        </is>
      </c>
      <c r="E372" t="n">
        <v>0.0034</v>
      </c>
      <c r="F372" t="n">
        <v>0.0278</v>
      </c>
      <c r="G372" t="n">
        <v>0.1103</v>
      </c>
      <c r="H372" t="inlineStr">
        <is>
          <t>This repository contains backend software components implementing core algorithms. The complexity is O(N), indicating linear time performance relative to input size. Comments describe the implementation details, while commits track the initial creation of the codebase. The total code size is 1000 lines.</t>
        </is>
      </c>
      <c r="I372" t="n">
        <v>0.0058</v>
      </c>
      <c r="J372" t="n">
        <v>0.1569</v>
      </c>
      <c r="K372" t="n">
        <v>0.1754</v>
      </c>
      <c r="L372" t="inlineStr">
        <is>
          <t>The provided code implements performance testing using Hystrix commands in Java, focusing on measuring command execution times and metrics such as success rate and latency. It uses JMH annotations to benchmark different aspects of Hystrix command execution, including thread pool properties and command group keys. The code is part of a larger backend software component repository and has been committed initially without detailed comments.</t>
        </is>
      </c>
      <c r="M372" t="n">
        <v>0.0037</v>
      </c>
      <c r="N372" t="n">
        <v>0.0556</v>
      </c>
      <c r="O372" t="n">
        <v>0.1471</v>
      </c>
    </row>
    <row r="373">
      <c r="A373" t="inlineStr">
        <is>
          <t>hystrix</t>
        </is>
      </c>
      <c r="B373" t="inlineStr">
        <is>
          <t>hystrix-core/src/jmh/java/com/netflix/hystrix/perf/CommandExecutionPerfTest.java</t>
        </is>
      </c>
      <c r="C373">
        <f>HYPERLINK("https://github.com/Netflix/Hystrix/blob/master/hystrix-core/src/jmh/java/com/netflix/hystrix/perf/CommandExecutionPerfTest.java")</f>
        <v/>
      </c>
      <c r="D373" t="inlineStr">
        <is>
          <t>The provided code is part of a performance testing framework for Hystrix commands using Java. It includes classes such as `HystrixCommand`, `HystrixObservableCommand`, and related properties for configuring thread pools and command execution behavior. The complexity is O(N) due to potential operations involving arrays or collections, but without more context, it's difficult to specify exact details. The comments indicate that</t>
        </is>
      </c>
      <c r="E373" t="n">
        <v>0.0031</v>
      </c>
      <c r="F373" t="n">
        <v>0.029</v>
      </c>
      <c r="G373" t="n">
        <v>0.07630000000000001</v>
      </c>
      <c r="H373" t="inlineStr">
        <is>
          <t>The repository contains backend software components implementing core algorithms. The complexity is O(N), indicating linear time complexity, which suggests that performance scales with the size of the input data. The implementation includes various Hystrix commands and thread pools from Netflix's Hystrix library, designed to handle high availability and fault tolerance.</t>
        </is>
      </c>
      <c r="I373" t="n">
        <v>0.0048</v>
      </c>
      <c r="J373" t="n">
        <v>0.1333</v>
      </c>
      <c r="K373" t="n">
        <v>0.1639</v>
      </c>
      <c r="L373" t="inlineStr">
        <is>
          <t>This Java code provides performance testing utilities using Hystrix, a library from Netflix that helps manage circuit breakers and fallbacks for microservices. The code includes classes like `HystrixCommand` and `HystrixObservableCommand`, which allow developers to define commands that can be executed asynchronously with retry mechanisms and fallback options. It also configures thread pools and properties for optimal performance.</t>
        </is>
      </c>
      <c r="M373" t="n">
        <v>0.0038</v>
      </c>
      <c r="N373" t="n">
        <v>0.0615</v>
      </c>
      <c r="O373" t="n">
        <v>0.1163</v>
      </c>
    </row>
    <row r="374">
      <c r="A374" t="inlineStr">
        <is>
          <t>hystrix</t>
        </is>
      </c>
      <c r="B374" t="inlineStr">
        <is>
          <t>hystrix-core/src/jmh/java/com/netflix/hystrix/perf/RollingNumberPerfTest.java</t>
        </is>
      </c>
      <c r="C374">
        <f>HYPERLINK("https://github.com/Netflix/Hystrix/blob/master/hystrix-core/src/jmh/java/com/netflix/hystrix/perf/RollingNumberPerfTest.java")</f>
        <v/>
      </c>
      <c r="D374" t="inlineStr">
        <is>
          <t>The provided Java code defines a benchmark suite using JMH (Java Microbenchmark Harness) to measure performance metrics related to Hystrix rolling number events. The `HystrixRollingNumber` class is used to track various events over time, such as success, failure, timeouts, etc., within a specified window size. The benchmarks focus on measuring how quickly these event counts can be updated and accessed</t>
        </is>
      </c>
      <c r="E374" t="n">
        <v>0.003</v>
      </c>
      <c r="F374" t="n">
        <v>0.0294</v>
      </c>
      <c r="G374" t="n">
        <v>0.07580000000000001</v>
      </c>
      <c r="H374" t="inlineStr">
        <is>
          <t>This repository contains backend software components implementing core algorithms. The complexity is O(N), indicating linear time complexity, and it includes comments explaining the implementation details.</t>
        </is>
      </c>
      <c r="I374" t="n">
        <v>0.0107</v>
      </c>
      <c r="J374" t="n">
        <v>0.2941</v>
      </c>
      <c r="K374" t="n">
        <v>0.2577</v>
      </c>
      <c r="L374" t="inlineStr">
        <is>
          <t>The provided Java code is part of a performance testing framework using JMH (Java Microbenchmark Harness). It measures the execution time of Hystrix rolling number events across different threads. The `HystrixRollingNumber` class is used to track and analyze event counts over a specified window period, which helps in monitoring system health and identifying potential issues related to circuit breakers and fallback mechanisms. The</t>
        </is>
      </c>
      <c r="M374" t="n">
        <v>0.0029</v>
      </c>
      <c r="N374" t="n">
        <v>0.0282</v>
      </c>
      <c r="O374" t="n">
        <v>0.0741</v>
      </c>
    </row>
    <row r="375">
      <c r="A375" t="inlineStr">
        <is>
          <t>hystrix</t>
        </is>
      </c>
      <c r="B375" t="inlineStr">
        <is>
          <t>hystrix-core/src/jmh/java/com/netflix/hystrix/perf/RollingPercentilePerfTest.java</t>
        </is>
      </c>
      <c r="C375">
        <f>HYPERLINK("https://github.com/Netflix/Hystrix/blob/master/hystrix-core/src/jmh/java/com/netflix/hystrix/perf/RollingPercentilePerfTest.java")</f>
        <v/>
      </c>
      <c r="D375" t="inlineStr">
        <is>
          <t>The provided Java code defines a performance test suite using JMH (Java Microbenchmark Harness) to measure the execution time of Hystrix rolling percentile calculations. The code includes annotations from JMH for benchmarking modes, groups, threads, levels, and other settings. It also references Hystrix properties and uses HystrixRollingPercentile for calculating percentiles over a rolling window. The complexity</t>
        </is>
      </c>
      <c r="E375" t="n">
        <v>0.0033</v>
      </c>
      <c r="F375" t="n">
        <v>0.0312</v>
      </c>
      <c r="G375" t="n">
        <v>0.0781</v>
      </c>
      <c r="H375" t="inlineStr">
        <is>
          <t>The code implements core algorithms for a backend software component. It uses JMH annotations for benchmarking and includes comments explaining its implementation. The complexity is O(N), indicating linear time complexity.</t>
        </is>
      </c>
      <c r="I375" t="n">
        <v>0.0157</v>
      </c>
      <c r="J375" t="n">
        <v>0.1538</v>
      </c>
      <c r="K375" t="n">
        <v>0.3647</v>
      </c>
      <c r="L375" t="inlineStr">
        <is>
          <t>The code implements performance tests using JMH annotations to measure the execution time of Hystrix strategies and rolling percentile calculations. It focuses on testing the efficiency of Hystrix properties and their impact on performance metrics. The implementation includes benchmarks for different scenarios, such as varying thread counts and property configurations, to evaluate the scalability and responsiveness of the system.</t>
        </is>
      </c>
      <c r="M375" t="n">
        <v>0.0037</v>
      </c>
      <c r="N375" t="n">
        <v>0.0597</v>
      </c>
      <c r="O375" t="n">
        <v>0.1145</v>
      </c>
    </row>
    <row r="376">
      <c r="A376" t="inlineStr">
        <is>
          <t>hystrix</t>
        </is>
      </c>
      <c r="B376" t="inlineStr">
        <is>
          <t>hystrix-core/src/main/java/com/netflix/hystrix/HystrixTimerThreadPoolProperties.java</t>
        </is>
      </c>
      <c r="C376">
        <f>HYPERLINK("https://github.com/Netflix/Hystrix/blob/master/hystrix-core/src/main/java/com/netflix/hystrix/HystrixTimerThreadPoolProperties.java")</f>
        <v/>
      </c>
      <c r="D376" t="inlineStr">
        <is>
          <t>The provided Java code defines an abstract class `HystrixTimerThreadPoolProperties` that encapsulates properties related to the timer thread pool used by Netflix's Hystrix library. The class is designed to use Archaius as its underlying configuration strategy, which allows dynamic adjustment of these properties at runtime.
Key functionalities include:
1. **Constructor Overloading**: 
   - A default constructor initializes the core</t>
        </is>
      </c>
      <c r="E376" t="n">
        <v>0.0032</v>
      </c>
      <c r="F376" t="n">
        <v>0.0308</v>
      </c>
      <c r="G376" t="n">
        <v>0.0775</v>
      </c>
      <c r="H376" t="inlineStr">
        <is>
          <t>The repository contains backend software components with implementations of core algorithms. The complexity is O(N), indicating linear time operations in relation to input size. The comments describe the implementation as providing core algorithmic solutions. The commits indicate that it was initially created. The total code size is 1000 lines.</t>
        </is>
      </c>
      <c r="I376" t="n">
        <v>0.0045</v>
      </c>
      <c r="J376" t="n">
        <v>0.1034</v>
      </c>
      <c r="K376" t="n">
        <v>0.124</v>
      </c>
      <c r="L376" t="inlineStr">
        <is>
          <t>The `HystrixTimerThreadPoolProperties` class is an abstract base class that provides properties for configuring the size of the timer thread pool used by Netflix's Hystrix library. It defaults to using the number of available processors as the core pool size if no specific value is set through configuration. The class leverages Archaius for dynamic property resolution, allowing for easy customization of these settings at runtime</t>
        </is>
      </c>
      <c r="M376" t="n">
        <v>0.0028</v>
      </c>
      <c r="N376" t="n">
        <v>0.0274</v>
      </c>
      <c r="O376" t="n">
        <v>0.0735</v>
      </c>
    </row>
    <row r="377">
      <c r="A377" t="inlineStr">
        <is>
          <t>hystrix</t>
        </is>
      </c>
      <c r="B377" t="inlineStr">
        <is>
          <t>hystrix-core/src/main/java/com/netflix/hystrix/HystrixThreadPoolMetrics.java</t>
        </is>
      </c>
      <c r="C377">
        <f>HYPERLINK("https://github.com/Netflix/Hystrix/blob/master/hystrix-core/src/main/java/com/netflix/hystrix/HystrixThreadPoolMetrics.java")</f>
        <v/>
      </c>
      <c r="D377" t="inlineStr">
        <is>
          <t>The provided code appears to be part of a Hystrix library used for circuit breaking and fallback mechanisms in microservices architecture. It includes classes related to command completion metrics, thread pool event counters, and rolling statistics for maximum concurrency. The code is licensed under the Apache License 2.0 and is intended for internal use within Netflix's infrastructure.</t>
        </is>
      </c>
      <c r="E377" t="n">
        <v>0.0032</v>
      </c>
      <c r="F377" t="n">
        <v>0.0299</v>
      </c>
      <c r="G377" t="n">
        <v>0.0775</v>
      </c>
      <c r="H377" t="inlineStr">
        <is>
          <t>The code implements core algorithms for a backend system. It includes various classes and methods that handle metric consumption for thread pools, as well as rolling number events. The complexity is O(N) due to potential operations involving large datasets.</t>
        </is>
      </c>
      <c r="I377" t="n">
        <v>0.0111</v>
      </c>
      <c r="J377" t="n">
        <v>0.125</v>
      </c>
      <c r="K377" t="n">
        <v>0.2302</v>
      </c>
      <c r="L377" t="inlineStr">
        <is>
          <t>This Java package `com.netflix.hystrix` provides classes and utilities for implementing circuit breakers and fallback mechanisms in microservices using Hystrix, a library developed by Netflix. The code includes metrics streams for monitoring thread pool events and maximum concurrency levels, which help in managing service availability during failures.</t>
        </is>
      </c>
      <c r="M377" t="n">
        <v>0.0048</v>
      </c>
      <c r="N377" t="n">
        <v>0.1071</v>
      </c>
      <c r="O377" t="n">
        <v>0.1695</v>
      </c>
    </row>
    <row r="378">
      <c r="A378" t="inlineStr">
        <is>
          <t>hystrix</t>
        </is>
      </c>
      <c r="B378" t="inlineStr">
        <is>
          <t>hystrix-core/src/main/java/com/netflix/hystrix/HystrixInvokable.java</t>
        </is>
      </c>
      <c r="C378">
        <f>HYPERLINK("https://github.com/Netflix/Hystrix/blob/master/hystrix-core/src/main/java/com/netflix/hystrix/HystrixInvokable.java")</f>
        <v/>
      </c>
      <c r="D378" t="inlineStr">
        <is>
          <t>The provided code defines a marker interface `HystrixInvokable` within the package `com.netflix.hystrix`. This interface serves as a contract for classes that represent Hystrix commands, which are used for implementing circuit breakers and fallback mechanisms in microservices architectures. The interface does not contain any methods; it simply acts as a type identifier for objects that can execute Hystrix commands.</t>
        </is>
      </c>
      <c r="E378" t="n">
        <v>0.0037</v>
      </c>
      <c r="F378" t="n">
        <v>0.0882</v>
      </c>
      <c r="G378" t="n">
        <v>0.1538</v>
      </c>
      <c r="H378" t="inlineStr">
        <is>
          <t>The provided code defines an interface `HystrixInvokable` within the package `com.netflix.hystrix`. This interface serves as a marker for Hystrix commands that can be invoked. It does not contain any implementation details but rather specifies the contract for classes implementing it. The README indicates that this repository contains backend software components and mentions the complexity of the implementation as \(O(N)\), which</t>
        </is>
      </c>
      <c r="I378" t="n">
        <v>0.004</v>
      </c>
      <c r="J378" t="n">
        <v>0.08450000000000001</v>
      </c>
      <c r="K378" t="n">
        <v>0.1515</v>
      </c>
      <c r="L378" t="inlineStr">
        <is>
          <t>The `HystrixInvokable` interface serves as a marker for Hystrix commands that can be executed asynchronously. It provides a common contract for all Hystrix command implementations, allowing them to participate in circuit breaker and fallback mechanisms. The interface defines no methods beyond being implemented by concrete command classes, ensuring consistency across different types of Hystrix commands used within the Netflix ecosystem.</t>
        </is>
      </c>
      <c r="M378" t="n">
        <v>0.003</v>
      </c>
      <c r="N378" t="n">
        <v>0.0588</v>
      </c>
      <c r="O378" t="n">
        <v>0.1136</v>
      </c>
    </row>
    <row r="379">
      <c r="A379" t="inlineStr">
        <is>
          <t>hystrix</t>
        </is>
      </c>
      <c r="B379" t="inlineStr">
        <is>
          <t>hystrix-core/src/main/java/com/netflix/hystrix/HystrixCachedObservable.java</t>
        </is>
      </c>
      <c r="C379">
        <f>HYPERLINK("https://github.com/Netflix/Hystrix/blob/master/hystrix-core/src/main/java/com/netflix/hystrix/HystrixCachedObservable.java")</f>
        <v/>
      </c>
      <c r="D379" t="inlineStr">
        <is>
          <t>The `HystrixCachedObservable` class is designed to cache the results of an observable stream for efficient reuse in multiple subscribers without re-executing the underlying computation each time. It uses RxJava's `ReplaySubject` to store previously emitted items from the original observable. The class manages subscriptions to ensure that only one subscription executes the original observable at any given time, even if there are multiple</t>
        </is>
      </c>
      <c r="E379" t="n">
        <v>0</v>
      </c>
      <c r="F379" t="n">
        <v>0</v>
      </c>
      <c r="G379" t="n">
        <v>0.0373</v>
      </c>
      <c r="H379" t="inlineStr">
        <is>
          <t>Manages caching for observables in Netflix's Hystrix framework to improve performance by reusing previously computed results when possible.</t>
        </is>
      </c>
      <c r="I379" t="n">
        <v>0</v>
      </c>
      <c r="J379" t="n">
        <v>0</v>
      </c>
      <c r="K379" t="n">
        <v>0</v>
      </c>
      <c r="L379" t="inlineStr">
        <is>
          <t>The `HystrixCachedObservable` class is designed to cache the results of an observable stream for efficient reuse across multiple subscribers while maintaining the ability to unsubscribe from the underlying observable when no more subscriptions remain. It uses RxJava's `ReplaySubject` to buffer the emissions from the original observable and provides a mechanism to manage subscription counts to ensure proper cleanup of resources. The class ensures that only</t>
        </is>
      </c>
      <c r="M379" t="n">
        <v>0.0028</v>
      </c>
      <c r="N379" t="n">
        <v>0.027</v>
      </c>
      <c r="O379" t="n">
        <v>0.073</v>
      </c>
    </row>
    <row r="380">
      <c r="A380" t="inlineStr">
        <is>
          <t>hystrix</t>
        </is>
      </c>
      <c r="B380" t="inlineStr">
        <is>
          <t>hystrix-core/src/main/java/com/netflix/hystrix/ExecutionResult.java</t>
        </is>
      </c>
      <c r="C380">
        <f>HYPERLINK("https://github.com/Netflix/Hystrix/blob/master/hystrix-core/src/main/java/com/netflix/hystrix/ExecutionResult.java")</f>
        <v/>
      </c>
      <c r="D380" t="inlineStr">
        <is>
          <t>The provided Java code defines an immutable `ExecutionResult` class within the `com.netflix.hystrix` package. It encapsulates the status of a command's execution, including whether the command succeeded, failed, timed out, or was canceled. The class uses a combination of bit flags (`BitSet`) and a list of exceptions to store various states related to the command's outcome. The `Execution</t>
        </is>
      </c>
      <c r="E380" t="n">
        <v>0.0032</v>
      </c>
      <c r="F380" t="n">
        <v>0.029</v>
      </c>
      <c r="G380" t="n">
        <v>0.0775</v>
      </c>
      <c r="H380" t="inlineStr">
        <is>
          <t>The repository contains backend software components implementing core algorithms. The complexity is O(N), indicating linear time performance relative to input size. Comments describe the implementation of these algorithms. Initial codebase was committed. The total code size is 1000 lines.</t>
        </is>
      </c>
      <c r="I380" t="n">
        <v>0.0056</v>
      </c>
      <c r="J380" t="n">
        <v>0.125</v>
      </c>
      <c r="K380" t="n">
        <v>0.1351</v>
      </c>
      <c r="L380" t="inlineStr">
        <is>
          <t>The `ExecutionResult` class is an immutable data structure used to hold the outcome of a command's execution within the Netflix Hystrix framework. It encapsulates various details such as whether the command succeeded, failed, was short-circuited, or timed out, along with any exceptions thrown during execution. The class provides methods to access these properties and is designed to be thread-safe and reusable across</t>
        </is>
      </c>
      <c r="M380" t="n">
        <v>0.0029</v>
      </c>
      <c r="N380" t="n">
        <v>0.0274</v>
      </c>
      <c r="O380" t="n">
        <v>0.0746</v>
      </c>
    </row>
    <row r="381">
      <c r="A381" t="inlineStr">
        <is>
          <t>hystrix</t>
        </is>
      </c>
      <c r="B381" t="inlineStr">
        <is>
          <t>hystrix-core/src/main/java/com/netflix/hystrix/HystrixCollapserKey.java</t>
        </is>
      </c>
      <c r="C381">
        <f>HYPERLINK("https://github.com/Netflix/Hystrix/blob/master/hystrix-core/src/main/java/com/netflix/hystrix/HystrixCollapserKey.java")</f>
        <v/>
      </c>
      <c r="D381" t="inlineStr">
        <is>
          <t>The provided Java code defines an `HystrixCollapserKey` interface within the `com.netflix.hystrix` package. This interface serves as a key for representing a `HystrixCollapser`, which is used in the Netflix Hystrix library for collapsing multiple requests into a single request to improve performance and reduce network overhead. The interface includes methods for retrieving the name</t>
        </is>
      </c>
      <c r="E381" t="n">
        <v>0.0041</v>
      </c>
      <c r="F381" t="n">
        <v>0.0635</v>
      </c>
      <c r="G381" t="n">
        <v>0.12</v>
      </c>
      <c r="H381" t="inlineStr">
        <is>
          <t>The provided code defines an interface `HystrixCollapserKey` used to represent keys for Hystrix collapsers, which are used for optimizing network requests by grouping multiple requests into a single request. The class includes methods for getting the name and group of the key.</t>
        </is>
      </c>
      <c r="I381" t="n">
        <v>0.0044</v>
      </c>
      <c r="J381" t="n">
        <v>0.04</v>
      </c>
      <c r="K381" t="n">
        <v>0.0877</v>
      </c>
      <c r="L381" t="inlineStr">
        <is>
          <t>The `HystrixCollapserKey` interface defines a contract for keys used to identify and manage `HystrixCollapser` instances within the Netflix Hystrix library. It provides methods to retrieve the name and group associated with the key, which are essential for monitoring, circuit-breaking, metrics collection, caching, and other functionalities related to collapsing requests into fewer calls. The</t>
        </is>
      </c>
      <c r="M381" t="n">
        <v>0.0035</v>
      </c>
      <c r="N381" t="n">
        <v>0.0323</v>
      </c>
      <c r="O381" t="n">
        <v>0.08</v>
      </c>
    </row>
    <row r="382">
      <c r="A382" t="inlineStr">
        <is>
          <t>hystrix</t>
        </is>
      </c>
      <c r="B382" t="inlineStr">
        <is>
          <t>hystrix-core/src/main/java/com/netflix/hystrix/HystrixCounters.java</t>
        </is>
      </c>
      <c r="C382">
        <f>HYPERLINK("https://github.com/Netflix/Hystrix/blob/master/hystrix-core/src/main/java/com/netflix/hystrix/HystrixCounters.java")</f>
        <v/>
      </c>
      <c r="D382" t="inlineStr">
        <is>
          <t>The `HystrixCounters` class provides global statistics about Hystrix's runtime behavior across all threads in the JVM. It uses an atomic integer to keep track of the number of threads currently executing commands. The class includes methods to increment and decrement this counter, as well as accessors to retrieve its value. This information can be useful for monitoring and debugging purposes related to Hystrix's</t>
        </is>
      </c>
      <c r="E382" t="n">
        <v>0.0034</v>
      </c>
      <c r="F382" t="n">
        <v>0.0548</v>
      </c>
      <c r="G382" t="n">
        <v>0.1111</v>
      </c>
      <c r="H382" t="inlineStr">
        <is>
          <t>The repository contains backend software components that implement core algorithms. The complexity of these implementations is O(N), indicating linear time complexity. The comments provide details about the implementation's purpose and scope. The commits include an initial codebase commit. The total size of the codebase is 1000 lines.</t>
        </is>
      </c>
      <c r="I382" t="n">
        <v>0.0051</v>
      </c>
      <c r="J382" t="n">
        <v>0.1404</v>
      </c>
      <c r="K382" t="n">
        <v>0.1681</v>
      </c>
      <c r="L382" t="inlineStr">
        <is>
          <t>The `HystrixCounters` class provides global statistics about Hystrix runtime behavior across all threads in the JVM. It uses an atomic integer to track the number of currently executing threads, which can be useful for monitoring system load and performance. The class is designed to be accessed statically, allowing retrieval of these counters without creating instances.</t>
        </is>
      </c>
      <c r="M382" t="n">
        <v>0.0033</v>
      </c>
      <c r="N382" t="n">
        <v>0.0317</v>
      </c>
      <c r="O382" t="n">
        <v>0.07870000000000001</v>
      </c>
    </row>
    <row r="383">
      <c r="A383" t="inlineStr">
        <is>
          <t>hystrix</t>
        </is>
      </c>
      <c r="B383" t="inlineStr">
        <is>
          <t>hystrix-core/src/main/java/com/netflix/hystrix/package-info.java</t>
        </is>
      </c>
      <c r="C383">
        <f>HYPERLINK("https://github.com/Netflix/Hystrix/blob/master/hystrix-core/src/main/java/com/netflix/hystrix/package-info.java")</f>
        <v/>
      </c>
      <c r="D383" t="inlineStr">
        <is>
          <t>The provided code defines the core functionalities of Hystrix, which includes classes `HystrixCommand` and `HystrixCollapser`. These classes serve as base classes that can be extended to implement custom command logic and collapsing strategies for handling multiple requests efficiently. The code is part of a larger system designed to handle high availability and fault tolerance in microservices architectures using Netflix's Hyst</t>
        </is>
      </c>
      <c r="E383" t="n">
        <v>0.0036</v>
      </c>
      <c r="F383" t="n">
        <v>0.1159</v>
      </c>
      <c r="G383" t="n">
        <v>0.2391</v>
      </c>
      <c r="H383" t="inlineStr">
        <is>
          <t>The code provides the core implementation of Hystrix, which includes classes such as `HystrixCommand` and `HystrixCollapser`. It also includes comments explaining the purpose of each class and method. The complexity is high due to its extensive functionality and size.</t>
        </is>
      </c>
      <c r="I383" t="n">
        <v>0.0111</v>
      </c>
      <c r="J383" t="n">
        <v>0.1277</v>
      </c>
      <c r="K383" t="n">
        <v>0.2843</v>
      </c>
      <c r="L383" t="inlineStr">
        <is>
          <t>The code provides the core implementation of Hystrix, a library used for building resilient microservices. It includes classes such as `HystrixCommand` and `HystrixCollapser`, which allow developers to extend these classes to create fault-tolerant services that can handle failures gracefully. The code is designed to be easily extensible and maintainable, making it suitable for integration into</t>
        </is>
      </c>
      <c r="M383" t="n">
        <v>0.004</v>
      </c>
      <c r="N383" t="n">
        <v>0.0625</v>
      </c>
      <c r="O383" t="n">
        <v>0.1575</v>
      </c>
    </row>
    <row r="384">
      <c r="A384" t="inlineStr">
        <is>
          <t>hystrix</t>
        </is>
      </c>
      <c r="B384" t="inlineStr">
        <is>
          <t>hystrix-core/src/main/java/com/netflix/hystrix/HystrixObservableCommand.java</t>
        </is>
      </c>
      <c r="C384">
        <f>HYPERLINK("https://github.com/Netflix/Hystrix/blob/master/hystrix-core/src/main/java/com/netflix/hystrix/HystrixObservableCommand.java")</f>
        <v/>
      </c>
      <c r="D384" t="inlineStr">
        <is>
          <t>The provided code defines a class `Hystrix` which appears to be part of a library designed to handle circuit breaker patterns in Java applications. It includes various interfaces and classes related to command execution, properties, event notification, and hooks. The code does not contain any executable logic but rather serves as a framework for building Hystrix commands.</t>
        </is>
      </c>
      <c r="E384" t="n">
        <v>0.0032</v>
      </c>
      <c r="F384" t="n">
        <v>0.0615</v>
      </c>
      <c r="G384" t="n">
        <v>0.0775</v>
      </c>
      <c r="H384" t="inlineStr">
        <is>
          <t>The provided code implements core algorithms for a backend software component. It includes comments explaining its implementation and complexity, as well as details about the commits and code size.</t>
        </is>
      </c>
      <c r="I384" t="n">
        <v>0.0163</v>
      </c>
      <c r="J384" t="n">
        <v>0.1622</v>
      </c>
      <c r="K384" t="n">
        <v>0.3125</v>
      </c>
      <c r="L384" t="inlineStr">
        <is>
          <t>The `HystrixCommand` class from the Netflix Hystrix library provides a way to handle fallbacks and circuit breakers for asynchronous requests. It allows developers to define command execution properties such as isolation strategy, timeout settings, and fallback mechanisms. The class uses RxJava Observables to manage asynchronous responses and integrates with event listeners and property strategies to customize behavior based on configuration.</t>
        </is>
      </c>
      <c r="M384" t="n">
        <v>0.003</v>
      </c>
      <c r="N384" t="n">
        <v>0.0294</v>
      </c>
      <c r="O384" t="n">
        <v>0.07580000000000001</v>
      </c>
    </row>
    <row r="385">
      <c r="A385" t="inlineStr">
        <is>
          <t>hystrix</t>
        </is>
      </c>
      <c r="B385" t="inlineStr">
        <is>
          <t>hystrix-core/src/main/java/com/netflix/hystrix/HystrixRequestLog.java</t>
        </is>
      </c>
      <c r="C385">
        <f>HYPERLINK("https://github.com/Netflix/Hystrix/blob/master/hystrix-core/src/main/java/com/netflix/hystrix/HystrixRequestLog.java")</f>
        <v/>
      </c>
      <c r="D385" t="inlineStr">
        <is>
          <t>The provided code is part of the Hystrix library, which is used for building resilient microservices architectures. It includes classes for managing request events streams, plugins, concurrency strategies, request context, and request variable holders. The complexity of the implementation is O(N), indicating that it processes data linearly based on input size N. The comments suggest that the code implements core algorithms necessary for handling circuit break</t>
        </is>
      </c>
      <c r="E385" t="n">
        <v>0.0065</v>
      </c>
      <c r="F385" t="n">
        <v>0.0533</v>
      </c>
      <c r="G385" t="n">
        <v>0.2287</v>
      </c>
      <c r="H385" t="inlineStr">
        <is>
          <t>This repository contains backend software components that implement core algorithms. The complexity of these implementations is O(N), indicating linear time complexity. The code size is 1000 lines, making it relatively large but focused on providing essential functionalities.</t>
        </is>
      </c>
      <c r="I385" t="n">
        <v>0.0066</v>
      </c>
      <c r="J385" t="n">
        <v>0.2174</v>
      </c>
      <c r="K385" t="n">
        <v>0.1835</v>
      </c>
      <c r="L385" t="inlineStr">
        <is>
          <t>This Java package `com.netflix.hystrix` provides a framework for implementing circuit breakers and fallbacks in microservices architectures using Hystrix, which helps manage failures gracefully by isolating problematic services from the rest of the system. The library includes classes for managing request events streams, plugins, concurrency strategies, and request contexts, allowing developers to implement robust error handling and resilience mechanisms effectively.</t>
        </is>
      </c>
      <c r="M385" t="n">
        <v>0.0037</v>
      </c>
      <c r="N385" t="n">
        <v>0.08699999999999999</v>
      </c>
      <c r="O385" t="n">
        <v>0.1527</v>
      </c>
    </row>
    <row r="386">
      <c r="A386" t="inlineStr">
        <is>
          <t>hystrix</t>
        </is>
      </c>
      <c r="B386" t="inlineStr">
        <is>
          <t>hystrix-core/src/main/java/com/netflix/hystrix/HystrixThreadPoolProperties.java</t>
        </is>
      </c>
      <c r="C386">
        <f>HYPERLINK("https://github.com/Netflix/Hystrix/blob/master/hystrix-core/src/main/java/com/netflix/hystrix/HystrixThreadPoolProperties.java")</f>
        <v/>
      </c>
      <c r="D386" t="inlineStr">
        <is>
          <t>The provided Java code defines a class `Hystrix` within the package `com.netflix.hystrix`. It includes methods for configuring properties such as boolean and integer values using chained property classes from a strategy. The class also references a method `forConcurrentExecution`, which suggests it might be part of a concurrency management system related to Hystrix, possibly used for handling concurrent execution strategies in micro</t>
        </is>
      </c>
      <c r="E386" t="n">
        <v>0.003</v>
      </c>
      <c r="F386" t="n">
        <v>0.0282</v>
      </c>
      <c r="G386" t="n">
        <v>0.0752</v>
      </c>
      <c r="H386" t="inlineStr">
        <is>
          <t>This repository contains backend software components that implement core algorithms. The complexity of these implementations is O(N), indicating linear time complexity. The README provides information about the project's license and copyright notice. The commits indicate the initial creation of the codebase. The total size of the codebase is 1000 lines.</t>
        </is>
      </c>
      <c r="I386" t="n">
        <v>0.0052</v>
      </c>
      <c r="J386" t="n">
        <v>0.1667</v>
      </c>
      <c r="K386" t="n">
        <v>0.2049</v>
      </c>
      <c r="L386" t="inlineStr">
        <is>
          <t>The provided Java code defines a class `Hystrix` within the package `com.netflix.hystrix`. It includes methods for configuring thread pools using properties from `HystrixPropertiesChainedProperty`, which manage various aspects of Hystrix's execution strategy. The class uses blocking queues and thread pool executors to handle concurrent requests efficiently, ensuring robustness against failures through circuit breakers and fallback</t>
        </is>
      </c>
      <c r="M386" t="n">
        <v>0.0034</v>
      </c>
      <c r="N386" t="n">
        <v>0.0308</v>
      </c>
      <c r="O386" t="n">
        <v>0.0794</v>
      </c>
    </row>
    <row r="387">
      <c r="A387" t="inlineStr">
        <is>
          <t>hystrix</t>
        </is>
      </c>
      <c r="B387" t="inlineStr">
        <is>
          <t>hystrix-core/src/main/java/com/netflix/hystrix/HystrixCommand.java</t>
        </is>
      </c>
      <c r="C387">
        <f>HYPERLINK("https://github.com/Netflix/Hystrix/blob/master/hystrix-core/src/main/java/com/netflix/hystrix/HystrixCommand.java")</f>
        <v/>
      </c>
      <c r="D387" t="inlineStr">
        <is>
          <t>The provided code is part of the Hystrix library, which is used for building resilient microservices architectures. It includes classes such as `HystrixCommand`, `HystrixObservableCommand`, and others that handle circuit breakers, fallbacks, and timeouts for service calls. The code uses Java concurrency utilities like `ConcurrentHashMap` and `AtomicReference` to manage command execution states efficiently</t>
        </is>
      </c>
      <c r="E387" t="n">
        <v>0.0035</v>
      </c>
      <c r="F387" t="n">
        <v>0.0333</v>
      </c>
      <c r="G387" t="n">
        <v>0.0806</v>
      </c>
      <c r="H387" t="inlineStr">
        <is>
          <t>The code implements a collection of backend software components that contain core algorithms. It uses Java concurrency utilities such as `ConcurrentHashMap`, `Future`, and `AtomicReference` for efficient data management and concurrent operations. The complexity is high due to the implementation of multiple algorithms within the package.</t>
        </is>
      </c>
      <c r="I387" t="n">
        <v>0.0058</v>
      </c>
      <c r="J387" t="n">
        <v>0.1132</v>
      </c>
      <c r="K387" t="n">
        <v>0.2137</v>
      </c>
      <c r="L387" t="inlineStr">
        <is>
          <t>The code implements a high-performance circuit breaker pattern using Hystrix, which helps manage failures in microservices architectures. It uses concurrent data structures like `ConcurrentHashMap` and atomic references to track execution states and results efficiently. The implementation includes methods for executing commands asynchronously and handling timeouts, ensuring robustness against service degradation.</t>
        </is>
      </c>
      <c r="M387" t="n">
        <v>0.0044</v>
      </c>
      <c r="N387" t="n">
        <v>0.0678</v>
      </c>
      <c r="O387" t="n">
        <v>0.123</v>
      </c>
    </row>
    <row r="388">
      <c r="A388" t="inlineStr">
        <is>
          <t>hystrix</t>
        </is>
      </c>
      <c r="B388" t="inlineStr">
        <is>
          <t>hystrix-core/src/main/java/com/netflix/hystrix/HystrixThreadPool.java</t>
        </is>
      </c>
      <c r="C388">
        <f>HYPERLINK("https://github.com/Netflix/Hystrix/blob/master/hystrix-core/src/main/java/com/netflix/hystrix/HystrixThreadPool.java")</f>
        <v/>
      </c>
      <c r="D388" t="inlineStr">
        <is>
          <t>The provided code is part of the Hystrix library, which is used for building resilient microservices architectures. It includes classes and interfaces that manage circuit breakers, thread pools, metrics collection, and concurrency strategies. The code is licensed under the Apache License 2.0 and is designed to help developers create fault-tolerant services by isolating failures within individual components.</t>
        </is>
      </c>
      <c r="E388" t="n">
        <v>0.0032</v>
      </c>
      <c r="F388" t="n">
        <v>0.0299</v>
      </c>
      <c r="G388" t="n">
        <v>0.0775</v>
      </c>
      <c r="H388" t="inlineStr">
        <is>
          <t>The code implements core algorithms for backend software components. It includes various classes and methods that handle concurrency strategies, metrics publishers, property factories, and logging. The complexity is high due to its extensive implementation of these features.</t>
        </is>
      </c>
      <c r="I388" t="n">
        <v>0.0126</v>
      </c>
      <c r="J388" t="n">
        <v>0.1333</v>
      </c>
      <c r="K388" t="n">
        <v>0.2896</v>
      </c>
      <c r="L388" t="inlineStr">
        <is>
          <t>The code provides a framework for implementing Hystrix, a library that helps manage failures and retries in microservices architectures. It includes classes for concurrency strategies, context schedulers, metrics publishers, and properties factories, which work together to ensure robust service resilience through circuit breakers, fallbacks, and request caching mechanisms. The implementation complexity is O(N), as it involves managing various configurations and strategies dynamically.</t>
        </is>
      </c>
      <c r="M388" t="n">
        <v>0.0029</v>
      </c>
      <c r="N388" t="n">
        <v>0.0563</v>
      </c>
      <c r="O388" t="n">
        <v>0.1119</v>
      </c>
    </row>
    <row r="389">
      <c r="A389" t="inlineStr">
        <is>
          <t>hystrix</t>
        </is>
      </c>
      <c r="B389" t="inlineStr">
        <is>
          <t>hystrix-core/src/main/java/com/netflix/hystrix/HystrixEventType.java</t>
        </is>
      </c>
      <c r="C389">
        <f>HYPERLINK("https://github.com/Netflix/Hystrix/blob/master/hystrix-core/src/main/java/com/netflix/hystrix/HystrixEventType.java")</f>
        <v/>
      </c>
      <c r="D389" t="inlineStr">
        <is>
          <t>The provided Java code defines an enumeration `HystrixEventType` within the package `com.netflix.hystrix`. This enumeration represents various events related to the execution of commands using the Netflix Hystrix library. The events include:
- **EMIT**: Indicates that data has been emitted during command execution.
- **SUCCESS**: Marks successful completion of command execution.
- **FAILURE**: Indicates failure</t>
        </is>
      </c>
      <c r="E389" t="n">
        <v>0.0034</v>
      </c>
      <c r="F389" t="n">
        <v>0.0328</v>
      </c>
      <c r="G389" t="n">
        <v>0.0794</v>
      </c>
      <c r="H389" t="inlineStr">
        <is>
          <t>The repository contains backend software components implementing core algorithms. The complexity is O(N), indicating linear time performance. Comments describe the implementation as providing core algorithm implementations. Initial codebase commit was made. The total size of the codebase is 1000 lines.</t>
        </is>
      </c>
      <c r="I389" t="n">
        <v>0.0055</v>
      </c>
      <c r="J389" t="n">
        <v>0.1224</v>
      </c>
      <c r="K389" t="n">
        <v>0.1339</v>
      </c>
      <c r="L389" t="inlineStr">
        <is>
          <t>The `HystrixEventType` enum defines various states and events related to the execution of commands within the Netflix Hystrix library. It includes constants such as `EMIT`, `SUCCESS`, `FAILURE`, `TIMEOUT`, and others, which represent different outcomes or tracking points during command execution. The enum is primarily used for logging and monitoring purposes through classes like `HystrixRequestLog`.</t>
        </is>
      </c>
      <c r="M389" t="n">
        <v>0.0034</v>
      </c>
      <c r="N389" t="n">
        <v>0.0323</v>
      </c>
      <c r="O389" t="n">
        <v>0.0794</v>
      </c>
    </row>
    <row r="390">
      <c r="A390" t="inlineStr">
        <is>
          <t>hystrix</t>
        </is>
      </c>
      <c r="B390" t="inlineStr">
        <is>
          <t>hystrix-core/src/main/java/com/netflix/hystrix/HystrixCircuitBreaker.java</t>
        </is>
      </c>
      <c r="C390">
        <f>HYPERLINK("https://github.com/Netflix/Hystrix/blob/master/hystrix-core/src/main/java/com/netflix/hystrix/HystrixCircuitBreaker.java")</f>
        <v/>
      </c>
      <c r="D390" t="inlineStr">
        <is>
          <t>The provided Java code defines a class `HystrixCircuitBreaker` within the package `com.netflix.hystrix`. This class implements circuit breaker logic for handling failures in high-throughput systems like microservices using Netflix's Hystrix library. The circuit breaker monitors command metrics such as success rate, failure count, and error percentage to determine when to trip the circuit and prevent further executions until</t>
        </is>
      </c>
      <c r="E390" t="n">
        <v>0.0042</v>
      </c>
      <c r="F390" t="n">
        <v>0.08699999999999999</v>
      </c>
      <c r="G390" t="n">
        <v>0.155</v>
      </c>
      <c r="H390" t="inlineStr">
        <is>
          <t>The code implements circuit breaker logic for handling failures in Hystrix commands, which helps prevent cascading failures in microservices architectures. It uses Java concurrency utilities like `ConcurrentHashMap` and `AtomicLong`, along with RxJava's `Subscriber` and `Subscription`. The complexity is high due to its extensive implementation of core algorithms related to command metrics and health counts.</t>
        </is>
      </c>
      <c r="I390" t="n">
        <v>0.0045</v>
      </c>
      <c r="J390" t="n">
        <v>0.09520000000000001</v>
      </c>
      <c r="K390" t="n">
        <v>0.1587</v>
      </c>
      <c r="L390" t="inlineStr">
        <is>
          <t>This code implements circuit breaker logic for `HystrixCommand` execution, which helps prevent cascading failures by temporarily disabling command execution when errors occur repeatedly. The circuit breaker uses health metrics to determine if the system should be open or closed, and it maintains state using atomic references and concurrent hash maps.</t>
        </is>
      </c>
      <c r="M390" t="n">
        <v>0.0048</v>
      </c>
      <c r="N390" t="n">
        <v>0.1034</v>
      </c>
      <c r="O390" t="n">
        <v>0.1639</v>
      </c>
    </row>
    <row r="391">
      <c r="A391" t="inlineStr">
        <is>
          <t>hystrix</t>
        </is>
      </c>
      <c r="B391" t="inlineStr">
        <is>
          <t>hystrix-core/src/main/java/com/netflix/hystrix/HystrixExecutable.java</t>
        </is>
      </c>
      <c r="C391">
        <f>HYPERLINK("https://github.com/Netflix/Hystrix/blob/master/hystrix-core/src/main/java/com/netflix/hystrix/HystrixExecutable.java")</f>
        <v/>
      </c>
      <c r="D391" t="inlineStr">
        <is>
          <t>The provided code defines a common interface for executable classes (`HystrixCommand` and `HystrixObservableCommand`) within the Netflix Hystrix library. It includes methods for executing commands asynchronously and handling exceptions related to command execution. The code also specifies the license under which it is distributed.</t>
        </is>
      </c>
      <c r="E391" t="n">
        <v>0.0043</v>
      </c>
      <c r="F391" t="n">
        <v>0.0392</v>
      </c>
      <c r="G391" t="n">
        <v>0.0435</v>
      </c>
      <c r="H391" t="inlineStr">
        <is>
          <t>This repository contains backend software components that implement core algorithms. The complexity of these implementations is O(N), indicating linear time complexity relative to the input size. The code base includes comments explaining the implementation details and commits detailing the initial creation of the codebase. The total code size is 1000 lines.</t>
        </is>
      </c>
      <c r="I391" t="n">
        <v>0.0051</v>
      </c>
      <c r="J391" t="n">
        <v>0.1667</v>
      </c>
      <c r="K391" t="n">
        <v>0.2033</v>
      </c>
      <c r="L391" t="inlineStr">
        <is>
          <t>This Java class provides a common interface for executing commands using the Netflix Hystrix library. It includes methods for running synchronous and asynchronous executions, handling timeouts, and managing execution isolation strategies. The class uses RxJava Observables for asynchronous execution and supports various properties such as thread pool size and timeout duration.</t>
        </is>
      </c>
      <c r="M391" t="n">
        <v>0.0043</v>
      </c>
      <c r="N391" t="n">
        <v>0.0678</v>
      </c>
      <c r="O391" t="n">
        <v>0.122</v>
      </c>
    </row>
    <row r="392">
      <c r="A392" t="inlineStr">
        <is>
          <t>hystrix</t>
        </is>
      </c>
      <c r="B392" t="inlineStr">
        <is>
          <t>hystrix-core/src/main/java/com/netflix/hystrix/HystrixCollapserProperties.java</t>
        </is>
      </c>
      <c r="C392">
        <f>HYPERLINK("https://github.com/Netflix/Hystrix/blob/master/hystrix-core/src/main/java/com/netflix/hystrix/HystrixCollapserProperties.java")</f>
        <v/>
      </c>
      <c r="D392" t="inlineStr">
        <is>
          <t>The provided code is part of the Hystrix library, which is used to implement circuit breakers and fallback mechanisms in microservices architectures. It includes properties for configuring various aspects of Hystrix's behavior such as timeouts, retries, and fallbacks. The complexity of the implementation is O(1) due to its straightforward property management logic.</t>
        </is>
      </c>
      <c r="E392" t="n">
        <v>0.0042</v>
      </c>
      <c r="F392" t="n">
        <v>0.0968</v>
      </c>
      <c r="G392" t="n">
        <v>0.1613</v>
      </c>
      <c r="H392" t="inlineStr">
        <is>
          <t>Implements core algorithms for backend software components. Complexity is O(N).</t>
        </is>
      </c>
      <c r="I392" t="n">
        <v>0.0251</v>
      </c>
      <c r="J392" t="n">
        <v>0.2105</v>
      </c>
      <c r="K392" t="n">
        <v>0.3117</v>
      </c>
      <c r="L392" t="inlineStr">
        <is>
          <t>The provided code defines a package `com.netflix.hystrix` that includes classes related to Hystrix, a library used for building resilient microservices architectures. The code appears to be part of a larger system designed to handle circuit breakers and fallback mechanisms for service calls, which can help prevent cascading failures in complex systems. The code uses properties from the `HystrixPropertiesStrategy` class</t>
        </is>
      </c>
      <c r="M392" t="n">
        <v>0.0031</v>
      </c>
      <c r="N392" t="n">
        <v>0.029</v>
      </c>
      <c r="O392" t="n">
        <v>0.07630000000000001</v>
      </c>
    </row>
    <row r="393">
      <c r="A393" t="inlineStr">
        <is>
          <t>hystrix</t>
        </is>
      </c>
      <c r="B393" t="inlineStr">
        <is>
          <t>hystrix-core/src/main/java/com/netflix/hystrix/HystrixCollapser.java</t>
        </is>
      </c>
      <c r="C393">
        <f>HYPERLINK("https://github.com/Netflix/Hystrix/blob/master/hystrix-core/src/main/java/com/netflix/hystrix/HystrixCollapser.java")</f>
        <v/>
      </c>
      <c r="D393" t="inlineStr">
        <is>
          <t>The provided code defines a class `Hystrix` that implements various Hystrix command properties and collapser functionalities. It includes classes such as `ExecutionIsolationStrategy`, `CollapserTimer`, `RealCollapserTimer`, `RequestCollapser`, and `RequestCollapserFactory`. The complexity is O(N) due to potential operations involving arrays or collections. The comments</t>
        </is>
      </c>
      <c r="E393" t="n">
        <v>0.0054</v>
      </c>
      <c r="F393" t="n">
        <v>0.12</v>
      </c>
      <c r="G393" t="n">
        <v>0.0885</v>
      </c>
      <c r="H393" t="inlineStr">
        <is>
          <t>The code implements core algorithms for a backend software component. It has a complexity of O(N) and includes comments explaining its implementation. The repository was initialized with the first commit.</t>
        </is>
      </c>
      <c r="I393" t="n">
        <v>0.0157</v>
      </c>
      <c r="J393" t="n">
        <v>0.1538</v>
      </c>
      <c r="K393" t="n">
        <v>0.3094</v>
      </c>
      <c r="L393" t="inlineStr">
        <is>
          <t>This Java class provides a framework for implementing Hystrix commands, which are used to handle failures gracefully in microservices architectures. It includes support for command execution isolation strategies, request collapsing, and timers for managing concurrent requests efficiently. The code is designed to be modular and extensible, allowing developers to easily integrate Hystrix into their applications to enhance resilience against service outages and latency issues.</t>
        </is>
      </c>
      <c r="M393" t="n">
        <v>0.0034</v>
      </c>
      <c r="N393" t="n">
        <v>0.0833</v>
      </c>
      <c r="O393" t="n">
        <v>0.1471</v>
      </c>
    </row>
    <row r="394">
      <c r="A394" t="inlineStr">
        <is>
          <t>hystrix</t>
        </is>
      </c>
      <c r="B394" t="inlineStr">
        <is>
          <t>hystrix-core/src/main/java/com/netflix/hystrix/HystrixCommandResponseFromCache.java</t>
        </is>
      </c>
      <c r="C394">
        <f>HYPERLINK("https://github.com/Netflix/Hystrix/blob/master/hystrix-core/src/main/java/com/netflix/hystrix/HystrixCommandResponseFromCache.java")</f>
        <v/>
      </c>
      <c r="D394" t="inlineStr">
        <is>
          <t>The `HystrixCommandResponseFromCache` class is a subclass of `HystrixCachedObservable`, designed to handle responses from caches in a way that integrates with Hystrix for circuit breaker and fallback mechanisms. It wraps another observable (`originalObservable`) and provides additional functionality to copy state from one command (`commandToCopyStateInto`) into another when the response is retrieved from cache.</t>
        </is>
      </c>
      <c r="E394" t="n">
        <v>0.0042</v>
      </c>
      <c r="F394" t="n">
        <v>0.0333</v>
      </c>
      <c r="G394" t="n">
        <v>0.0806</v>
      </c>
      <c r="H394" t="inlineStr">
        <is>
          <t>The repository contains backend software components that implement core algorithms. The complexity is O(N), indicating linear time complexity for certain operations. The comments describe the implementation of these algorithms. There have been several commits since the initial codebase was created, with a total size of 1000 lines of code.</t>
        </is>
      </c>
      <c r="I394" t="n">
        <v>0.0045</v>
      </c>
      <c r="J394" t="n">
        <v>0.1034</v>
      </c>
      <c r="K394" t="n">
        <v>0.124</v>
      </c>
      <c r="L394" t="inlineStr">
        <is>
          <t>This code is part of Netflix's Hystrix library, which provides fault tolerance for distributed systems. It extends `HystrixCachedObservable` to handle responses from caches by copying state into another command when necessary. The constructor initializes the cache observable and references the original command. The `toObservableWithStateCopiedInto` method returns a new observable that copies state from the specified command upon error</t>
        </is>
      </c>
      <c r="M394" t="n">
        <v>0.0037</v>
      </c>
      <c r="N394" t="n">
        <v>0.0597</v>
      </c>
      <c r="O394" t="n">
        <v>0.1154</v>
      </c>
    </row>
    <row r="395">
      <c r="A395" t="inlineStr">
        <is>
          <t>hystrix</t>
        </is>
      </c>
      <c r="B395" t="inlineStr">
        <is>
          <t>hystrix-core/src/main/java/com/netflix/hystrix/HystrixObservable.java</t>
        </is>
      </c>
      <c r="C395">
        <f>HYPERLINK("https://github.com/Netflix/Hystrix/blob/master/hystrix-core/src/main/java/com/netflix/hystrix/HystrixObservable.java")</f>
        <v/>
      </c>
      <c r="D395" t="inlineStr">
        <is>
          <t>The provided Java code defines a common interface `HystrixObservableCommand` within the package `com.netflix.hystrix`. This interface extends the `Observable` class from RxJava and includes methods for executing commands asynchronously using Hystrix's execution isolation strategy. The interface provides methods such as `execute()`, which runs the command synchronously, and `observe()`, which returns an observable representing the</t>
        </is>
      </c>
      <c r="E395" t="n">
        <v>0.0041</v>
      </c>
      <c r="F395" t="n">
        <v>0.0625</v>
      </c>
      <c r="G395" t="n">
        <v>0.12</v>
      </c>
      <c r="H395" t="inlineStr">
        <is>
          <t>This repository contains backend software components implementing core algorithms. The complexity is O(N), indicating linear time complexity. The implementation includes comments explaining the purpose and functionality of each part. The commits include an initial codebase commit. The total size of the codebase is 1000 lines.</t>
        </is>
      </c>
      <c r="I395" t="n">
        <v>0.0061</v>
      </c>
      <c r="J395" t="n">
        <v>0.1852</v>
      </c>
      <c r="K395" t="n">
        <v>0.2564</v>
      </c>
      <c r="L395" t="inlineStr">
        <is>
          <t>This Java class provides a common interface for executing commands using RxJava Observables, allowing them to be executed asynchronously and handle exceptions gracefully. It supports both thread-safe execution within the same thread (`THREAD`) and external thread isolation through `SEMAPHORE` or `COMPONENT`. The class includes properties for configuring execution strategies and exception handling, making it suitable for building robust and scalable microservices architectures.</t>
        </is>
      </c>
      <c r="M395" t="n">
        <v>0.0035</v>
      </c>
      <c r="N395" t="n">
        <v>0.0563</v>
      </c>
      <c r="O395" t="n">
        <v>0.1119</v>
      </c>
    </row>
    <row r="396">
      <c r="A396" t="inlineStr">
        <is>
          <t>hystrix</t>
        </is>
      </c>
      <c r="B396" t="inlineStr">
        <is>
          <t>hystrix-core/src/main/java/com/netflix/hystrix/Hystrix.java</t>
        </is>
      </c>
      <c r="C396">
        <f>HYPERLINK("https://github.com/Netflix/Hystrix/blob/master/hystrix-core/src/main/java/com/netflix/hystrix/Hystrix.java")</f>
        <v/>
      </c>
      <c r="D396" t="inlineStr">
        <is>
          <t>The provided Java code defines a class `Hystrix` within the package `com.netflix.hystrix`. This class appears to be part of a library designed for handling circuit breakers and fallbacks in microservices architectures using Netflix's Hystrix framework. The class likely manages the lifecycle of these mechanisms, including properties configuration, logging, and possibly other internal operations related to service resilience strategies.</t>
        </is>
      </c>
      <c r="E396" t="n">
        <v>0.0037</v>
      </c>
      <c r="F396" t="n">
        <v>0.058</v>
      </c>
      <c r="G396" t="n">
        <v>0.1154</v>
      </c>
      <c r="H396" t="inlineStr">
        <is>
          <t>Manages lifecycle of Hystrix commands and strategies.</t>
        </is>
      </c>
      <c r="I396" t="n">
        <v>0.0286</v>
      </c>
      <c r="J396" t="n">
        <v>0.1333</v>
      </c>
      <c r="K396" t="n">
        <v>0.0633</v>
      </c>
      <c r="L396" t="inlineStr">
        <is>
          <t>The `HystrixCommand` class manages the lifecycle of Hystrix commands, including execution, fallback handling, and circuit breaker monitoring. It provides methods to execute commands asynchronously and synchronously, handle exceptions using fallbacks, and manage circuit breakers to prevent cascading failures. The class uses RxJava for asynchronous command execution and integrates with various plugins and properties to customize behavior.</t>
        </is>
      </c>
      <c r="M396" t="n">
        <v>0.0033</v>
      </c>
      <c r="N396" t="n">
        <v>0.0312</v>
      </c>
      <c r="O396" t="n">
        <v>0.0781</v>
      </c>
    </row>
    <row r="397">
      <c r="A397" t="inlineStr">
        <is>
          <t>hystrix</t>
        </is>
      </c>
      <c r="B397" t="inlineStr">
        <is>
          <t>hystrix-core/src/main/java/com/netflix/hystrix/HystrixCollapserMetrics.java</t>
        </is>
      </c>
      <c r="C397">
        <f>HYPERLINK("https://github.com/Netflix/Hystrix/blob/master/hystrix-core/src/main/java/com/netflix/hystrix/HystrixCollapserMetrics.java")</f>
        <v/>
      </c>
      <c r="D397" t="inlineStr">
        <is>
          <t>The provided Java code defines classes related to Hystrix, which is a library used for building resilient microservices architectures. The code includes:
1. **HystrixCollapserEvent**: Represents events that occur during the execution of a Hystrix collapser.
2. **HystrixThreadEventStream**: Manages streams of thread-level events for Hystrix commands.
3</t>
        </is>
      </c>
      <c r="E397" t="n">
        <v>0</v>
      </c>
      <c r="F397" t="n">
        <v>0</v>
      </c>
      <c r="G397" t="n">
        <v>0.0424</v>
      </c>
      <c r="H397" t="inlineStr">
        <is>
          <t>The code implements core algorithms for backend software components. It includes various metric streams for tracking collapser events and batch sizes. The complexity is O(N) due to potential processing of large data sets.</t>
        </is>
      </c>
      <c r="I397" t="n">
        <v>0.0142</v>
      </c>
      <c r="J397" t="n">
        <v>0.1429</v>
      </c>
      <c r="K397" t="n">
        <v>0.3006</v>
      </c>
      <c r="L397" t="inlineStr">
        <is>
          <t>This Java package `com.netflix.hystrix` provides classes and utilities for implementing circuit breakers and request collapsing strategies in microservices architectures using Netflix's Hystrix library. The code includes event streams for monitoring collapser events and batch size distributions, which help in analyzing performance and debugging issues related to these features.</t>
        </is>
      </c>
      <c r="M397" t="n">
        <v>0.0045</v>
      </c>
      <c r="N397" t="n">
        <v>0.1017</v>
      </c>
      <c r="O397" t="n">
        <v>0.1667</v>
      </c>
    </row>
    <row r="398">
      <c r="A398" t="inlineStr">
        <is>
          <t>hystrix</t>
        </is>
      </c>
      <c r="B398" t="inlineStr">
        <is>
          <t>hystrix-core/src/main/java/com/netflix/hystrix/HystrixKey.java</t>
        </is>
      </c>
      <c r="C398">
        <f>HYPERLINK("https://github.com/Netflix/Hystrix/blob/master/hystrix-core/src/main/java/com/netflix/hystrix/HystrixKey.java")</f>
        <v/>
      </c>
      <c r="D398" t="inlineStr">
        <is>
          <t>The provided Java code defines an `HystrixKey` interface with a method to retrieve a string representation of the key's name. It also includes a default implementation (`HystrixKeyDefault`) that encapsulates the logic for generating and returning the key's name. This design allows enums to easily implement the `HystrixKey` interface without needing additional boilerplate code.</t>
        </is>
      </c>
      <c r="E398" t="n">
        <v>0.0041</v>
      </c>
      <c r="F398" t="n">
        <v>0.0635</v>
      </c>
      <c r="G398" t="n">
        <v>0.12</v>
      </c>
      <c r="H398" t="inlineStr">
        <is>
          <t>Provides basic interface for Hystrix keys in a Java package.</t>
        </is>
      </c>
      <c r="I398" t="n">
        <v>0</v>
      </c>
      <c r="J398" t="n">
        <v>0</v>
      </c>
      <c r="K398" t="n">
        <v>0</v>
      </c>
      <c r="L398" t="inlineStr">
        <is>
          <t>The `HystrixKey` interface defines a basic contract for naming elements within the Netflix Hystrix library, which is commonly used for circuit breaking and fallback mechanisms in distributed systems. It includes a method `name()` that returns a string identifier for each element. The default implementation of this interface uses an enum-like structure where each instance has a unique name.</t>
        </is>
      </c>
      <c r="M398" t="n">
        <v>0.0031</v>
      </c>
      <c r="N398" t="n">
        <v>0.0299</v>
      </c>
      <c r="O398" t="n">
        <v>0.1538</v>
      </c>
    </row>
    <row r="399">
      <c r="A399" t="inlineStr">
        <is>
          <t>hystrix</t>
        </is>
      </c>
      <c r="B399" t="inlineStr">
        <is>
          <t>hystrix-core/src/main/java/com/netflix/hystrix/HystrixInvokableInfo.java</t>
        </is>
      </c>
      <c r="C399">
        <f>HYPERLINK("https://github.com/Netflix/Hystrix/blob/master/hystrix-core/src/main/java/com/netflix/hystrix/HystrixInvokableInfo.java")</f>
        <v/>
      </c>
      <c r="D399" t="inlineStr">
        <is>
          <t>The provided Java interface `HystrixInvokableInfo` defines methods that return various properties related to a command execution within the Netflix Hystrix library. These include:
- **Command Group Key**: The group to which the command belongs.
- **Command Key**: A unique identifier for the command.
- **Thread Pool Key**: The thread pool configuration associated with the command.
- **Public Cache Key</t>
        </is>
      </c>
      <c r="E399" t="n">
        <v>0</v>
      </c>
      <c r="F399" t="n">
        <v>0</v>
      </c>
      <c r="G399" t="n">
        <v>0</v>
      </c>
      <c r="H399" t="inlineStr">
        <is>
          <t>The provided code defines an interface `HystrixInvokableInfo` within the package `com.netflix.hystrix`. This interface represents information about a command invocation in the Hystrix library, which is used for handling circuit breakers and fallbacks in microservices architectures. The interface includes methods to retrieve various properties related to the command, such as its group key, key, thread pool key,</t>
        </is>
      </c>
      <c r="I399" t="n">
        <v>0.0039</v>
      </c>
      <c r="J399" t="n">
        <v>0.0606</v>
      </c>
      <c r="K399" t="n">
        <v>0.1172</v>
      </c>
      <c r="L399" t="inlineStr">
        <is>
          <t>The `HystrixInvokableInfo` interface defines methods that provide metadata about a command execution within the Netflix Hystrix framework. It includes details such as the command group, key, thread pool, public cache key, and collapse key, which are essential for managing and optimizing service calls in microservices architectures. The interface helps in maintaining consistency and efficiency across different parts of the system by providing standardized</t>
        </is>
      </c>
      <c r="M399" t="n">
        <v>0.0029</v>
      </c>
      <c r="N399" t="n">
        <v>0.0282</v>
      </c>
      <c r="O399" t="n">
        <v>0.0741</v>
      </c>
    </row>
    <row r="400">
      <c r="A400" t="inlineStr">
        <is>
          <t>hystrix</t>
        </is>
      </c>
      <c r="B400" t="inlineStr">
        <is>
          <t>hystrix-core/src/main/java/com/netflix/hystrix/HystrixRequestCache.java</t>
        </is>
      </c>
      <c r="C400">
        <f>HYPERLINK("https://github.com/Netflix/Hystrix/blob/master/hystrix-core/src/main/java/com/netflix/hystrix/HystrixRequestCache.java")</f>
        <v/>
      </c>
      <c r="D400" t="inlineStr">
        <is>
          <t>The provided code defines a package `com.netflix.hystrix` which appears to be part of a larger system designed for handling high availability and fault tolerance using Hystrix, a library developed by Netflix. The code includes classes related to concurrency strategies, request variables, lifecycle management, logging, and possibly other utilities used within the Hystrix framework. It also mentions that the implementation complexity is O(N</t>
        </is>
      </c>
      <c r="E400" t="n">
        <v>0.0029</v>
      </c>
      <c r="F400" t="n">
        <v>0.0274</v>
      </c>
      <c r="G400" t="n">
        <v>0.1119</v>
      </c>
      <c r="H400" t="inlineStr">
        <is>
          <t>This repository contains backend software components that implement core algorithms. The complexity of these implementations is O(N), indicating they scale linearly with input size. The codebase includes comments explaining the implementation details and has been initialized with a single commit. The total size of the codebase is 1000 lines.</t>
        </is>
      </c>
      <c r="I400" t="n">
        <v>0.0053</v>
      </c>
      <c r="J400" t="n">
        <v>0.1724</v>
      </c>
      <c r="K400" t="n">
        <v>0.2066</v>
      </c>
      <c r="L400" t="inlineStr">
        <is>
          <t>The code provides a framework for managing concurrency strategies and request variables within Hystrix, a library used for building resilient microservices. It includes classes for handling concurrency strategy implementations, default request variable holders, lifecycle management, and logging utilities. The code is designed to support complex application architectures where concurrent execution needs to be managed effectively.</t>
        </is>
      </c>
      <c r="M400" t="n">
        <v>0.0033</v>
      </c>
      <c r="N400" t="n">
        <v>0.0635</v>
      </c>
      <c r="O400" t="n">
        <v>0.07870000000000001</v>
      </c>
    </row>
    <row r="401">
      <c r="A401" t="inlineStr">
        <is>
          <t>hystrix</t>
        </is>
      </c>
      <c r="B401" t="inlineStr">
        <is>
          <t>hystrix-core/src/main/java/com/netflix/hystrix/HystrixCommandGroupKey.java</t>
        </is>
      </c>
      <c r="C401">
        <f>HYPERLINK("https://github.com/Netflix/Hystrix/blob/master/hystrix-core/src/main/java/com/netflix/hystrix/HystrixCommandGroupKey.java")</f>
        <v/>
      </c>
      <c r="D401" t="inlineStr">
        <is>
          <t>The provided Java code defines a `HystrixGroup` class within the `com.netflix.hystrix` package. It serves as a way to categorize and manage groups of `HystrixCommand` instances. The class includes:
- **Purpose**: To group related `HystrixCommand`s for better organization and management, particularly useful for reporting, alerting, dashboarding, or team</t>
        </is>
      </c>
      <c r="E401" t="n">
        <v>0.0039</v>
      </c>
      <c r="F401" t="n">
        <v>0.0351</v>
      </c>
      <c r="G401" t="n">
        <v>0.08400000000000001</v>
      </c>
      <c r="H401" t="inlineStr">
        <is>
          <t>This repository contains backend software components that implement core algorithms. The complexity of these implementations is O(N), indicating linear time complexity relative to input size. The comments provide detailed explanations of the implementation logic, while the commits document the initial creation of the codebase. The total code size is 1000 lines.</t>
        </is>
      </c>
      <c r="I401" t="n">
        <v>0.0047</v>
      </c>
      <c r="J401" t="n">
        <v>0.1667</v>
      </c>
      <c r="K401" t="n">
        <v>0.1626</v>
      </c>
      <c r="L401" t="inlineStr">
        <is>
          <t>The `HystrixGroup` class defines a logical grouping for `HystrixCommand` instances within a service, allowing for centralized management and monitoring of command execution across different teams or libraries. It provides a way to categorize commands based on their purpose or ownership, which can be useful for generating reports, setting up alerts, and visualizing performance metrics. The class uses a string-based identifier to</t>
        </is>
      </c>
      <c r="M401" t="n">
        <v>0.003</v>
      </c>
      <c r="N401" t="n">
        <v>0.0286</v>
      </c>
      <c r="O401" t="n">
        <v>0.0752</v>
      </c>
    </row>
    <row r="402">
      <c r="A402" t="inlineStr">
        <is>
          <t>hystrix</t>
        </is>
      </c>
      <c r="B402" t="inlineStr">
        <is>
          <t>hystrix-core/src/main/java/com/netflix/hystrix/HystrixThreadPoolKey.java</t>
        </is>
      </c>
      <c r="C402">
        <f>HYPERLINK("https://github.com/Netflix/Hystrix/blob/master/hystrix-core/src/main/java/com/netflix/hystrix/HystrixThreadPoolKey.java")</f>
        <v/>
      </c>
      <c r="D402" t="inlineStr">
        <is>
          <t>The provided Java code defines an `HystrixThreadPoolKey` interface within the `com.netflix.hystrix` package. It serves as a key for representing a thread pool used in the Netflix Hystrix library, which is designed for handling circuit breakers and fallbacks in microservices architectures. The interface includes methods inherited from the `HystrixKey` interface, allowing it to be used</t>
        </is>
      </c>
      <c r="E402" t="n">
        <v>0.0034</v>
      </c>
      <c r="F402" t="n">
        <v>0.0312</v>
      </c>
      <c r="G402" t="n">
        <v>0.0794</v>
      </c>
      <c r="H402" t="inlineStr">
        <is>
          <t>The code defines an `HystrixThreadPoolKey` interface used to identify and manage thread pools within the Netflix Hystrix framework. It includes comments explaining its purpose and usage, as well as metadata about complexity, commits, and size.</t>
        </is>
      </c>
      <c r="I402" t="n">
        <v>0.0053</v>
      </c>
      <c r="J402" t="n">
        <v>0.0465</v>
      </c>
      <c r="K402" t="n">
        <v>0.0935</v>
      </c>
      <c r="L402" t="inlineStr">
        <is>
          <t>The `HystrixThreadPoolKey` interface defines a key used to identify and manage thread pools within the Netflix Hystrix library. It provides methods for retrieving the name of the thread pool and allows implementations to be enums, facilitating easy integration into monitoring, metrics, and caching systems. The interface is designed to support native usage with Enums, making it suitable for various applications requiring thread pool management capabilities.</t>
        </is>
      </c>
      <c r="M402" t="n">
        <v>0.0028</v>
      </c>
      <c r="N402" t="n">
        <v>0.0548</v>
      </c>
      <c r="O402" t="n">
        <v>0.1095</v>
      </c>
    </row>
    <row r="403">
      <c r="A403" t="inlineStr">
        <is>
          <t>hystrix</t>
        </is>
      </c>
      <c r="B403" t="inlineStr">
        <is>
          <t>hystrix-core/src/main/java/com/netflix/hystrix/AbstractCommand.java</t>
        </is>
      </c>
      <c r="C403">
        <f>HYPERLINK("https://github.com/Netflix/Hystrix/blob/master/hystrix-core/src/main/java/com/netflix/hystrix/AbstractCommand.java")</f>
        <v/>
      </c>
      <c r="D403" t="inlineStr">
        <is>
          <t>The provided Java code defines a class `com.netflix.hystrix.Hystrix` which appears to be part of a library designed for handling circuit breakers and fallbacks in microservices architectures using Hystrix. The code includes various properties and methods related to command execution isolation strategies, request caching, fallback mechanisms, and exception handling. It also references other classes such as `NoOpCircuitBreak</t>
        </is>
      </c>
      <c r="E403" t="n">
        <v>0.0033</v>
      </c>
      <c r="F403" t="n">
        <v>0.0299</v>
      </c>
      <c r="G403" t="n">
        <v>0.0781</v>
      </c>
      <c r="H403" t="inlineStr">
        <is>
          <t>The code implements core algorithms for backend software components. It includes comments explaining its implementation and complexity analysis. The README provides information about the repository's contents and structure.</t>
        </is>
      </c>
      <c r="I403" t="n">
        <v>0.0169</v>
      </c>
      <c r="J403" t="n">
        <v>0.1622</v>
      </c>
      <c r="K403" t="n">
        <v>0.3156</v>
      </c>
      <c r="L403" t="inlineStr">
        <is>
          <t>The code provides a framework for implementing circuit breakers and fallback mechanisms in Hystrix, a library used for building resilient microservices. It includes support for various execution isolation strategies and handles exceptions gracefully, ensuring that services can handle failures without crashing. The implementation complexity is O(N), where N represents the number of requests processed, and it relies on comments and existing documentation to explain its core functionalities.</t>
        </is>
      </c>
      <c r="M403" t="n">
        <v>0.0032</v>
      </c>
      <c r="N403" t="n">
        <v>0.0789</v>
      </c>
      <c r="O403" t="n">
        <v>0.1439</v>
      </c>
    </row>
    <row r="404">
      <c r="A404" t="inlineStr">
        <is>
          <t>hystrix</t>
        </is>
      </c>
      <c r="B404" t="inlineStr">
        <is>
          <t>hystrix-core/src/main/java/com/netflix/hystrix/HystrixCommandKey.java</t>
        </is>
      </c>
      <c r="C404">
        <f>HYPERLINK("https://github.com/Netflix/Hystrix/blob/master/hystrix-core/src/main/java/com/netflix/hystrix/HystrixCommandKey.java")</f>
        <v/>
      </c>
      <c r="D404" t="inlineStr">
        <is>
          <t>The provided Java code defines an `HystrixCommandKey` interface within the `com.netflix.hystrix` package. It serves as a key for representing `HystrixCommand` instances used for monitoring, circuit-breaking, metric publishing, caching, and other purposes. The interface is designed to integrate seamlessly with enums, allowing implementing classes to be enums themselves. The code includes comments explaining its purpose</t>
        </is>
      </c>
      <c r="E404" t="n">
        <v>0.0034</v>
      </c>
      <c r="F404" t="n">
        <v>0.0308</v>
      </c>
      <c r="G404" t="n">
        <v>0.119</v>
      </c>
      <c r="H404" t="inlineStr">
        <is>
          <t>The code defines an interface `HystrixCommandKey` within the package `com.netflix.hystrix`, which represents a unique identifier for a `HystrixCommand`. It includes comments explaining its purpose and usage, as well as metadata about its complexity and size. The README provides context about the repository containing backend software components.</t>
        </is>
      </c>
      <c r="I404" t="n">
        <v>0.0048</v>
      </c>
      <c r="J404" t="n">
        <v>0.0357</v>
      </c>
      <c r="K404" t="n">
        <v>0.0847</v>
      </c>
      <c r="L404" t="inlineStr">
        <is>
          <t>The `HystrixCommandKey` interface serves as a unique identifier for `HystrixCommand` instances within a system, facilitating monitoring, circuit-breaking, metric collection, caching, and other functionalities. It allows enums to implement this interface, providing a standardized way to manage command keys across different parts of the application.</t>
        </is>
      </c>
      <c r="M404" t="n">
        <v>0.0042</v>
      </c>
      <c r="N404" t="n">
        <v>0.0377</v>
      </c>
      <c r="O404" t="n">
        <v>0.1724</v>
      </c>
    </row>
    <row r="405">
      <c r="A405" t="inlineStr">
        <is>
          <t>hystrix</t>
        </is>
      </c>
      <c r="B405" t="inlineStr">
        <is>
          <t>hystrix-core/src/main/java/com/netflix/hystrix/HystrixObservableCollapser.java</t>
        </is>
      </c>
      <c r="C405">
        <f>HYPERLINK("https://github.com/Netflix/Hystrix/blob/master/hystrix-core/src/main/java/com/netflix/hystrix/HystrixObservableCollapser.java")</f>
        <v/>
      </c>
      <c r="D405" t="inlineStr">
        <is>
          <t>The provided Java code defines a class `HystrixCollapser` within the package `com.netflix.hystrix`. This class appears to be part of a library designed to handle request collapsing in Hystrix, which is a circuit breaker pattern used to manage failures in microservices architectures. The class includes methods for managing collapsed requests, using timers, and executing commands based on these requests.</t>
        </is>
      </c>
      <c r="E405" t="n">
        <v>0.0037</v>
      </c>
      <c r="F405" t="n">
        <v>0.0588</v>
      </c>
      <c r="G405" t="n">
        <v>0.1154</v>
      </c>
      <c r="H405" t="inlineStr">
        <is>
          <t>The code implements core algorithms for a backend software component. It has a complexity of O(N) and includes comments explaining its implementation. The README provides information about the repository's contents and commits.</t>
        </is>
      </c>
      <c r="I405" t="n">
        <v>0.0147</v>
      </c>
      <c r="J405" t="n">
        <v>0.1429</v>
      </c>
      <c r="K405" t="n">
        <v>0.3035</v>
      </c>
      <c r="L405" t="inlineStr">
        <is>
          <t>The code provides a framework for implementing request collapsing in Hystrix, which aggregates multiple requests into a single call to reduce network overhead. It includes classes such as `HystrixCollapser`, `CollapsedRequest`, and `RealCollapserTimer` to manage the aggregation and execution of collapsed requests efficiently. The implementation supports various isolation strategies and uses a timer to coordinate when requests should be</t>
        </is>
      </c>
      <c r="M405" t="n">
        <v>0.0031</v>
      </c>
      <c r="N405" t="n">
        <v>0.0606</v>
      </c>
      <c r="O405" t="n">
        <v>0.1154</v>
      </c>
    </row>
    <row r="406">
      <c r="A406" t="inlineStr">
        <is>
          <t>hystrix</t>
        </is>
      </c>
      <c r="B406" t="inlineStr">
        <is>
          <t>hystrix-core/src/main/java/com/netflix/hystrix/HystrixCommandMetrics.java</t>
        </is>
      </c>
      <c r="C406">
        <f>HYPERLINK("https://github.com/Netflix/Hystrix/blob/master/hystrix-core/src/main/java/com/netflix/hystrix/HystrixCommandMetrics.java")</f>
        <v/>
      </c>
      <c r="D406" t="inlineStr">
        <is>
          <t>The provided Java code defines classes related to Hystrix, which is a library used for building resilient microservices. The code includes:
- `HystrixCommandCompletion`: Represents the completion details of a command execution.
- `HystrixThreadEventStream`: Manages event streams for thread-based operations.
- `CumulativeCommandEventCounterStream`, `HealthCountsStream`, and `RollingCommandEvent</t>
        </is>
      </c>
      <c r="E406" t="n">
        <v>0.0042</v>
      </c>
      <c r="F406" t="n">
        <v>0.04</v>
      </c>
      <c r="G406" t="n">
        <v>0.0862</v>
      </c>
      <c r="H406" t="inlineStr">
        <is>
          <t>The provided code implements core algorithms for a backend software component. It includes various metric streams such as `HystrixCommandCompletion`, `HealthCountsStream`, and others, which help track command execution metrics. The complexity is O(N), indicating that it processes data linearly based on input size.</t>
        </is>
      </c>
      <c r="I406" t="n">
        <v>0.011</v>
      </c>
      <c r="J406" t="n">
        <v>0.1176</v>
      </c>
      <c r="K406" t="n">
        <v>0.2769</v>
      </c>
      <c r="L406" t="inlineStr">
        <is>
          <t>This Java package `com.netflix.hystrix` provides metrics consumers for Hystrix commands, including cumulative command event counters, health counts, and rolling command event counters. It integrates with Hystrix's metric streams to track command execution details such as success rates, failures, timeouts, and durations. The implementation focuses on providing real-time insights into Hystrix command performance and reliability.</t>
        </is>
      </c>
      <c r="M406" t="n">
        <v>0.004</v>
      </c>
      <c r="N406" t="n">
        <v>0.09089999999999999</v>
      </c>
      <c r="O406" t="n">
        <v>0.119</v>
      </c>
    </row>
    <row r="407">
      <c r="A407" t="inlineStr">
        <is>
          <t>hystrix</t>
        </is>
      </c>
      <c r="B407" t="inlineStr">
        <is>
          <t>hystrix-core/src/main/java/com/netflix/hystrix/HystrixCommandProperties.java</t>
        </is>
      </c>
      <c r="C407">
        <f>HYPERLINK("https://github.com/Netflix/Hystrix/blob/master/hystrix-core/src/main/java/com/netflix/hystrix/HystrixCommandProperties.java")</f>
        <v/>
      </c>
      <c r="D407" t="inlineStr">
        <is>
          <t>The provided code defines a class `Hystrix` within the package `com.netflix.hystrix`. It includes methods for handling properties related to Hystrix circuit breakers, which are used to manage failures in microservices architectures. The code uses SLF4J for logging and leverages various chained property classes from the Hystrix strategy properties module. The complexity of the implementation is O(</t>
        </is>
      </c>
      <c r="E407" t="n">
        <v>0.0033</v>
      </c>
      <c r="F407" t="n">
        <v>0.0606</v>
      </c>
      <c r="G407" t="n">
        <v>0.1172</v>
      </c>
      <c r="H407" t="inlineStr">
        <is>
          <t>The repository contains backend software components implementing core algorithms. The complexity is O(N), indicating linear time complexity, and comments describe the implementation details. The commits include an initial codebase commit. The total size of the codebase is 1000 lines.</t>
        </is>
      </c>
      <c r="I407" t="n">
        <v>0.0062</v>
      </c>
      <c r="J407" t="n">
        <v>0.1667</v>
      </c>
      <c r="K407" t="n">
        <v>0.1802</v>
      </c>
      <c r="L407" t="inlineStr">
        <is>
          <t>The code provides utility methods for configuring Hystrix properties using chained property accessors from `HystrixPropertiesChainedProperty`. It includes methods for setting boolean, integer, and string properties related to circuit breakers, fallbacks, and timeouts. The implementation supports dynamic configuration changes without requiring restarts.</t>
        </is>
      </c>
      <c r="M407" t="n">
        <v>0.0045</v>
      </c>
      <c r="N407" t="n">
        <v>0.0408</v>
      </c>
      <c r="O407" t="n">
        <v>0.1327</v>
      </c>
    </row>
    <row r="408">
      <c r="A408" t="inlineStr">
        <is>
          <t>hystrix</t>
        </is>
      </c>
      <c r="B408" t="inlineStr">
        <is>
          <t>hystrix-core/src/main/java/com/netflix/hystrix/HystrixMetrics.java</t>
        </is>
      </c>
      <c r="C408">
        <f>HYPERLINK("https://github.com/Netflix/Hystrix/blob/master/hystrix-core/src/main/java/com/netflix/hystrix/HystrixMetrics.java")</f>
        <v/>
      </c>
      <c r="D408" t="inlineStr">
        <is>
          <t>The provided code defines an abstract class `HystrixMetrics` that serves as a base for handling Hystrix metrics. It includes a constructor that takes an instance of `HystrixRollingNumber`, which is used to track rolling statistics such as success, failure, timeouts, etc., over a specified period. The class provides methods to increment different types of events within these rolling numbers, allowing</t>
        </is>
      </c>
      <c r="E408" t="n">
        <v>0</v>
      </c>
      <c r="F408" t="n">
        <v>0</v>
      </c>
      <c r="G408" t="n">
        <v>0.0382</v>
      </c>
      <c r="H408" t="inlineStr">
        <is>
          <t>The repository contains backend software components that implement core algorithms. The complexity of the implementation is O(N), indicating linear time complexity. The comments provide details about the algorithm's implementation. The commits include an initial codebase commit. The total size of the codebase is 1000 lines.</t>
        </is>
      </c>
      <c r="I408" t="n">
        <v>0.0049</v>
      </c>
      <c r="J408" t="n">
        <v>0.1091</v>
      </c>
      <c r="K408" t="n">
        <v>0.1282</v>
      </c>
      <c r="L408" t="inlineStr">
        <is>
          <t>This abstract class serves as the foundation for Hystrix metrics, providing a common structure for tracking various performance indicators such as success, failure, timeouts, and circuit breaker states over rolling windows. It uses `HystrixRollingNumber` to manage these counts efficiently. The constructor initializes the rolling number, which allows for dynamic adjustment of window sizes and event types tracked.</t>
        </is>
      </c>
      <c r="M408" t="n">
        <v>0.0038</v>
      </c>
      <c r="N408" t="n">
        <v>0.0615</v>
      </c>
      <c r="O408" t="n">
        <v>0.1163</v>
      </c>
    </row>
    <row r="409">
      <c r="A409" t="inlineStr">
        <is>
          <t>hystrix</t>
        </is>
      </c>
      <c r="B409" t="inlineStr">
        <is>
          <t>hystrix-core/src/main/java/com/netflix/hystrix/collapser/RequestCollapser.java</t>
        </is>
      </c>
      <c r="C409">
        <f>HYPERLINK("https://github.com/Netflix/Hystrix/blob/master/hystrix-core/src/main/java/com/netflix/hystrix/collapser/RequestCollapser.java")</f>
        <v/>
      </c>
      <c r="D409" t="inlineStr">
        <is>
          <t>The provided Java code defines a class `HystrixCollapser` within the package `com.netflix.hystrix.collapser`. This class appears to be part of a Hystrix library used for circuit breaker and load balancing strategies in microservices architecture. The code includes:
- **Annotations**: It uses Javadoc comments (`/** ... */`) to document its purpose and dependencies.
-</t>
        </is>
      </c>
      <c r="E409" t="n">
        <v>0.0042</v>
      </c>
      <c r="F409" t="n">
        <v>0.06900000000000001</v>
      </c>
      <c r="G409" t="n">
        <v>0.121</v>
      </c>
      <c r="H409" t="inlineStr">
        <is>
          <t>This repository contains backend software components that implement core algorithms. The complexity of these implementations is O(N), indicating they scale linearly with input size. The code base has been initialized with the first commit.</t>
        </is>
      </c>
      <c r="I409" t="n">
        <v>0.0072</v>
      </c>
      <c r="J409" t="n">
        <v>0.186</v>
      </c>
      <c r="K409" t="n">
        <v>0.1887</v>
      </c>
      <c r="L409" t="inlineStr">
        <is>
          <t>This Java class implements a Hystrix collapser that groups multiple requests into a single request to reduce network overhead. It uses RxJava Observables to handle asynchronous execution and manages concurrency using atomic references and booleans. The implementation includes logging and properties configuration for fine-tuning the collapsing behavior.</t>
        </is>
      </c>
      <c r="M409" t="n">
        <v>0.0051</v>
      </c>
      <c r="N409" t="n">
        <v>0.1071</v>
      </c>
      <c r="O409" t="n">
        <v>0.1681</v>
      </c>
    </row>
    <row r="410">
      <c r="A410" t="inlineStr">
        <is>
          <t>hystrix</t>
        </is>
      </c>
      <c r="B410" t="inlineStr">
        <is>
          <t>hystrix-core/src/main/java/com/netflix/hystrix/collapser/CollapserTimer.java</t>
        </is>
      </c>
      <c r="C410">
        <f>HYPERLINK("https://github.com/Netflix/Hystrix/blob/master/hystrix-core/src/main/java/com/netflix/hystrix/collapser/CollapserTimer.java")</f>
        <v/>
      </c>
      <c r="D410" t="inlineStr">
        <is>
          <t>The `CollapserTimer` interface provides a mechanism for scheduling tasks that need to be executed as part of a larger batch operation. It allows adding listeners that will be notified when the scheduled task should execute. The implementation uses Java's `Reference` class to manage the lifecycle of the timer listener. This design ensures that the listener can be garbage collected if it is no longer needed, which helps optimize</t>
        </is>
      </c>
      <c r="E410" t="n">
        <v>0.0027</v>
      </c>
      <c r="F410" t="n">
        <v>0.026</v>
      </c>
      <c r="G410" t="n">
        <v>0.1071</v>
      </c>
      <c r="H410" t="inlineStr">
        <is>
          <t>Provides an interface for managing timers used to coordinate batch executions in Hystrix collapser components.</t>
        </is>
      </c>
      <c r="I410" t="n">
        <v>0</v>
      </c>
      <c r="J410" t="n">
        <v>0</v>
      </c>
      <c r="K410" t="n">
        <v>0.0575</v>
      </c>
      <c r="L410" t="inlineStr">
        <is>
          <t>The `CollapserTimer` interface provides a mechanism for scheduling tasks that should be executed as part of a batch operation using Hystrix's collapsing strategy. It allows adding listeners that will receive notifications when the scheduled task triggers, enabling coordination between different parts of the application during batch processing. The implementation complexity is O(1), and existing comments indicate that it implements core algorithmic functions related to timing</t>
        </is>
      </c>
      <c r="M410" t="n">
        <v>0.0066</v>
      </c>
      <c r="N410" t="n">
        <v>0.08</v>
      </c>
      <c r="O410" t="n">
        <v>0.2304</v>
      </c>
    </row>
    <row r="411">
      <c r="A411" t="inlineStr">
        <is>
          <t>hystrix</t>
        </is>
      </c>
      <c r="B411" t="inlineStr">
        <is>
          <t>hystrix-core/src/main/java/com/netflix/hystrix/collapser/RequestBatch.java</t>
        </is>
      </c>
      <c r="C411">
        <f>HYPERLINK("https://github.com/Netflix/Hystrix/blob/master/hystrix-core/src/main/java/com/netflix/hystrix/collapser/RequestBatch.java")</f>
        <v/>
      </c>
      <c r="D411" t="inlineStr">
        <is>
          <t>The code defines a class `HystrixCollapser` that implements a collapsing mechanism for handling multiple requests into fewer, more efficient calls. It uses concurrent data structures like `ConcurrentHashMap` and `ReentrantReadWriteLock` to manage request queues and results. The class provides methods for adding requests, executing them as a single batch, and retrieving results. The implementation includes logging and error</t>
        </is>
      </c>
      <c r="E411" t="n">
        <v>0.0038</v>
      </c>
      <c r="F411" t="n">
        <v>0.0615</v>
      </c>
      <c r="G411" t="n">
        <v>0.1163</v>
      </c>
      <c r="H411" t="inlineStr">
        <is>
          <t>The code implements a collection-based Hystrix collapser algorithm using RxJava, which aggregates multiple requests into a single request to reduce network overhead. It uses concurrent data structures like `ConcurrentHashMap` and locks (`ReentrantReadWriteLock`) to manage thread safety during aggregation. The implementation includes logging and error handling mechanisms.</t>
        </is>
      </c>
      <c r="I411" t="n">
        <v>0.0048</v>
      </c>
      <c r="J411" t="n">
        <v>0.0727</v>
      </c>
      <c r="K411" t="n">
        <v>0.1271</v>
      </c>
      <c r="L411" t="inlineStr">
        <is>
          <t>This Java class implements a Hystrix command that collapses multiple requests into a single request to reduce network overhead. It uses concurrent data structures to manage cached results and handles retries using exponential backoff. The implementation includes logging, concurrency controls, and error handling mechanisms to ensure robustness and reliability.</t>
        </is>
      </c>
      <c r="M411" t="n">
        <v>0.0049</v>
      </c>
      <c r="N411" t="n">
        <v>0.1053</v>
      </c>
      <c r="O411" t="n">
        <v>0.1653</v>
      </c>
    </row>
    <row r="412">
      <c r="A412" t="inlineStr">
        <is>
          <t>hystrix</t>
        </is>
      </c>
      <c r="B412" t="inlineStr">
        <is>
          <t>hystrix-core/src/main/java/com/netflix/hystrix/collapser/RealCollapserTimer.java</t>
        </is>
      </c>
      <c r="C412">
        <f>HYPERLINK("https://github.com/Netflix/Hystrix/blob/master/hystrix-core/src/main/java/com/netflix/hystrix/collapser/RealCollapserTimer.java")</f>
        <v/>
      </c>
      <c r="D412" t="inlineStr">
        <is>
          <t>The provided Java code defines a `RealCollapserTimer` class within the `com.netflix.hystrix.collapser` package. This class implements the `CollapserTimer` interface, which is used to manage the scheduling of batch executions for collapsing requests in a microservices architecture using Netflix's Hystrix library.
Key functionalities include:
1. **Dependency Injection**: The class takes a</t>
        </is>
      </c>
      <c r="E412" t="n">
        <v>0.0045</v>
      </c>
      <c r="F412" t="n">
        <v>0.0984</v>
      </c>
      <c r="G412" t="n">
        <v>0.124</v>
      </c>
      <c r="H412" t="inlineStr">
        <is>
          <t>Implements a real-time timer for collapsing multiple requests into a single request using HystrixTimer.</t>
        </is>
      </c>
      <c r="I412" t="n">
        <v>0</v>
      </c>
      <c r="J412" t="n">
        <v>0.08699999999999999</v>
      </c>
      <c r="K412" t="n">
        <v>0.1163</v>
      </c>
      <c r="L412" t="inlineStr">
        <is>
          <t>The `RealCollapserTimer` class provides a concrete implementation of the `CollapserTimer` interface using the `HystrixTimer`. It schedules batch executions for collapser requests and manages their timing through the `HystrixTimer`, which allows for efficient scheduling and coordination of multiple tasks within a specified time frame. The class ensures that all collapsers can utilize the same timer instance</t>
        </is>
      </c>
      <c r="M412" t="n">
        <v>0.0033</v>
      </c>
      <c r="N412" t="n">
        <v>0.0635</v>
      </c>
      <c r="O412" t="n">
        <v>0.1181</v>
      </c>
    </row>
    <row r="413">
      <c r="A413" t="inlineStr">
        <is>
          <t>hystrix</t>
        </is>
      </c>
      <c r="B413" t="inlineStr">
        <is>
          <t>hystrix-core/src/main/java/com/netflix/hystrix/collapser/CollapsedRequestSubject.java</t>
        </is>
      </c>
      <c r="C413">
        <f>HYPERLINK("https://github.com/Netflix/Hystrix/blob/master/hystrix-core/src/main/java/com/netflix/hystrix/collapser/CollapsedRequestSubject.java")</f>
        <v/>
      </c>
      <c r="D413" t="inlineStr">
        <is>
          <t>The provided code defines a class `CollapsedResponse` within the package `com.netflix.hystrix.collapser`. This class extends `Observable&lt;CollapsedRequest&gt;` and serves as the output type for a Hystrix collapser, which aggregates multiple requests into a single request before sending them to a service. The class includes methods to handle the emission of responses from the aggregated requests, manage the lifecycle</t>
        </is>
      </c>
      <c r="E413" t="n">
        <v>0.0039</v>
      </c>
      <c r="F413" t="n">
        <v>0.0588</v>
      </c>
      <c r="G413" t="n">
        <v>0.0781</v>
      </c>
      <c r="H413" t="inlineStr">
        <is>
          <t>This repository contains backend software components implementing core algorithms. Complexity is O(N), indicating linear time complexity. Comments describe the implementation details, while commits track the initial creation of the codebase. Code size is 1000 lines.</t>
        </is>
      </c>
      <c r="I413" t="n">
        <v>0.007</v>
      </c>
      <c r="J413" t="n">
        <v>0.1818</v>
      </c>
      <c r="K413" t="n">
        <v>0.1869</v>
      </c>
      <c r="L413" t="inlineStr">
        <is>
          <t>This class represents an observable that encapsulates a collapsed request returned to users after processing multiple requests together. It uses RxJava's ReplaySubject to buffer responses until they can be emitted as a single event, improving performance by reducing network overhead. The class provides methods to handle the emission of these buffered responses and manage their lifecycle using AtomicBoolean flags.</t>
        </is>
      </c>
      <c r="M413" t="n">
        <v>0.0037</v>
      </c>
      <c r="N413" t="n">
        <v>0.0588</v>
      </c>
      <c r="O413" t="n">
        <v>0.1145</v>
      </c>
    </row>
    <row r="414">
      <c r="A414" t="inlineStr">
        <is>
          <t>hystrix</t>
        </is>
      </c>
      <c r="B414" t="inlineStr">
        <is>
          <t>hystrix-core/src/main/java/com/netflix/hystrix/collapser/HystrixCollapserBridge.java</t>
        </is>
      </c>
      <c r="C414">
        <f>HYPERLINK("https://github.com/Netflix/Hystrix/blob/master/hystrix-core/src/main/java/com/netflix/hystrix/collapser/HystrixCollapserBridge.java")</f>
        <v/>
      </c>
      <c r="D414" t="inlineStr">
        <is>
          <t>The provided Java code defines a bridge class `HystrixCollapserBridge` within the package `com.netflix.hystrix.collapser`. This class serves as a utility to facilitate communication between different parts of the Hystrix library, specifically between `HystrixCollapser` and `RequestCollapser`, allowing access to protected and private methods that are otherwise restricted due</t>
        </is>
      </c>
      <c r="E414" t="n">
        <v>0.0048</v>
      </c>
      <c r="F414" t="n">
        <v>0.0702</v>
      </c>
      <c r="G414" t="n">
        <v>0.1271</v>
      </c>
      <c r="H414" t="inlineStr">
        <is>
          <t>This repository contains backend software components that implement core algorithms. The complexity of these implementations is O(N), indicating they involve processing linear data structures. The code size is 1000 lines, suggesting it includes multiple classes and methods related to algorithmic logic.</t>
        </is>
      </c>
      <c r="I414" t="n">
        <v>0.0067</v>
      </c>
      <c r="J414" t="n">
        <v>0.24</v>
      </c>
      <c r="K414" t="n">
        <v>0.2655</v>
      </c>
      <c r="L414" t="inlineStr">
        <is>
          <t>This Java class serves as a bridge between `HystrixCollapser` and `RequestCollapser`, exposing protected and private functionalities across package boundaries. It facilitates communication between these two classes, allowing them to collaborate effectively within the Netflix Hystrix framework. The class is designed to handle batch requests efficiently while maintaining encapsulation and abstraction.</t>
        </is>
      </c>
      <c r="M414" t="n">
        <v>0.0044</v>
      </c>
      <c r="N414" t="n">
        <v>0.1034</v>
      </c>
      <c r="O414" t="n">
        <v>0.1639</v>
      </c>
    </row>
    <row r="415">
      <c r="A415" t="inlineStr">
        <is>
          <t>hystrix</t>
        </is>
      </c>
      <c r="B415" t="inlineStr">
        <is>
          <t>hystrix-core/src/main/java/com/netflix/hystrix/collapser/RequestCollapserFactory.java</t>
        </is>
      </c>
      <c r="C415">
        <f>HYPERLINK("https://github.com/Netflix/Hystrix/blob/master/hystrix-core/src/main/java/com/netflix/hystrix/collapser/RequestCollapserFactory.java")</f>
        <v/>
      </c>
      <c r="D415" t="inlineStr">
        <is>
          <t>The provided Java code defines a class `HystrixCollapser` within the package `com.netflix.hystrix.collapser`. This class appears to be part of a Hystrix library used for handling circuit breakers and request collapsing in microservices architectures. The class uses a ConcurrentHashMap to store collapser instances based on their keys (`HystrixCollapserKey`).</t>
        </is>
      </c>
      <c r="E415" t="n">
        <v>0.0046</v>
      </c>
      <c r="F415" t="n">
        <v>0.06900000000000001</v>
      </c>
      <c r="G415" t="n">
        <v>0.1261</v>
      </c>
      <c r="H415" t="inlineStr">
        <is>
          <t>This repository contains backend software components that implement core algorithms. The complexity of the implementation is O(N), indicating linear time complexity relative to the input size. The code base has been initialized with basic structure and comments explaining its purpose and functionality.</t>
        </is>
      </c>
      <c r="I415" t="n">
        <v>0.0062</v>
      </c>
      <c r="J415" t="n">
        <v>0.1961</v>
      </c>
      <c r="K415" t="n">
        <v>0.2193</v>
      </c>
      <c r="L415" t="inlineStr">
        <is>
          <t>The provided code implements a Hystrix collapser, which groups multiple requests into a single request to reduce network overhead and improve performance. It uses a ConcurrentHashMap to store collapsed requests and logs their execution details using SLF4J. The implementation includes properties for configuring the collapser's behavior, such as maximum batch size and timeout duration.</t>
        </is>
      </c>
      <c r="M415" t="n">
        <v>0.004</v>
      </c>
      <c r="N415" t="n">
        <v>0.0635</v>
      </c>
      <c r="O415" t="n">
        <v>0.119</v>
      </c>
    </row>
    <row r="416">
      <c r="A416" t="inlineStr">
        <is>
          <t>hystrix</t>
        </is>
      </c>
      <c r="B416" t="inlineStr">
        <is>
          <t>hystrix-core/src/main/java/com/netflix/hystrix/metric/HystrixThreadPoolCompletionStream.java</t>
        </is>
      </c>
      <c r="C416">
        <f>HYPERLINK("https://github.com/Netflix/Hystrix/blob/master/hystrix-core/src/main/java/com/netflix/hystrix/metric/HystrixThreadPoolCompletionStream.java")</f>
        <v/>
      </c>
      <c r="D416" t="inlineStr">
        <is>
          <t>The provided code defines a class `HystrixThreadPoolMetricStream` that manages streams of `HystrixCommandCompletion` objects for each thread pool in a system using RxJava subjects. It uses a concurrent map to store these subject instances, allowing efficient access and modification. The class provides methods to get and create new streams based on thread pool keys.</t>
        </is>
      </c>
      <c r="E416" t="n">
        <v>0.0035</v>
      </c>
      <c r="F416" t="n">
        <v>0.0328</v>
      </c>
      <c r="G416" t="n">
        <v>0.08</v>
      </c>
      <c r="H416" t="inlineStr">
        <is>
          <t>This repository contains backend software components that implement core algorithms. The complexity of the implementation is O(N), indicating linear time complexity. The comments provide details about the algorithm's implementation. The commits include an initial codebase commit. The total size of the codebase is 1000 lines.</t>
        </is>
      </c>
      <c r="I416" t="n">
        <v>0.0054</v>
      </c>
      <c r="J416" t="n">
        <v>0.1455</v>
      </c>
      <c r="K416" t="n">
        <v>0.1709</v>
      </c>
      <c r="L416" t="inlineStr">
        <is>
          <t>This class manages streams of `HystrixCommandCompletion` objects for each thread pool in a system using RxJava subjects. It uses a concurrent map to store these streams, allowing efficient access and modification. The class provides methods to get or create a subject for a given thread pool key, ensuring that only one subject per thread pool exists.</t>
        </is>
      </c>
      <c r="M416" t="n">
        <v>0.0039</v>
      </c>
      <c r="N416" t="n">
        <v>0.0625</v>
      </c>
      <c r="O416" t="n">
        <v>0.1172</v>
      </c>
    </row>
    <row r="417">
      <c r="A417" t="inlineStr">
        <is>
          <t>hystrix</t>
        </is>
      </c>
      <c r="B417" t="inlineStr">
        <is>
          <t>hystrix-core/src/main/java/com/netflix/hystrix/metric/CachedValuesHistogram.java</t>
        </is>
      </c>
      <c r="C417">
        <f>HYPERLINK("https://github.com/Netflix/Hystrix/blob/master/hystrix-core/src/main/java/com/netflix/hystrix/metric/CachedValuesHistogram.java")</f>
        <v/>
      </c>
      <c r="D417" t="inlineStr">
        <is>
          <t>The `CachedValuesHistogram` class calculates various percentile values from a histogram using HdrHistogram library. It provides methods to retrieve mean, percentiles (p0-p90), and stores these values as cached integers. The implementation uses O(1) time complexity for retrieving these values due to caching.</t>
        </is>
      </c>
      <c r="E417" t="n">
        <v>0.0045</v>
      </c>
      <c r="F417" t="n">
        <v>0.0392</v>
      </c>
      <c r="G417" t="n">
        <v>0.1327</v>
      </c>
      <c r="H417" t="inlineStr">
        <is>
          <t>Implements core algorithms for backend software components using HdrHistogram library. Complexity is O(N).</t>
        </is>
      </c>
      <c r="I417" t="n">
        <v>0.0185</v>
      </c>
      <c r="J417" t="n">
        <v>0.1818</v>
      </c>
      <c r="K417" t="n">
        <v>0.3713</v>
      </c>
      <c r="L417" t="inlineStr">
        <is>
          <t>The `CachedValuesHistogram` class calculates cached values using HdrHistograms, providing statistical summaries such as mean, percentiles (0%, 5%, 10%, etc.), and stores these values for later retrieval. It supports up to 9 percentile calculations based on predefined thresholds. The class uses a fixed number of significant digits for precision.</t>
        </is>
      </c>
      <c r="M417" t="n">
        <v>0.0038</v>
      </c>
      <c r="N417" t="n">
        <v>0.0357</v>
      </c>
      <c r="O417" t="n">
        <v>0.0833</v>
      </c>
    </row>
    <row r="418">
      <c r="A418" t="inlineStr">
        <is>
          <t>hystrix</t>
        </is>
      </c>
      <c r="B418" t="inlineStr">
        <is>
          <t>hystrix-core/src/main/java/com/netflix/hystrix/metric/HystrixCollapserEventStream.java</t>
        </is>
      </c>
      <c r="C418">
        <f>HYPERLINK("https://github.com/Netflix/Hystrix/blob/master/hystrix-core/src/main/java/com/netflix/hystrix/metric/HystrixCollapserEventStream.java")</f>
        <v/>
      </c>
      <c r="D418" t="inlineStr">
        <is>
          <t>The provided Java code defines a class `HystrixCollapserStream` that manages streams of events related to Hystrix collapsers. It uses RxJava subjects to publish and subscribe to these event streams per collapser key. The class maintains a concurrent map to store these subject instances, allowing efficient access and modification based on collapser keys. The implementation includes methods to get</t>
        </is>
      </c>
      <c r="E418" t="n">
        <v>0.0031</v>
      </c>
      <c r="F418" t="n">
        <v>0.0303</v>
      </c>
      <c r="G418" t="n">
        <v>0.1154</v>
      </c>
      <c r="H418" t="inlineStr">
        <is>
          <t>This repository contains backend software components that implement core algorithms. The complexity of these implementations is O(N), indicating linear time complexity relative to the size of the input data. The comments provide detailed explanations of the implementation's logic and purpose. The commits include an initial codebase commit. The total code size is 1000 lines.</t>
        </is>
      </c>
      <c r="I418" t="n">
        <v>0.0048</v>
      </c>
      <c r="J418" t="n">
        <v>0.1562</v>
      </c>
      <c r="K418" t="n">
        <v>0.1984</v>
      </c>
      <c r="L418" t="inlineStr">
        <is>
          <t>This Java class manages concurrent streams of `HystrixCollapserEvent` objects for each unique `HystrixCollapserKey`. It uses `PublishSubject` instances stored in a `ConcurrentHashMap` to handle event emission and subscription. The class provides methods to add events to these subjects and retrieve them as observables.</t>
        </is>
      </c>
      <c r="M418" t="n">
        <v>0.0052</v>
      </c>
      <c r="N418" t="n">
        <v>0.08</v>
      </c>
      <c r="O418" t="n">
        <v>0.1316</v>
      </c>
    </row>
    <row r="419">
      <c r="A419" t="inlineStr">
        <is>
          <t>hystrix</t>
        </is>
      </c>
      <c r="B419" t="inlineStr">
        <is>
          <t>hystrix-core/src/main/java/com/netflix/hystrix/metric/HystrixCommandEvent.java</t>
        </is>
      </c>
      <c r="C419">
        <f>HYPERLINK("https://github.com/Netflix/Hystrix/blob/master/hystrix-core/src/main/java/com/netflix/hystrix/metric/HystrixCommandEvent.java")</f>
        <v/>
      </c>
      <c r="D419" t="inlineStr">
        <is>
          <t>The provided Java code defines an abstract class `HystrixCommandEvent` within the package `com.netflix.hystrix.metric`. This class serves as a base for various types of events related to Hystrix command execution, specifically focusing on completion events (`HystrixCommandCompletion`). The class includes fields such as `commandKey` and `threadPoolKey`, which represent the key information associated with the</t>
        </is>
      </c>
      <c r="E419" t="n">
        <v>0.0042</v>
      </c>
      <c r="F419" t="n">
        <v>0.0635</v>
      </c>
      <c r="G419" t="n">
        <v>0.0806</v>
      </c>
      <c r="H419" t="inlineStr">
        <is>
          <t>This repository contains backend software components implementing core algorithms. Complexity is O(N), indicating linear time complexity. The README provides information about the project's purpose, license, package structure, and includes comments describing the implementation details. Commits indicate the initial creation of the codebase. The total size of the code is 1000 lines.</t>
        </is>
      </c>
      <c r="I419" t="n">
        <v>0.0051</v>
      </c>
      <c r="J419" t="n">
        <v>0.1639</v>
      </c>
      <c r="K419" t="n">
        <v>0.2033</v>
      </c>
      <c r="L419" t="inlineStr">
        <is>
          <t>The `HystrixCommandEvent` class serves as a base data structure for representing events related to Hystrix command execution within a microservices architecture. It includes methods for retrieving the command key and thread pool key associated with each event, which helps in identifying the context and resource usage of the commands being executed. The class also provides a method to convert itself into a string representation, useful for logging and</t>
        </is>
      </c>
      <c r="M419" t="n">
        <v>0.0027</v>
      </c>
      <c r="N419" t="n">
        <v>0.0263</v>
      </c>
      <c r="O419" t="n">
        <v>0.07140000000000001</v>
      </c>
    </row>
    <row r="420">
      <c r="A420" t="inlineStr">
        <is>
          <t>hystrix</t>
        </is>
      </c>
      <c r="B420" t="inlineStr">
        <is>
          <t>hystrix-core/src/main/java/com/netflix/hystrix/metric/HystrixCommandCompletion.java</t>
        </is>
      </c>
      <c r="C420">
        <f>HYPERLINK("https://github.com/Netflix/Hystrix/blob/master/hystrix-core/src/main/java/com/netflix/hystrix/metric/HystrixCommandCompletion.java")</f>
        <v/>
      </c>
      <c r="D420" t="inlineStr">
        <is>
          <t>The provided Java code defines a data structure called `HystrixEvent` that encapsulates information about events related to Hystrix commands and threads. It includes fields such as the command key, thread pool key, execution result, event type, and timestamp. The class also provides methods to add child events and retrieve them. This data structure is used to log and track various aspects of Hystrix</t>
        </is>
      </c>
      <c r="E420" t="n">
        <v>0.0034</v>
      </c>
      <c r="F420" t="n">
        <v>0.0563</v>
      </c>
      <c r="G420" t="n">
        <v>0.1111</v>
      </c>
      <c r="H420" t="inlineStr">
        <is>
          <t>This repository contains backend software components that implement core algorithms. The complexity is O(N), indicating linear time performance relative to input size. The implementation includes comments explaining the purpose and functionality of each part of the code. The commits indicate the initial creation of the codebase. The total code size is 1000 lines.</t>
        </is>
      </c>
      <c r="I420" t="n">
        <v>0.0052</v>
      </c>
      <c r="J420" t="n">
        <v>0.1613</v>
      </c>
      <c r="K420" t="n">
        <v>0.24</v>
      </c>
      <c r="L420" t="inlineStr">
        <is>
          <t>This Java class `HystrixMetric` serves as a data structure that collects metrics related to Hystrix commands and their execution results. It stores details such as command keys, thread pool keys, event types, and execution results. The class uses a list to store these metrics, allowing for easy aggregation and retrieval of performance data during runtime.</t>
        </is>
      </c>
      <c r="M420" t="n">
        <v>0.004</v>
      </c>
      <c r="N420" t="n">
        <v>0.0635</v>
      </c>
      <c r="O420" t="n">
        <v>0.1181</v>
      </c>
    </row>
    <row r="421">
      <c r="A421" t="inlineStr">
        <is>
          <t>hystrix</t>
        </is>
      </c>
      <c r="B421" t="inlineStr">
        <is>
          <t>hystrix-core/src/main/java/com/netflix/hystrix/metric/HystrixRequestEventsStream.java</t>
        </is>
      </c>
      <c r="C421">
        <f>HYPERLINK("https://github.com/Netflix/Hystrix/blob/master/hystrix-core/src/main/java/com/netflix/hystrix/metric/HystrixRequestEventsStream.java")</f>
        <v/>
      </c>
      <c r="D421" t="inlineStr">
        <is>
          <t>The `HystrixRequestEventsStream` class provides a stream of request events related to Hystrix commands. It uses RxJava's `PublishSubject` to emit instances of `HystrixRequestEvents`, which encapsulate information about individual command executions. The class is part of the Hystrix library and is used to monitor and analyze request behavior within a microservices architecture.</t>
        </is>
      </c>
      <c r="E421" t="n">
        <v>0.0037</v>
      </c>
      <c r="F421" t="n">
        <v>0.0339</v>
      </c>
      <c r="G421" t="n">
        <v>0.082</v>
      </c>
      <c r="H421" t="inlineStr">
        <is>
          <t>This repository contains backend software components that implement core algorithms. The complexity is O(N), indicating linear time complexity, and comments describe the implementation details. The commits include an initial codebase commit. The total size of the code is 1000 lines.</t>
        </is>
      </c>
      <c r="I421" t="n">
        <v>0.0065</v>
      </c>
      <c r="J421" t="n">
        <v>0.2041</v>
      </c>
      <c r="K421" t="n">
        <v>0.2232</v>
      </c>
      <c r="L421" t="inlineStr">
        <is>
          <t>The `HystrixRequestEventsStream` class provides a stream of request events, where each event represents a series of command executions within a Hystrix circuit breaker context. It uses RxJava's `PublishSubject` to emit these events as they occur. The class is part of the Hystrix library, designed to monitor and analyze the performance of microservices using circuit breakers.</t>
        </is>
      </c>
      <c r="M421" t="n">
        <v>0.0033</v>
      </c>
      <c r="N421" t="n">
        <v>0.0312</v>
      </c>
      <c r="O421" t="n">
        <v>0.07870000000000001</v>
      </c>
    </row>
    <row r="422">
      <c r="A422" t="inlineStr">
        <is>
          <t>hystrix</t>
        </is>
      </c>
      <c r="B422" t="inlineStr">
        <is>
          <t>hystrix-core/src/main/java/com/netflix/hystrix/metric/HystrixCollapserEvent.java</t>
        </is>
      </c>
      <c r="C422">
        <f>HYPERLINK("https://github.com/Netflix/Hystrix/blob/master/hystrix-core/src/main/java/com/netflix/hystrix/metric/HystrixCollapserEvent.java")</f>
        <v/>
      </c>
      <c r="D422" t="inlineStr">
        <is>
          <t>The provided Java code defines a data class `HystrixCollapserEvent` within the package `com.netflix.hystrix.metric`. This class is used to represent events related to the execution of Hystrix collapser operations. The class includes fields for:
- `key`: An instance of `HystrixCollapserKey`, which identifies the collapser being monitored</t>
        </is>
      </c>
      <c r="E422" t="n">
        <v>0.0041</v>
      </c>
      <c r="F422" t="n">
        <v>0.0364</v>
      </c>
      <c r="G422" t="n">
        <v>0.08550000000000001</v>
      </c>
      <c r="H422" t="inlineStr">
        <is>
          <t>The repository contains backend software components implementing core algorithms. Complexity is O(N), indicating linear time complexity. Comments describe the implementation of these algorithms. The code size is 1000 lines.</t>
        </is>
      </c>
      <c r="I422" t="n">
        <v>0.0077</v>
      </c>
      <c r="J422" t="n">
        <v>0.1579</v>
      </c>
      <c r="K422" t="n">
        <v>0.1485</v>
      </c>
      <c r="L422" t="inlineStr">
        <is>
          <t>This Java class `HystrixCollapserEventStream` serves as a data structure to track events related to Hystrix collapser execution. It encapsulates three types of events: ADDED_TO_BATCH, BATCH_EXECUTED, and COLLAPSER_ERROR. These events help monitor how requests are batched and executed within a Hystrix collapser, providing insights into the</t>
        </is>
      </c>
      <c r="M422" t="n">
        <v>0.0049</v>
      </c>
      <c r="N422" t="n">
        <v>0.0702</v>
      </c>
      <c r="O422" t="n">
        <v>0.08550000000000001</v>
      </c>
    </row>
    <row r="423">
      <c r="A423" t="inlineStr">
        <is>
          <t>hystrix</t>
        </is>
      </c>
      <c r="B423" t="inlineStr">
        <is>
          <t>hystrix-core/src/main/java/com/netflix/hystrix/metric/HystrixEvent.java</t>
        </is>
      </c>
      <c r="C423">
        <f>HYPERLINK("https://github.com/Netflix/Hystrix/blob/master/hystrix-core/src/main/java/com/netflix/hystrix/metric/HystrixEvent.java")</f>
        <v/>
      </c>
      <c r="D423" t="inlineStr">
        <is>
          <t>The provided code defines a marker interface `HystrixEvent` that serves as a base class for various types of events related to Hystrix circuit breakers and metrics. This interface does not contain any implementation details but rather provides a contract for classes that represent different types of Hystrix-related events. The complexity of the code is O(1) since it only includes metadata and no actual computation</t>
        </is>
      </c>
      <c r="E423" t="n">
        <v>0.0034</v>
      </c>
      <c r="F423" t="n">
        <v>0.08110000000000001</v>
      </c>
      <c r="G423" t="n">
        <v>0.1103</v>
      </c>
      <c r="H423" t="inlineStr">
        <is>
          <t>This repository contains backend software components that implement core algorithms. The complexity is O(N), indicating linear time operations. The comments describe the implementation of these algorithms.</t>
        </is>
      </c>
      <c r="I423" t="n">
        <v>0.009599999999999999</v>
      </c>
      <c r="J423" t="n">
        <v>0.2286</v>
      </c>
      <c r="K423" t="n">
        <v>0.2041</v>
      </c>
      <c r="L423" t="inlineStr">
        <is>
          <t>This Java interface `HystrixEvent` serves as a marker for events that can be emitted from the Hystrix circuit breaker metric system. It defines a contract for any class implementing this interface to represent different types of metrics related to Hystrix's operation, such as success, failure, timeout, etc., allowing for easy identification and processing of these events within the application.</t>
        </is>
      </c>
      <c r="M423" t="n">
        <v>0.0037</v>
      </c>
      <c r="N423" t="n">
        <v>0.0882</v>
      </c>
      <c r="O423" t="n">
        <v>0.1145</v>
      </c>
    </row>
    <row r="424">
      <c r="A424" t="inlineStr">
        <is>
          <t>hystrix</t>
        </is>
      </c>
      <c r="B424" t="inlineStr">
        <is>
          <t>hystrix-core/src/main/java/com/netflix/hystrix/metric/HystrixCommandStartStream.java</t>
        </is>
      </c>
      <c r="C424">
        <f>HYPERLINK("https://github.com/Netflix/Hystrix/blob/master/hystrix-core/src/main/java/com/netflix/hystrix/metric/HystrixCommandStartStream.java")</f>
        <v/>
      </c>
      <c r="D424" t="inlineStr">
        <is>
          <t>The provided Java code defines a class `HystrixCommandExecutionStream` that manages streams of command execution events for individual commands within a microservices architecture using Netflix's Hystrix library. The key functionalities include:
1. **Event Stream Management**: It uses RxJava subjects (`PublishSubject` and `SerializedSubject`) to manage streams of `HystrixCommandExecutionStarted` events for each unique</t>
        </is>
      </c>
      <c r="E424" t="n">
        <v>0.0037</v>
      </c>
      <c r="F424" t="n">
        <v>0.0678</v>
      </c>
      <c r="G424" t="n">
        <v>0.082</v>
      </c>
      <c r="H424" t="inlineStr">
        <is>
          <t>This repository contains backend software components that implement core algorithms. The complexity is O(N), indicating linear time complexity, and it includes comments explaining the implementation details. The code size is 1000 lines, which suggests a significant amount of functionality within the repository.</t>
        </is>
      </c>
      <c r="I424" t="n">
        <v>0.0066</v>
      </c>
      <c r="J424" t="n">
        <v>0.1961</v>
      </c>
      <c r="K424" t="n">
        <v>0.2632</v>
      </c>
      <c r="L424" t="inlineStr">
        <is>
          <t>The code provides a mechanism for tracking execution events of individual `Hystrix` commands within a system. It uses RxJava's `PublishSubject` to emit `HystrixCommandExecutionStarted` objects as they occur, allowing real-time monitoring and analysis of command executions. The class maintains a concurrent map to store these streams based on command keys, facilitating efficient retrieval and management of execution data.</t>
        </is>
      </c>
      <c r="M424" t="n">
        <v>0.0032</v>
      </c>
      <c r="N424" t="n">
        <v>0.0299</v>
      </c>
      <c r="O424" t="n">
        <v>0.0775</v>
      </c>
    </row>
    <row r="425">
      <c r="A425" t="inlineStr">
        <is>
          <t>hystrix</t>
        </is>
      </c>
      <c r="B425" t="inlineStr">
        <is>
          <t>hystrix-core/src/main/java/com/netflix/hystrix/metric/HystrixThreadEventStream.java</t>
        </is>
      </c>
      <c r="C425">
        <f>HYPERLINK("https://github.com/Netflix/Hystrix/blob/master/hystrix-core/src/main/java/com/netflix/hystrix/metric/HystrixThreadEventStream.java")</f>
        <v/>
      </c>
      <c r="D425" t="inlineStr">
        <is>
          <t>The provided code appears to be part of a library that implements Hystrix metrics for monitoring and managing circuit breakers and thread pools within a microservices architecture using Netflix's Hystrix framework. The code includes classes such as `ExecutionResult`, `HystrixCollapserKey`, `HystrixCommandKey`, `HystrixCommandProperties`, `HystrixEventType`, `</t>
        </is>
      </c>
      <c r="E425" t="n">
        <v>0.0051</v>
      </c>
      <c r="F425" t="n">
        <v>0.0784</v>
      </c>
      <c r="G425" t="n">
        <v>0.1304</v>
      </c>
      <c r="H425" t="inlineStr">
        <is>
          <t>The code implements core algorithms for backend software components. It includes comments explaining its implementation and complexity, as well as details about commits and code size.</t>
        </is>
      </c>
      <c r="I425" t="n">
        <v>0.0183</v>
      </c>
      <c r="J425" t="n">
        <v>0.1765</v>
      </c>
      <c r="K425" t="n">
        <v>0.3221</v>
      </c>
      <c r="L425" t="inlineStr">
        <is>
          <t>This Java class provides metrics tracking for Hystrix commands and collapsers within a Netflix application. It includes methods for recording execution results, handling different event types such as success, failure, and timeouts, and managing thread pools used by these components. The implementation complexity is O(N), where N represents the number of events processed.</t>
        </is>
      </c>
      <c r="M425" t="n">
        <v>0.0041</v>
      </c>
      <c r="N425" t="n">
        <v>0.0645</v>
      </c>
      <c r="O425" t="n">
        <v>0.16</v>
      </c>
    </row>
    <row r="426">
      <c r="A426" t="inlineStr">
        <is>
          <t>hystrix</t>
        </is>
      </c>
      <c r="B426" t="inlineStr">
        <is>
          <t>hystrix-core/src/main/java/com/netflix/hystrix/metric/HystrixCommandExecutionStarted.java</t>
        </is>
      </c>
      <c r="C426">
        <f>HYPERLINK("https://github.com/Netflix/Hystrix/blob/master/hystrix-core/src/main/java/com/netflix/hystrix/metric/HystrixCommandExecutionStarted.java")</f>
        <v/>
      </c>
      <c r="D426" t="inlineStr">
        <is>
          <t>The provided Java code defines a `HystrixCommandExecutionStarted` class within the `com.netflix.hystrix.metric` package. This class serves as an event notification indicating that a command execution has started. It includes fields such as `commandKey`, `threadPoolKey`, and properties from `HystrixCommandProperties`. The class inherits from another class named `HystrixCommandEvent`, which</t>
        </is>
      </c>
      <c r="E426" t="n">
        <v>0.0048</v>
      </c>
      <c r="F426" t="n">
        <v>0.0702</v>
      </c>
      <c r="G426" t="n">
        <v>0.0847</v>
      </c>
      <c r="H426" t="inlineStr">
        <is>
          <t>This repository contains backend software components implementing core algorithms. The complexity of the implementation is O(N), indicating linear time complexity. The comments describe the purpose as implementing core algorithms. There have been initial commits to establish the codebase. The total size of the code is 1000 lines.</t>
        </is>
      </c>
      <c r="I426" t="n">
        <v>0.0051</v>
      </c>
      <c r="J426" t="n">
        <v>0.1429</v>
      </c>
      <c r="K426" t="n">
        <v>0.2652</v>
      </c>
      <c r="L426" t="inlineStr">
        <is>
          <t>This Java class `HystrixCommandExecutionStarted` serves as a data structure used to notify subscribers about the start of a command execution within the Netflix Hystrix framework. It encapsulates details such as the command's key, properties, thread pool key, and other relevant metadata. The class implements the `HystrixCommandEvent` interface, which likely provides methods for handling events related to command executions</t>
        </is>
      </c>
      <c r="M426" t="n">
        <v>0.0041</v>
      </c>
      <c r="N426" t="n">
        <v>0.0597</v>
      </c>
      <c r="O426" t="n">
        <v>0.1538</v>
      </c>
    </row>
    <row r="427">
      <c r="A427" t="inlineStr">
        <is>
          <t>hystrix</t>
        </is>
      </c>
      <c r="B427" t="inlineStr">
        <is>
          <t>hystrix-core/src/main/java/com/netflix/hystrix/metric/HystrixCommandCompletionStream.java</t>
        </is>
      </c>
      <c r="C427">
        <f>HYPERLINK("https://github.com/Netflix/Hystrix/blob/master/hystrix-core/src/main/java/com/netflix/hystrix/metric/HystrixCommandCompletionStream.java")</f>
        <v/>
      </c>
      <c r="D427" t="inlineStr">
        <is>
          <t>The provided Java code defines a class `HystrixMetricsPublisher` that manages streams of `HystrixCommandCompletion` objects for each command key. It uses RxJava subjects to publish these completions asynchronously. The class maintains a concurrent map to store these subject instances, allowing efficient access based on command keys. The implementation is designed to handle high concurrency scenarios efficiently.</t>
        </is>
      </c>
      <c r="E427" t="n">
        <v>0</v>
      </c>
      <c r="F427" t="n">
        <v>0.0317</v>
      </c>
      <c r="G427" t="n">
        <v>0.07870000000000001</v>
      </c>
      <c r="H427" t="inlineStr">
        <is>
          <t>Implements core algorithms for backend software components. Complexity is O(N).</t>
        </is>
      </c>
      <c r="I427" t="n">
        <v>0.0251</v>
      </c>
      <c r="J427" t="n">
        <v>0.2105</v>
      </c>
      <c r="K427" t="n">
        <v>0.3117</v>
      </c>
      <c r="L427" t="inlineStr">
        <is>
          <t>This class provides a per-command stream of `HystrixCommandCompletion` objects, which are emitted whenever a command completes execution. It uses RxJava's `PublishSubject` to publish these completions as they occur. The subject is serialized using `SerializedSubject` to ensure thread safety when multiple threads write to it concurrently. The class maintains a concurrent map to store subjects for each unique command key,</t>
        </is>
      </c>
      <c r="M427" t="n">
        <v>0.0031</v>
      </c>
      <c r="N427" t="n">
        <v>0.029</v>
      </c>
      <c r="O427" t="n">
        <v>0.07630000000000001</v>
      </c>
    </row>
    <row r="428">
      <c r="A428" t="inlineStr">
        <is>
          <t>hystrix</t>
        </is>
      </c>
      <c r="B428" t="inlineStr">
        <is>
          <t>hystrix-core/src/main/java/com/netflix/hystrix/metric/HystrixThreadPoolStartStream.java</t>
        </is>
      </c>
      <c r="C428">
        <f>HYPERLINK("https://github.com/Netflix/Hystrix/blob/master/hystrix-core/src/main/java/com/netflix/hystrix/metric/HystrixThreadPoolStartStream.java")</f>
        <v/>
      </c>
      <c r="D428" t="inlineStr">
        <is>
          <t>The provided Java code defines a class `HystrixThreadPoolStream` that manages streams of `HystrixCommandExecutionStarted` events for each thread pool in a system using RxJava's `PublishSubject`. The class uses a concurrent map (`ConcurrentHashMap`) to store these subject instances, where keys are `HystrixThreadPoolKey` objects representing different thread pools. Each key maps to a</t>
        </is>
      </c>
      <c r="E428" t="n">
        <v>0</v>
      </c>
      <c r="F428" t="n">
        <v>0</v>
      </c>
      <c r="G428" t="n">
        <v>0.041</v>
      </c>
      <c r="H428" t="inlineStr">
        <is>
          <t>This repository contains backend software components that implement core algorithms. The complexity of these implementations is O(N), indicating linear time complexity relative to the input size N. The code uses RxJava subjects for concurrent data streams and employs ConcurrentHashMap for thread-safe storage.</t>
        </is>
      </c>
      <c r="I428" t="n">
        <v>0.0062</v>
      </c>
      <c r="J428" t="n">
        <v>0.1923</v>
      </c>
      <c r="K428" t="n">
        <v>0.2632</v>
      </c>
      <c r="L428" t="inlineStr">
        <is>
          <t>This Java class manages streams of `HystrixCommandExecutionStarted` events for each thread pool in a system using RxJava subjects. It uses a concurrent map to store these streams, allowing efficient access and modification. The class provides methods to retrieve existing streams or create new ones if they don't exist.</t>
        </is>
      </c>
      <c r="M428" t="n">
        <v>0.0045</v>
      </c>
      <c r="N428" t="n">
        <v>0.0702</v>
      </c>
      <c r="O428" t="n">
        <v>0.125</v>
      </c>
    </row>
    <row r="429">
      <c r="A429" t="inlineStr">
        <is>
          <t>hystrix</t>
        </is>
      </c>
      <c r="B429" t="inlineStr">
        <is>
          <t>hystrix-core/src/main/java/com/netflix/hystrix/metric/HystrixRequestEvents.java</t>
        </is>
      </c>
      <c r="C429">
        <f>HYPERLINK("https://github.com/Netflix/Hystrix/blob/master/hystrix-core/src/main/java/com/netflix/hystrix/metric/HystrixRequestEvents.java")</f>
        <v/>
      </c>
      <c r="D429" t="inlineStr">
        <is>
          <t>The `HystrixRequestEvents` class provides metrics tracking for requests made through Hystrix commands and collapsers. It uses various data structures like maps and lists to store information about each request's execution results, command keys, and other relevant details. The complexity of the implementation is O(N), where N represents the number of events being tracked. This class helps in monitoring and analyzing performance and</t>
        </is>
      </c>
      <c r="E429" t="n">
        <v>0.0035</v>
      </c>
      <c r="F429" t="n">
        <v>0.0556</v>
      </c>
      <c r="G429" t="n">
        <v>0.1493</v>
      </c>
      <c r="H429" t="inlineStr">
        <is>
          <t>Manages request events related to Hystrix commands and collapsers.</t>
        </is>
      </c>
      <c r="I429" t="n">
        <v>0.024</v>
      </c>
      <c r="J429" t="n">
        <v>0.1176</v>
      </c>
      <c r="K429" t="n">
        <v>0.0617</v>
      </c>
      <c r="L429" t="inlineStr">
        <is>
          <t>The `HystrixRequestEvents` class manages request events related to Hystrix commands and collapsers. It stores metrics such as execution results, command keys, and invoker information for each event, allowing for tracking and analysis of requests within a Hystrix application. The class uses maps to store these data structures efficiently, facilitating quick lookups and updates during runtime.</t>
        </is>
      </c>
      <c r="M429" t="n">
        <v>0.0033</v>
      </c>
      <c r="N429" t="n">
        <v>0.0317</v>
      </c>
      <c r="O429" t="n">
        <v>0.07870000000000001</v>
      </c>
    </row>
    <row r="430">
      <c r="A430" t="inlineStr">
        <is>
          <t>hystrix</t>
        </is>
      </c>
      <c r="B430" t="inlineStr">
        <is>
          <t>hystrix-core/src/main/java/com/netflix/hystrix/metric/HystrixEventStream.java</t>
        </is>
      </c>
      <c r="C430">
        <f>HYPERLINK("https://github.com/Netflix/Hystrix/blob/master/hystrix-core/src/main/java/com/netflix/hystrix/metric/HystrixEventStream.java")</f>
        <v/>
      </c>
      <c r="D430" t="inlineStr">
        <is>
          <t>The `HystrixEventStream` interface defines a base contract for observing streams of `HystrixEventType` objects using RxJava's `Observable`. It provides a method `observe()` that returns an observable emitting these event types. This allows consumers to subscribe to the stream and receive notifications about various Hystrix metrics such as success, failure, timeouts, etc., in real-time. The complexity</t>
        </is>
      </c>
      <c r="E430" t="n">
        <v>0.004</v>
      </c>
      <c r="F430" t="n">
        <v>0.0625</v>
      </c>
      <c r="G430" t="n">
        <v>0.119</v>
      </c>
      <c r="H430" t="inlineStr">
        <is>
          <t>Provides an interface for consuming streams of `HystrixEventType` objects, allowing both individual event consumption and time-based aggregation.</t>
        </is>
      </c>
      <c r="I430" t="n">
        <v>0.0115</v>
      </c>
      <c r="J430" t="n">
        <v>0.0769</v>
      </c>
      <c r="K430" t="n">
        <v>0.0562</v>
      </c>
      <c r="L430" t="inlineStr">
        <is>
          <t>The `HystrixEventStream` interface provides a base abstraction for observing streams of Hystrix event types. It defines an `observe()` method that returns an RxJava observable emitting instances of `HystrixEvent`. This allows consumers to subscribe to these events, enabling real-time monitoring and analysis of Hystrix circuit breaker metrics.</t>
        </is>
      </c>
      <c r="M430" t="n">
        <v>0.0048</v>
      </c>
      <c r="N430" t="n">
        <v>0.0727</v>
      </c>
      <c r="O430" t="n">
        <v>0.0847</v>
      </c>
    </row>
    <row r="431">
      <c r="A431" t="inlineStr">
        <is>
          <t>hystrix</t>
        </is>
      </c>
      <c r="B431" t="inlineStr">
        <is>
          <t>hystrix-core/src/main/java/com/netflix/hystrix/metric/consumer/RollingDistributionStream.java</t>
        </is>
      </c>
      <c r="C431">
        <f>HYPERLINK("https://github.com/Netflix/Hystrix/blob/master/hystrix-core/src/main/java/com/netflix/hystrix/metric/consumer/RollingDistributionStream.java")</f>
        <v/>
      </c>
      <c r="D431" t="inlineStr">
        <is>
          <t>The provided Java code defines a class `HystrixMetricConsumer` within the package `com.netflix.hystrix.metric.consumer`. This class appears to be part of a system that handles Hystrix metrics, which are used to monitor the performance and health of services in a microservices architecture. The class likely includes methods for processing Hystrix events, generating histograms from metric data, and managing subscriptions</t>
        </is>
      </c>
      <c r="E431" t="n">
        <v>0.0038</v>
      </c>
      <c r="F431" t="n">
        <v>0.058</v>
      </c>
      <c r="G431" t="n">
        <v>0.1163</v>
      </c>
      <c r="H431" t="inlineStr">
        <is>
          <t>The code implements core algorithms for backend software components using RxJava observables and HdrHistogram for histogramming. It includes comments explaining the implementation and complexity analysis. The code size is 1000 lines.</t>
        </is>
      </c>
      <c r="I431" t="n">
        <v>0.0152</v>
      </c>
      <c r="J431" t="n">
        <v>0.1538</v>
      </c>
      <c r="K431" t="n">
        <v>0.3612</v>
      </c>
      <c r="L431" t="inlineStr">
        <is>
          <t>The code provides a consumer component that processes Hystrix metrics using RxJava streams. It includes methods to subscribe to event streams, calculate histograms from cached values, and handle different types of events such as success, failure, timeout, and circuit breaker state changes. The implementation uses HdrHistogram for accurate histogram calculations and supports various metric aggregation functions.</t>
        </is>
      </c>
      <c r="M431" t="n">
        <v>0.0033</v>
      </c>
      <c r="N431" t="n">
        <v>0.0625</v>
      </c>
      <c r="O431" t="n">
        <v>0.1172</v>
      </c>
    </row>
    <row r="432">
      <c r="A432" t="inlineStr">
        <is>
          <t>hystrix</t>
        </is>
      </c>
      <c r="B432" t="inlineStr">
        <is>
          <t>hystrix-core/src/main/java/com/netflix/hystrix/metric/consumer/CumulativeThreadPoolEventCounterStream.java</t>
        </is>
      </c>
      <c r="C432">
        <f>HYPERLINK("https://github.com/Netflix/Hystrix/blob/master/hystrix-core/src/main/java/com/netflix/hystrix/metric/consumer/CumulativeThreadPoolEventCounterStream.java")</f>
        <v/>
      </c>
      <c r="D432" t="inlineStr">
        <is>
          <t>The provided Java code defines a class `HystrixThreadPoolConsumer` within the package `com.netflix.hystrix.metric.consumer`. This class appears to be part of a larger system designed to monitor and manage Hystrix thread pools, which are used for handling asynchronous requests in microservices architectures. The class likely implements logic to consume metrics related to these thread pools, such as completion events, properties,</t>
        </is>
      </c>
      <c r="E432" t="n">
        <v>0.0041</v>
      </c>
      <c r="F432" t="n">
        <v>0.0857</v>
      </c>
      <c r="G432" t="n">
        <v>0.1538</v>
      </c>
      <c r="H432" t="inlineStr">
        <is>
          <t>Implements core algorithms for backend software components.</t>
        </is>
      </c>
      <c r="I432" t="n">
        <v>0.0341</v>
      </c>
      <c r="J432" t="n">
        <v>0.2667</v>
      </c>
      <c r="K432" t="n">
        <v>0.3235</v>
      </c>
      <c r="L432" t="inlineStr">
        <is>
          <t>This Java class provides a consumer component that listens to Hystrix thread pool metrics and emits events based on completion of commands within those threads. It uses RxJava streams to process these events and can be used to monitor and analyze performance data related to command execution across multiple threads. The implementation includes methods to subscribe to different types of events such as command completions and thread pool completions, allowing developers to</t>
        </is>
      </c>
      <c r="M432" t="n">
        <v>0.003</v>
      </c>
      <c r="N432" t="n">
        <v>0.075</v>
      </c>
      <c r="O432" t="n">
        <v>0.1389</v>
      </c>
    </row>
    <row r="433">
      <c r="A433" t="inlineStr">
        <is>
          <t>hystrix</t>
        </is>
      </c>
      <c r="B433" t="inlineStr">
        <is>
          <t>hystrix-core/src/main/java/com/netflix/hystrix/metric/consumer/RollingThreadPoolMaxConcurrencyStream.java</t>
        </is>
      </c>
      <c r="C433">
        <f>HYPERLINK("https://github.com/Netflix/Hystrix/blob/master/hystrix-core/src/main/java/com/netflix/hystrix/metric/consumer/RollingThreadPoolMaxConcurrencyStream.java")</f>
        <v/>
      </c>
      <c r="D433" t="inlineStr">
        <is>
          <t>The provided Java code defines a class `HystrixThreadPoolMaxConcurrencyStream` that maintains a stream of maximum concurrency values for Hystrix thread pools. It uses a concurrent map (`ConcurrentHashMap`) to store these values associated with different thread pool keys (`HystrixThreadPoolKey`). The class provides methods to add new entries to the map and retrieve existing ones based on the thread pool key.</t>
        </is>
      </c>
      <c r="E433" t="n">
        <v>0.0031</v>
      </c>
      <c r="F433" t="n">
        <v>0.0303</v>
      </c>
      <c r="G433" t="n">
        <v>0.1442</v>
      </c>
      <c r="H433" t="inlineStr">
        <is>
          <t>Maintains a stream of maximum concurrency for Hystrix thread pools. Uses a concurrent map to store and update the values. Complexity is O(N) due to potential updates to the map.</t>
        </is>
      </c>
      <c r="I433" t="n">
        <v>0.0062</v>
      </c>
      <c r="J433" t="n">
        <v>0.0513</v>
      </c>
      <c r="K433" t="n">
        <v>0.098</v>
      </c>
      <c r="L433" t="inlineStr">
        <is>
          <t>This class maintains a stream of maximum concurrency for Hystrix thread pools, calculating it based on rolling averages over time. It uses concurrent data structures to efficiently track and update these values as new metrics arrive from the `HystrixThreadPoolStartStream`. The implementation leverages Java's `ConcurrentHashMap` to store and manage the pool-specific statistics, ensuring high performance even under heavy load.</t>
        </is>
      </c>
      <c r="M433" t="n">
        <v>0.0037</v>
      </c>
      <c r="N433" t="n">
        <v>0.0882</v>
      </c>
      <c r="O433" t="n">
        <v>0.1538</v>
      </c>
    </row>
    <row r="434">
      <c r="A434" t="inlineStr">
        <is>
          <t>hystrix</t>
        </is>
      </c>
      <c r="B434" t="inlineStr">
        <is>
          <t>hystrix-core/src/main/java/com/netflix/hystrix/metric/consumer/RollingCommandMaxConcurrencyStream.java</t>
        </is>
      </c>
      <c r="C434">
        <f>HYPERLINK("https://github.com/Netflix/Hystrix/blob/master/hystrix-core/src/main/java/com/netflix/hystrix/metric/consumer/RollingCommandMaxConcurrencyStream.java")</f>
        <v/>
      </c>
      <c r="D434" t="inlineStr">
        <is>
          <t>The provided Java code defines a class `HystrixConcurrencyStream` that maintains a concurrent map to track the maximum concurrency level observed by each Hystrix command key. It uses the `ConcurrentHashMap` from the Java Collections Framework to store these values efficiently. The class provides methods to update the concurrency levels based on start and end events of commands, allowing real-time monitoring of concurrency trends.</t>
        </is>
      </c>
      <c r="E434" t="n">
        <v>0.0029</v>
      </c>
      <c r="F434" t="n">
        <v>0.0282</v>
      </c>
      <c r="G434" t="n">
        <v>0.0746</v>
      </c>
      <c r="H434" t="inlineStr">
        <is>
          <t>Maintains a concurrent map of Hystrix commands' start streams and their maximum concurrency values.</t>
        </is>
      </c>
      <c r="I434" t="n">
        <v>0.0143</v>
      </c>
      <c r="J434" t="n">
        <v>0.09089999999999999</v>
      </c>
      <c r="K434" t="n">
        <v>0.1163</v>
      </c>
      <c r="L434" t="inlineStr">
        <is>
          <t>This class maintains a concurrent map that tracks the maximum concurrency observed for each Hystrix command using `HystrixCommandKey`. It updates this map whenever a new start event occurs for any command, ensuring real-time monitoring of concurrency levels across all commands. The implementation uses `ConcurrentHashMap` to handle concurrent access efficiently.</t>
        </is>
      </c>
      <c r="M434" t="n">
        <v>0.0037</v>
      </c>
      <c r="N434" t="n">
        <v>0.06900000000000001</v>
      </c>
      <c r="O434" t="n">
        <v>0.124</v>
      </c>
    </row>
    <row r="435">
      <c r="A435" t="inlineStr">
        <is>
          <t>hystrix</t>
        </is>
      </c>
      <c r="B435" t="inlineStr">
        <is>
          <t>hystrix-core/src/main/java/com/netflix/hystrix/metric/consumer/HealthCountsStream.java</t>
        </is>
      </c>
      <c r="C435">
        <f>HYPERLINK("https://github.com/Netflix/Hystrix/blob/master/hystrix-core/src/main/java/com/netflix/hystrix/metric/consumer/HealthCountsStream.java")</f>
        <v/>
      </c>
      <c r="D435" t="inlineStr">
        <is>
          <t>The provided Java code defines a class `HystrixCommandCompletionStream` within the package `com.netflix.hystrix.metric.consumer`. This class implements an RxJava stream that emits `HystrixCommandCompletion` objects based on events from Hystrix commands. It uses various classes such as `HystrixCommandKey`, `HystrixCommandMetrics`, `HystrixCommandProperties`,</t>
        </is>
      </c>
      <c r="E435" t="n">
        <v>0.006</v>
      </c>
      <c r="F435" t="n">
        <v>0.08160000000000001</v>
      </c>
      <c r="G435" t="n">
        <v>0.1376</v>
      </c>
      <c r="H435" t="inlineStr">
        <is>
          <t>Implements core algorithms for backend software components. Complexity is O(N).</t>
        </is>
      </c>
      <c r="I435" t="n">
        <v>0.0251</v>
      </c>
      <c r="J435" t="n">
        <v>0.2105</v>
      </c>
      <c r="K435" t="n">
        <v>0.3117</v>
      </c>
      <c r="L435" t="inlineStr">
        <is>
          <t>This Java class provides a consumer component that listens to Hystrix command metrics using RxJava's `HystrixCommandCompletionStream`. It subscribes to completion events for specified commands and processes them based on their event types, such as success, failure, timeout, etc., updating relevant metrics accordingly. The implementation is designed to handle high throughput data streams efficiently while maintaining clarity and ease of maintenance through structured</t>
        </is>
      </c>
      <c r="M435" t="n">
        <v>0.0035</v>
      </c>
      <c r="N435" t="n">
        <v>0.08450000000000001</v>
      </c>
      <c r="O435" t="n">
        <v>0.1493</v>
      </c>
    </row>
    <row r="436">
      <c r="A436" t="inlineStr">
        <is>
          <t>hystrix</t>
        </is>
      </c>
      <c r="B436" t="inlineStr">
        <is>
          <t>hystrix-core/src/main/java/com/netflix/hystrix/metric/consumer/RollingCollapserBatchSizeDistributionStream.java</t>
        </is>
      </c>
      <c r="C436">
        <f>HYPERLINK("https://github.com/Netflix/Hystrix/blob/master/hystrix-core/src/main/java/com/netflix/hystrix/metric/consumer/RollingCollapserBatchSizeDistributionStream.java")</f>
        <v/>
      </c>
      <c r="D436" t="inlineStr">
        <is>
          <t>The provided code defines a class `HystrixCollapserMetricConsumer` that implements a consumer for Hystrix collapser metrics using RxJava. It handles events related to Hystrix collapsers such as execution start, success, failure, and completion. The class uses a ConcurrentHashMap to store event streams for each unique collapser key. Each stream emits events based on the</t>
        </is>
      </c>
      <c r="E436" t="n">
        <v>0.0041</v>
      </c>
      <c r="F436" t="n">
        <v>0.06560000000000001</v>
      </c>
      <c r="G436" t="n">
        <v>0.12</v>
      </c>
      <c r="H436" t="inlineStr">
        <is>
          <t>The code provides a Java implementation of core algorithms within a backend software component repository. It includes classes such as `HystrixCollapserKey`, `HystrixCollapserProperties`, `HystrixCollapserEvent`, `HystrixCollapserEventStream`, and others related to Hystrix metrics and collapsers. The complexity is high due</t>
        </is>
      </c>
      <c r="I436" t="n">
        <v>0.0066</v>
      </c>
      <c r="J436" t="n">
        <v>0.1333</v>
      </c>
      <c r="K436" t="n">
        <v>0.1835</v>
      </c>
      <c r="L436" t="inlineStr">
        <is>
          <t>The code provides a consumer component that listens to Hystrix collapser events and aggregates them into histograms using the HdrHistogram library. It uses RxJava's `Func2` to process these events and updates concurrent maps to store aggregated data. The implementation is designed to handle high throughput and provide detailed performance metrics for Hystrix collapser operations.</t>
        </is>
      </c>
      <c r="M436" t="n">
        <v>0.0034</v>
      </c>
      <c r="N436" t="n">
        <v>0.0635</v>
      </c>
      <c r="O436" t="n">
        <v>0.119</v>
      </c>
    </row>
    <row r="437">
      <c r="A437" t="inlineStr">
        <is>
          <t>hystrix</t>
        </is>
      </c>
      <c r="B437" t="inlineStr">
        <is>
          <t>hystrix-core/src/main/java/com/netflix/hystrix/metric/consumer/RollingConcurrencyStream.java</t>
        </is>
      </c>
      <c r="C437">
        <f>HYPERLINK("https://github.com/Netflix/Hystrix/blob/master/hystrix-core/src/main/java/com/netflix/hystrix/metric/consumer/RollingConcurrencyStream.java")</f>
        <v/>
      </c>
      <c r="D437" t="inlineStr">
        <is>
          <t>The provided code defines a class `HystrixMetricConsumer` within the package `com.netflix.hystrix.metric.consumer`. This class appears to be part of a system that monitors and analyzes Hystrix command execution metrics using RxJava observables. The key functionalities include:
1. **Observing Command Execution Events**: It subscribes to events related to Hystrix commands being executed, such as</t>
        </is>
      </c>
      <c r="E437" t="n">
        <v>0.0042</v>
      </c>
      <c r="F437" t="n">
        <v>0.0625</v>
      </c>
      <c r="G437" t="n">
        <v>0.121</v>
      </c>
      <c r="H437" t="inlineStr">
        <is>
          <t>The code provides a Java implementation of core algorithms within a Hystrix command execution monitoring system. It includes classes such as `HystrixCommandExecutionStarted`, `HystrixEventStream`, and uses RxJava for event stream management. The complexity is high due to its extensive algorithmic logic and dependency on external libraries like RxJava.</t>
        </is>
      </c>
      <c r="I437" t="n">
        <v>0.0046</v>
      </c>
      <c r="J437" t="n">
        <v>0.1455</v>
      </c>
      <c r="K437" t="n">
        <v>0.1681</v>
      </c>
      <c r="L437" t="inlineStr">
        <is>
          <t>The code provides a consumer component that subscribes to Hystrix event streams to monitor command execution metrics such as start times. It uses RxJava Observables to handle real-time data updates and BehaviorSubject to buffer initial state before emitting events. The implementation includes methods to subscribe to different types of Hystrix events, filter them based on properties like command name and group, and process these events to extract relevant</t>
        </is>
      </c>
      <c r="M437" t="n">
        <v>0.0027</v>
      </c>
      <c r="N437" t="n">
        <v>0.0519</v>
      </c>
      <c r="O437" t="n">
        <v>0.1071</v>
      </c>
    </row>
    <row r="438">
      <c r="A438" t="inlineStr">
        <is>
          <t>hystrix</t>
        </is>
      </c>
      <c r="B438" t="inlineStr">
        <is>
          <t>hystrix-core/src/main/java/com/netflix/hystrix/metric/consumer/CumulativeCollapserEventCounterStream.java</t>
        </is>
      </c>
      <c r="C438">
        <f>HYPERLINK("https://github.com/Netflix/Hystrix/blob/master/hystrix-core/src/main/java/com/netflix/hystrix/metric/consumer/CumulativeCollapserEventCounterStream.java")</f>
        <v/>
      </c>
      <c r="D438" t="inlineStr">
        <is>
          <t>The provided Java code defines a class `HystrixCollapserMetricConsumer` within the package `com.netflix.hystrix.metric.consumer`. This class appears to be part of a library that handles metrics related to Hystrix collapsers, which are used to reduce the number of requests made when multiple similar requests are triggered concurrently. The class likely provides methods to consume and process these metrics</t>
        </is>
      </c>
      <c r="E438" t="n">
        <v>0.0039</v>
      </c>
      <c r="F438" t="n">
        <v>0.0588</v>
      </c>
      <c r="G438" t="n">
        <v>0.1172</v>
      </c>
      <c r="H438" t="inlineStr">
        <is>
          <t>Implements core algorithms for backend software components. Complexity is O(N).</t>
        </is>
      </c>
      <c r="I438" t="n">
        <v>0.0251</v>
      </c>
      <c r="J438" t="n">
        <v>0.2105</v>
      </c>
      <c r="K438" t="n">
        <v>0.3117</v>
      </c>
      <c r="L438" t="inlineStr">
        <is>
          <t>The code implements a consumer component that processes Hystrix collapser metrics, handling events such as execution start, success, failure, and completion. It uses RxJava's `Func2` to map event types to their corresponding metric keys, facilitating real-time monitoring and analysis of Hystrix collapser performance. The implementation is designed to be efficient with a time complexity of O(N), where</t>
        </is>
      </c>
      <c r="M438" t="n">
        <v>0.0038</v>
      </c>
      <c r="N438" t="n">
        <v>0.0588</v>
      </c>
      <c r="O438" t="n">
        <v>0.1163</v>
      </c>
    </row>
    <row r="439">
      <c r="A439" t="inlineStr">
        <is>
          <t>hystrix</t>
        </is>
      </c>
      <c r="B439" t="inlineStr">
        <is>
          <t>hystrix-core/src/main/java/com/netflix/hystrix/metric/consumer/RollingCommandUserLatencyDistributionStream.java</t>
        </is>
      </c>
      <c r="C439">
        <f>HYPERLINK("https://github.com/Netflix/Hystrix/blob/master/hystrix-core/src/main/java/com/netflix/hystrix/metric/consumer/RollingCommandUserLatencyDistributionStream.java")</f>
        <v/>
      </c>
      <c r="D439" t="inlineStr">
        <is>
          <t>The provided Java code defines a class `HystrixMetricConsumer` within the package `com.netflix.hystrix.metric.consumer`. This class appears to be part of a library designed to consume metrics related to Hystrix commands, which is used for circuit breaker pattern implementation in microservices architecture. The code includes methods for handling command completions, events, and properties associated with Hystrix commands such</t>
        </is>
      </c>
      <c r="E439" t="n">
        <v>0.0039</v>
      </c>
      <c r="F439" t="n">
        <v>0.0882</v>
      </c>
      <c r="G439" t="n">
        <v>0.1563</v>
      </c>
      <c r="H439" t="inlineStr">
        <is>
          <t>The code implements core algorithms for backend software components. It includes classes such as `HystrixCollapserProperties`, `HystrixCommandKey`, `HystrixCommandProperties`, `HystrixCommandCompletion`, `HystrixCommandCompletionStream`, and `HystrixCommandEvent`. The complexity is O(N) due to potential processing of large datasets or multiple operations.</t>
        </is>
      </c>
      <c r="I439" t="n">
        <v>0.0134</v>
      </c>
      <c r="J439" t="n">
        <v>0.1364</v>
      </c>
      <c r="K439" t="n">
        <v>0.295</v>
      </c>
      <c r="L439" t="inlineStr">
        <is>
          <t>This Java class provides consumer implementations for Hystrix metrics related to command executions, including completion streams and event listeners. It includes methods for retrieving command completions based on keys and properties, as well as handling events such as command start and end. The implementation supports various configurations through `HystrixCommandKey` and `HystrixCommandProperties`.</t>
        </is>
      </c>
      <c r="M439" t="n">
        <v>0.0043</v>
      </c>
      <c r="N439" t="n">
        <v>0.1017</v>
      </c>
      <c r="O439" t="n">
        <v>0.122</v>
      </c>
    </row>
    <row r="440">
      <c r="A440" t="inlineStr">
        <is>
          <t>hystrix</t>
        </is>
      </c>
      <c r="B440" t="inlineStr">
        <is>
          <t>hystrix-core/src/main/java/com/netflix/hystrix/metric/consumer/HystrixDashboardStream.java</t>
        </is>
      </c>
      <c r="C440">
        <f>HYPERLINK("https://github.com/Netflix/Hystrix/blob/master/hystrix-core/src/main/java/com/netflix/hystrix/metric/consumer/HystrixDashboardStream.java")</f>
        <v/>
      </c>
      <c r="D440" t="inlineStr">
        <is>
          <t>The provided code is part of a Hystrix library used for circuit breaker pattern implementation in Java applications. It includes classes that monitor various metrics related to command execution, such as success rate, error count, and latency. The code uses RxJava for asynchronous processing and dynamic configuration properties from Netflix's Config module. The complexity is O(N) due to potential operations involving collections and data structures.</t>
        </is>
      </c>
      <c r="E440" t="n">
        <v>0.0028</v>
      </c>
      <c r="F440" t="n">
        <v>0.0533</v>
      </c>
      <c r="G440" t="n">
        <v>0.1095</v>
      </c>
      <c r="H440" t="inlineStr">
        <is>
          <t>Implements core algorithms for backend software components. Complexity is O(N).</t>
        </is>
      </c>
      <c r="I440" t="n">
        <v>0.0251</v>
      </c>
      <c r="J440" t="n">
        <v>0.2105</v>
      </c>
      <c r="K440" t="n">
        <v>0.3117</v>
      </c>
      <c r="L440" t="inlineStr">
        <is>
          <t>The provided code implements a consumer component that aggregates metrics from various Hystrix components such as commands, collapsers, and thread pools into observable streams. It uses RxJava to handle asynchronous data processing and dynamic configuration properties to adjust metric collection based on runtime settings. The code is part of a larger system designed to monitor and analyze performance metrics related to microservices using Netflix's Hystrix library.</t>
        </is>
      </c>
      <c r="M440" t="n">
        <v>0.0033</v>
      </c>
      <c r="N440" t="n">
        <v>0.0533</v>
      </c>
      <c r="O440" t="n">
        <v>0.1087</v>
      </c>
    </row>
    <row r="441">
      <c r="A441" t="inlineStr">
        <is>
          <t>hystrix</t>
        </is>
      </c>
      <c r="B441" t="inlineStr">
        <is>
          <t>hystrix-core/src/main/java/com/netflix/hystrix/metric/consumer/RollingCollapserEventCounterStream.java</t>
        </is>
      </c>
      <c r="C441">
        <f>HYPERLINK("https://github.com/Netflix/Hystrix/blob/master/hystrix-core/src/main/java/com/netflix/hystrix/metric/consumer/RollingCollapserEventCounterStream.java")</f>
        <v/>
      </c>
      <c r="D441" t="inlineStr">
        <is>
          <t>The code defines a class `HystrixCollapserMetricConsumer` that consumes metrics from Hystrix collapsers. It provides methods to retrieve and process metrics related to hystrix collapser events such as execution time, success rate, and error count. The implementation uses RxJava's `Func2` to handle event streams and processes these events accordingly.</t>
        </is>
      </c>
      <c r="E441" t="n">
        <v>0.0038</v>
      </c>
      <c r="F441" t="n">
        <v>0.0702</v>
      </c>
      <c r="G441" t="n">
        <v>0.125</v>
      </c>
      <c r="H441" t="inlineStr">
        <is>
          <t>This repository contains backend software components that implement core algorithms using RxJava functions. The complexity is O(N), indicating linear time complexity, which suggests it processes data sequentially. The comments describe the implementation of these algorithms.</t>
        </is>
      </c>
      <c r="I441" t="n">
        <v>0.007</v>
      </c>
      <c r="J441" t="n">
        <v>0.2273</v>
      </c>
      <c r="K441" t="n">
        <v>0.2336</v>
      </c>
      <c r="L441" t="inlineStr">
        <is>
          <t>This Java class implements a consumer component that processes Hystrix collapser metrics using RxJava. It subscribes to event streams related to hystrix collapser events, allowing real-time monitoring and analysis of how requests are being collapsed into fewer calls. The implementation leverages Hystrix's built-in metric collection capabilities to track various aspects of collapser performance such as success rates, latency</t>
        </is>
      </c>
      <c r="M441" t="n">
        <v>0.0041</v>
      </c>
      <c r="N441" t="n">
        <v>0.08699999999999999</v>
      </c>
      <c r="O441" t="n">
        <v>0.1538</v>
      </c>
    </row>
    <row r="442">
      <c r="A442" t="inlineStr">
        <is>
          <t>hystrix</t>
        </is>
      </c>
      <c r="B442" t="inlineStr">
        <is>
          <t>hystrix-core/src/main/java/com/netflix/hystrix/metric/consumer/CumulativeCommandEventCounterStream.java</t>
        </is>
      </c>
      <c r="C442">
        <f>HYPERLINK("https://github.com/Netflix/Hystrix/blob/master/hystrix-core/src/main/java/com/netflix/hystrix/metric/consumer/CumulativeCommandEventCounterStream.java")</f>
        <v/>
      </c>
      <c r="D442" t="inlineStr">
        <is>
          <t>The code provides a consumer component for Hystrix metrics that tracks command completion events using RxJava streams. It includes methods to retrieve command metrics based on keys and properties, as well as functions to process these metrics. The implementation uses Hystrix's `HystrixCommandMetrics` class to gather data about command executions, including success rates, latency, and other performance indicators. The code is designed</t>
        </is>
      </c>
      <c r="E442" t="n">
        <v>0.003</v>
      </c>
      <c r="F442" t="n">
        <v>0.0571</v>
      </c>
      <c r="G442" t="n">
        <v>0.1128</v>
      </c>
      <c r="H442" t="inlineStr">
        <is>
          <t>Implements core algorithms for backend software components.</t>
        </is>
      </c>
      <c r="I442" t="n">
        <v>0.0341</v>
      </c>
      <c r="J442" t="n">
        <v>0.2667</v>
      </c>
      <c r="K442" t="n">
        <v>0.3235</v>
      </c>
      <c r="L442" t="inlineStr">
        <is>
          <t>The code provides a consumer component that subscribes to Hystrix command completion streams to collect metrics such as success rates, timeouts, failures, and latency. It uses RxJava's `Func2` to process these events and updates corresponding counters based on event types like SUCCESS, TIMEOUT, FAILURE, and LATENCY. The implementation is designed to be efficient with a time complexity of O(N), where N</t>
        </is>
      </c>
      <c r="M442" t="n">
        <v>0.003</v>
      </c>
      <c r="N442" t="n">
        <v>0.0282</v>
      </c>
      <c r="O442" t="n">
        <v>0.1128</v>
      </c>
    </row>
    <row r="443">
      <c r="A443" t="inlineStr">
        <is>
          <t>hystrix</t>
        </is>
      </c>
      <c r="B443" t="inlineStr">
        <is>
          <t>hystrix-core/src/main/java/com/netflix/hystrix/metric/consumer/RollingCommandEventCounterStream.java</t>
        </is>
      </c>
      <c r="C443">
        <f>HYPERLINK("https://github.com/Netflix/Hystrix/blob/master/hystrix-core/src/main/java/com/netflix/hystrix/metric/consumer/RollingCommandEventCounterStream.java")</f>
        <v/>
      </c>
      <c r="D443" t="inlineStr">
        <is>
          <t>The code provides a consumer component that listens to Hystrix command metrics using RxJava's `HystrixCommandCompletionStream`. It processes completion events from Hystrix commands and handles them based on their event types such as success, failure, timeout, etc. The implementation uses RxJava functions to map these events into appropriate actions or data processing tasks.</t>
        </is>
      </c>
      <c r="E443" t="n">
        <v>0.0035</v>
      </c>
      <c r="F443" t="n">
        <v>0.06560000000000001</v>
      </c>
      <c r="G443" t="n">
        <v>0.121</v>
      </c>
      <c r="H443" t="inlineStr">
        <is>
          <t>The code implements a function that calculates the sum of two numbers using basic arithmetic operations. It includes comments explaining its purpose and complexity, as well as details about the repository structure and commits made during development. The code size is specified as 30 lines.</t>
        </is>
      </c>
      <c r="I443" t="n">
        <v>0.0049</v>
      </c>
      <c r="J443" t="n">
        <v>0.1132</v>
      </c>
      <c r="K443" t="n">
        <v>0.1709</v>
      </c>
      <c r="L443" t="inlineStr">
        <is>
          <t>This Java class provides a consumer implementation for Hystrix command metrics, specifically focusing on processing completion events from Hystrix commands. It uses RxJava's `Func2` to map these events into a stream that can be processed further, such as aggregating performance data or triggering alerts based on thresholds. The class integrates with Hystrix's command metrics system to listen for command completions and emit</t>
        </is>
      </c>
      <c r="M443" t="n">
        <v>0.0035</v>
      </c>
      <c r="N443" t="n">
        <v>0.0833</v>
      </c>
      <c r="O443" t="n">
        <v>0.1493</v>
      </c>
    </row>
    <row r="444">
      <c r="A444" t="inlineStr">
        <is>
          <t>hystrix</t>
        </is>
      </c>
      <c r="B444" t="inlineStr">
        <is>
          <t>hystrix-core/src/main/java/com/netflix/hystrix/metric/consumer/RollingCommandLatencyDistributionStream.java</t>
        </is>
      </c>
      <c r="C444">
        <f>HYPERLINK("https://github.com/Netflix/Hystrix/blob/master/hystrix-core/src/main/java/com/netflix/hystrix/metric/consumer/RollingCommandLatencyDistributionStream.java")</f>
        <v/>
      </c>
      <c r="D444" t="inlineStr">
        <is>
          <t>The provided Java code defines a class `HystrixMetricConsumer` within the package `com.netflix.hystrix.metric.consumer`. This class appears to be part of a library designed to consume Hystrix metrics, which are used in microservices architecture to monitor command execution times and other performance metrics. The code includes methods for handling completion streams, events, and histograms related to Hystrix commands.</t>
        </is>
      </c>
      <c r="E444" t="n">
        <v>0.0039</v>
      </c>
      <c r="F444" t="n">
        <v>0.0588</v>
      </c>
      <c r="G444" t="n">
        <v>0.1172</v>
      </c>
      <c r="H444" t="inlineStr">
        <is>
          <t>Implements core algorithms for backend software components using RxJava and HdrHistogram libraries. Complexity is O(N).</t>
        </is>
      </c>
      <c r="I444" t="n">
        <v>0.0174</v>
      </c>
      <c r="J444" t="n">
        <v>0.25</v>
      </c>
      <c r="K444" t="n">
        <v>0.4276</v>
      </c>
      <c r="L444" t="inlineStr">
        <is>
          <t>This Java class provides a consumer for Hystrix command metrics, specifically focusing on completion data such as success rates, latency distributions, and error counts. It uses RxJava streams to process these metrics in real-time and can be configured to filter commands based on their keys and properties. The implementation includes methods to retrieve histograms for different performance metrics and events like failures and timeouts.</t>
        </is>
      </c>
      <c r="M444" t="n">
        <v>0.0034</v>
      </c>
      <c r="N444" t="n">
        <v>0.0822</v>
      </c>
      <c r="O444" t="n">
        <v>0.1471</v>
      </c>
    </row>
    <row r="445">
      <c r="A445" t="inlineStr">
        <is>
          <t>hystrix</t>
        </is>
      </c>
      <c r="B445" t="inlineStr">
        <is>
          <t>hystrix-core/src/main/java/com/netflix/hystrix/metric/consumer/BucketedRollingCounterStream.java</t>
        </is>
      </c>
      <c r="C445">
        <f>HYPERLINK("https://github.com/Netflix/Hystrix/blob/master/hystrix-core/src/main/java/com/netflix/hystrix/metric/consumer/BucketedRollingCounterStream.java")</f>
        <v/>
      </c>
      <c r="D445" t="inlineStr">
        <is>
          <t>The provided code defines a class `BucketedCounterStream` that extends `Observable&lt;HystrixEvent&gt;`. It implements a stream processing mechanism where events from an event source (`HystrixEventStream`) are processed in batches of a specified number of buckets (`numBuckets`). The class uses RxJava's `Observable` API to handle asynchronous data flow. The main functionality involves reducing the number of</t>
        </is>
      </c>
      <c r="E445" t="n">
        <v>0.0041</v>
      </c>
      <c r="F445" t="n">
        <v>0.0635</v>
      </c>
      <c r="G445" t="n">
        <v>0.08</v>
      </c>
      <c r="H445" t="inlineStr">
        <is>
          <t>Refines the bucketed counter stream to reduce the number of buckets at a time.</t>
        </is>
      </c>
      <c r="I445" t="n">
        <v>0</v>
      </c>
      <c r="J445" t="n">
        <v>0</v>
      </c>
      <c r="K445" t="n">
        <v>0</v>
      </c>
      <c r="L445" t="inlineStr">
        <is>
          <t>This class refines `BucketedCounterStream` to reduce the number of buckets processed at once, improving performance when dealing with large datasets. It uses RxJava to handle event streams and provides methods to subscribe to events and perform actions based on them. The implementation includes handling of Hystrix metrics and ensures that the stream can be refined dynamically as needed.</t>
        </is>
      </c>
      <c r="M445" t="n">
        <v>0.0037</v>
      </c>
      <c r="N445" t="n">
        <v>0.09089999999999999</v>
      </c>
      <c r="O445" t="n">
        <v>0.1538</v>
      </c>
    </row>
    <row r="446">
      <c r="A446" t="inlineStr">
        <is>
          <t>hystrix</t>
        </is>
      </c>
      <c r="B446" t="inlineStr">
        <is>
          <t>hystrix-core/src/main/java/com/netflix/hystrix/metric/consumer/BucketedCounterStream.java</t>
        </is>
      </c>
      <c r="C446">
        <f>HYPERLINK("https://github.com/Netflix/Hystrix/blob/master/hystrix-core/src/main/java/com/netflix/hystrix/metric/consumer/BucketedCounterStream.java")</f>
        <v/>
      </c>
      <c r="D446" t="inlineStr">
        <is>
          <t>The provided Java code defines a class `HystrixMetricsConsumer` within the package `com.netflix.hystrix.metric.consumer`. This class appears to be part of a system designed to consume metrics related to Hystrix circuit breakers. The key functionalities include:
1. **Event Stream Handling**: It uses RxJava's `BehaviorSubject` to manage a stream of Hystrix events. These</t>
        </is>
      </c>
      <c r="E446" t="n">
        <v>0.0037</v>
      </c>
      <c r="F446" t="n">
        <v>0.0635</v>
      </c>
      <c r="G446" t="n">
        <v>0.082</v>
      </c>
      <c r="H446" t="inlineStr">
        <is>
          <t>The code implements a backend software component that includes implementations of core algorithms using RxJava observables and subjects. The complexity is O(N) due to potential operations involving lists and arrays.</t>
        </is>
      </c>
      <c r="I446" t="n">
        <v>0.008800000000000001</v>
      </c>
      <c r="J446" t="n">
        <v>0.2051</v>
      </c>
      <c r="K446" t="n">
        <v>0.2451</v>
      </c>
      <c r="L446" t="inlineStr">
        <is>
          <t>This Java class provides a consumer implementation for Hystrix metrics using RxJava. It subscribes to event streams from `HystrixEventStream` and processes them through various operators to filter, aggregate, and emit events as observable sequences. The class uses BehaviorSubject to manage state and handle concurrent updates efficiently.</t>
        </is>
      </c>
      <c r="M446" t="n">
        <v>0.0048</v>
      </c>
      <c r="N446" t="n">
        <v>0.1111</v>
      </c>
      <c r="O446" t="n">
        <v>0.1695</v>
      </c>
    </row>
    <row r="447">
      <c r="A447" t="inlineStr">
        <is>
          <t>hystrix</t>
        </is>
      </c>
      <c r="B447" t="inlineStr">
        <is>
          <t>hystrix-core/src/main/java/com/netflix/hystrix/metric/consumer/BucketedCumulativeCounterStream.java</t>
        </is>
      </c>
      <c r="C447">
        <f>HYPERLINK("https://github.com/Netflix/Hystrix/blob/master/hystrix-core/src/main/java/com/netflix/hystrix/metric/consumer/BucketedCumulativeCounterStream.java")</f>
        <v/>
      </c>
      <c r="D447" t="inlineStr">
        <is>
          <t>The provided code defines a class `BucketedCounterStream` that extends another class `HystrixEventStream`. It uses RxJava to create an observable stream from Hystrix events, accumulating counters within buckets based on certain criteria. The implementation includes methods for processing these events and emitting them as a continuous stream. The code is part of a larger system designed to monitor and analyze Hystrix metrics</t>
        </is>
      </c>
      <c r="E447" t="n">
        <v>0.003</v>
      </c>
      <c r="F447" t="n">
        <v>0.058</v>
      </c>
      <c r="G447" t="n">
        <v>0.1128</v>
      </c>
      <c r="H447" t="inlineStr">
        <is>
          <t>Implements core algorithms for backend software components. Complexity is O(N).</t>
        </is>
      </c>
      <c r="I447" t="n">
        <v>0.0251</v>
      </c>
      <c r="J447" t="n">
        <v>0.2105</v>
      </c>
      <c r="K447" t="n">
        <v>0.3117</v>
      </c>
      <c r="L447" t="inlineStr">
        <is>
          <t>This class refines `BucketedCounterStream` to accumulate counters indefinitely within buckets, using RxJava's Observable to handle event streams and perform reduction operations. It processes Hystrix events and updates counters accordingly, maintaining high performance and scalability through efficient data handling.</t>
        </is>
      </c>
      <c r="M447" t="n">
        <v>0.0058</v>
      </c>
      <c r="N447" t="n">
        <v>0.0851</v>
      </c>
      <c r="O447" t="n">
        <v>0.1364</v>
      </c>
    </row>
    <row r="448">
      <c r="A448" t="inlineStr">
        <is>
          <t>hystrix</t>
        </is>
      </c>
      <c r="B448" t="inlineStr">
        <is>
          <t>hystrix-core/src/main/java/com/netflix/hystrix/metric/consumer/RollingThreadPoolEventCounterStream.java</t>
        </is>
      </c>
      <c r="C448">
        <f>HYPERLINK("https://github.com/Netflix/Hystrix/blob/master/hystrix-core/src/main/java/com/netflix/hystrix/metric/consumer/RollingThreadPoolEventCounterStream.java")</f>
        <v/>
      </c>
      <c r="D448" t="inlineStr">
        <is>
          <t>The provided code is part of a Hystrix library used for circuit breaker pattern implementation in Java applications. It includes classes that handle metrics related to thread pools within Hystrix commands. The `HystrixThreadPoolMetrics` class provides access to various metrics such as execution time, success rate, error count, etc., for each thread pool configured in the application. This information can be useful for monitoring</t>
        </is>
      </c>
      <c r="E448" t="n">
        <v>0.0029</v>
      </c>
      <c r="F448" t="n">
        <v>0.0282</v>
      </c>
      <c r="G448" t="n">
        <v>0.1111</v>
      </c>
      <c r="H448" t="inlineStr">
        <is>
          <t>Implements core algorithms for backend software components.</t>
        </is>
      </c>
      <c r="I448" t="n">
        <v>0.0341</v>
      </c>
      <c r="J448" t="n">
        <v>0.2667</v>
      </c>
      <c r="K448" t="n">
        <v>0.3235</v>
      </c>
      <c r="L448" t="inlineStr">
        <is>
          <t>The code provides a consumer component that processes Hystrix metrics related to thread pools, including command completions and pool statistics. It uses RxJava streams to handle real-time updates and integrates with Hystrix's metric collection framework. The implementation complexity is O(N), where N represents the number of events being processed, and it includes comments explaining the core algorithmic structure.</t>
        </is>
      </c>
      <c r="M448" t="n">
        <v>0.0037</v>
      </c>
      <c r="N448" t="n">
        <v>0.058</v>
      </c>
      <c r="O448" t="n">
        <v>0.1538</v>
      </c>
    </row>
    <row r="449">
      <c r="A449" t="inlineStr">
        <is>
          <t>hystrix</t>
        </is>
      </c>
      <c r="B449" t="inlineStr">
        <is>
          <t>hystrix-core/src/main/java/com/netflix/hystrix/metric/sample/HystrixUtilizationStream.java</t>
        </is>
      </c>
      <c r="C449">
        <f>HYPERLINK("https://github.com/Netflix/Hystrix/blob/master/hystrix-core/src/main/java/com/netflix/hystrix/metric/sample/HystrixUtilizationStream.java")</f>
        <v/>
      </c>
      <c r="D449" t="inlineStr">
        <is>
          <t>The provided Java code defines classes for sampling Hystrix metrics related to both commands and thread pools. It includes methods to retrieve dynamic configuration properties such as sample intervals, and it provides observable streams to monitor command and thread pool metrics. The code uses RxJava for asynchronous data handling.</t>
        </is>
      </c>
      <c r="E449" t="n">
        <v>0.0037</v>
      </c>
      <c r="F449" t="n">
        <v>0.0351</v>
      </c>
      <c r="G449" t="n">
        <v>0.08260000000000001</v>
      </c>
      <c r="H449" t="inlineStr">
        <is>
          <t>The repository contains backend software components implementing core algorithms. The complexity is O(N), indicating linear time complexity. The implementation includes Hystrix command metrics and thread pool metrics from Netflix's Hystrix library, along with RxJava observables and actions.</t>
        </is>
      </c>
      <c r="I449" t="n">
        <v>0.0066</v>
      </c>
      <c r="J449" t="n">
        <v>0.1702</v>
      </c>
      <c r="K449" t="n">
        <v>0.1835</v>
      </c>
      <c r="L449" t="inlineStr">
        <is>
          <t>The code implements a system that collects and reports metrics about Hystrix commands and thread pools using RxJava Observables. It uses dynamic configuration properties from Netflix Config to customize metric collection intervals. The `HystrixCommandMetrics` and `HystrixThreadPoolMetrics` classes provide access to command and pool-specific metrics, which are then emitted as Observable events. The implementation includes methods to register these metrics</t>
        </is>
      </c>
      <c r="M449" t="n">
        <v>0.0037</v>
      </c>
      <c r="N449" t="n">
        <v>0.0588</v>
      </c>
      <c r="O449" t="n">
        <v>0.1145</v>
      </c>
    </row>
    <row r="450">
      <c r="A450" t="inlineStr">
        <is>
          <t>hystrix</t>
        </is>
      </c>
      <c r="B450" t="inlineStr">
        <is>
          <t>hystrix-core/src/main/java/com/netflix/hystrix/metric/sample/HystrixCommandUtilization.java</t>
        </is>
      </c>
      <c r="C450">
        <f>HYPERLINK("https://github.com/Netflix/Hystrix/blob/master/hystrix-core/src/main/java/com/netflix/hystrix/metric/sample/HystrixCommandUtilization.java")</f>
        <v/>
      </c>
      <c r="D450" t="inlineStr">
        <is>
          <t>The `HystrixCommandUtilization` class calculates the utilization rate of concurrent Hystrix commands based on their metrics. It takes the total number of concurrent command counts as input and provides a method to calculate the utilization percentage from these metrics. The implementation uses the `HystrixCommandMetrics` class to gather necessary data about command execution.</t>
        </is>
      </c>
      <c r="E450" t="n">
        <v>0.0036</v>
      </c>
      <c r="F450" t="n">
        <v>0.0339</v>
      </c>
      <c r="G450" t="n">
        <v>0.122</v>
      </c>
      <c r="H450" t="inlineStr">
        <is>
          <t>This repository contains backend software components that implement core algorithms. The complexity of the implementation is O(N), indicating linear time complexity relative to the input size. The comments provide details about the implementation process, while the commits document the initial creation of the codebase. The total code size is 1000 lines.</t>
        </is>
      </c>
      <c r="I450" t="n">
        <v>0.0047</v>
      </c>
      <c r="J450" t="n">
        <v>0.1333</v>
      </c>
      <c r="K450" t="n">
        <v>0.1626</v>
      </c>
      <c r="L450" t="inlineStr">
        <is>
          <t>This utility class calculates the utilization rate of Hystrix commands based on their concurrency count. It takes the total number of concurrent command executions as input and provides a method to calculate the utilization percentage. The implementation uses `HystrixCommandMetrics` to gather metrics about command execution times and counts.</t>
        </is>
      </c>
      <c r="M450" t="n">
        <v>0.0045</v>
      </c>
      <c r="N450" t="n">
        <v>0.1071</v>
      </c>
      <c r="O450" t="n">
        <v>0.1667</v>
      </c>
    </row>
    <row r="451">
      <c r="A451" t="inlineStr">
        <is>
          <t>hystrix</t>
        </is>
      </c>
      <c r="B451" t="inlineStr">
        <is>
          <t>hystrix-core/src/main/java/com/netflix/hystrix/metric/sample/HystrixUtilization.java</t>
        </is>
      </c>
      <c r="C451">
        <f>HYPERLINK("https://github.com/Netflix/Hystrix/blob/master/hystrix-core/src/main/java/com/netflix/hystrix/metric/sample/HystrixUtilization.java")</f>
        <v/>
      </c>
      <c r="D451" t="inlineStr">
        <is>
          <t>The provided Java code defines utility classes `HystrixCommandUtilization` and `HystrixThreadPoolUtilization`, which likely represent metrics related to Hystrix commands and threads used in a microservices architecture. The code includes comments explaining its purpose and licensing information. It uses maps to store utilization data for different Hystrix command keys and thread pool keys. The complexity is O(N), indicating</t>
        </is>
      </c>
      <c r="E451" t="n">
        <v>0.0033</v>
      </c>
      <c r="F451" t="n">
        <v>0.0308</v>
      </c>
      <c r="G451" t="n">
        <v>0.0781</v>
      </c>
      <c r="H451" t="inlineStr">
        <is>
          <t>This repository contains backend software components that implement core algorithms using Java. The complexity of these implementations is O(N), indicating linear time complexity. The code size is 1000 lines, which suggests it includes multiple classes and methods related to various functionalities within the system.</t>
        </is>
      </c>
      <c r="I451" t="n">
        <v>0.0059</v>
      </c>
      <c r="J451" t="n">
        <v>0.1887</v>
      </c>
      <c r="K451" t="n">
        <v>0.2586</v>
      </c>
      <c r="L451" t="inlineStr">
        <is>
          <t>The `HystrixUtilization` class provides utilities for tracking and reporting utilization metrics related to both commands and threads within the Netflix Hystrix framework. It maintains maps that store instances of `HystrixCommandUtilization` and `HystrixThreadPoolUtilization`, allowing for efficient retrieval and aggregation of performance data across different command keys and thread pool keys. The class facilitates monitoring and analysis of</t>
        </is>
      </c>
      <c r="M451" t="n">
        <v>0.0033</v>
      </c>
      <c r="N451" t="n">
        <v>0.0312</v>
      </c>
      <c r="O451" t="n">
        <v>0.0781</v>
      </c>
    </row>
    <row r="452">
      <c r="A452" t="inlineStr">
        <is>
          <t>hystrix</t>
        </is>
      </c>
      <c r="B452" t="inlineStr">
        <is>
          <t>hystrix-core/src/main/java/com/netflix/hystrix/metric/sample/HystrixThreadPoolUtilization.java</t>
        </is>
      </c>
      <c r="C452">
        <f>HYPERLINK("https://github.com/Netflix/Hystrix/blob/master/hystrix-core/src/main/java/com/netflix/hystrix/metric/sample/HystrixThreadPoolUtilization.java")</f>
        <v/>
      </c>
      <c r="D452" t="inlineStr">
        <is>
          <t>The `HystrixThreadPoolUtilization` class provides metrics about the utilization of a thread pool used by Hystrix, including the number of active threads, core pool size, total pool size, and queue size. This information can be useful for monitoring and tuning the performance of Hystrix-based applications.</t>
        </is>
      </c>
      <c r="E452" t="n">
        <v>0.0055</v>
      </c>
      <c r="F452" t="n">
        <v>0.0755</v>
      </c>
      <c r="G452" t="n">
        <v>0.1724</v>
      </c>
      <c r="H452" t="inlineStr">
        <is>
          <t>The repository contains backend software components that implement core algorithms. The complexity of these implementations is O(N), indicating linear time complexity. The code size is 1000 lines, suggesting it includes multiple classes and methods.</t>
        </is>
      </c>
      <c r="I452" t="n">
        <v>0.0072</v>
      </c>
      <c r="J452" t="n">
        <v>0.186</v>
      </c>
      <c r="K452" t="n">
        <v>0.1887</v>
      </c>
      <c r="L452" t="inlineStr">
        <is>
          <t>The `HystrixThreadPoolUtilization` class provides metrics about the utilization of a thread pool used by Hystrix, including active threads, core pool size, total pool size, and queue size. It encapsulates these values as fields and can be instantiated with data from `HystrixThreadPoolMetrics`. The class serves as a utility for monitoring and reporting on the performance characteristics of Hystrix</t>
        </is>
      </c>
      <c r="M452" t="n">
        <v>0.0038</v>
      </c>
      <c r="N452" t="n">
        <v>0.0615</v>
      </c>
      <c r="O452" t="n">
        <v>0.1163</v>
      </c>
    </row>
    <row r="453">
      <c r="A453" t="inlineStr">
        <is>
          <t>hystrix</t>
        </is>
      </c>
      <c r="B453" t="inlineStr">
        <is>
          <t>hystrix-core/src/main/java/com/netflix/hystrix/config/HystrixThreadPoolConfiguration.java</t>
        </is>
      </c>
      <c r="C453">
        <f>HYPERLINK("https://github.com/Netflix/Hystrix/blob/master/hystrix-core/src/main/java/com/netflix/hystrix/config/HystrixThreadPoolConfiguration.java")</f>
        <v/>
      </c>
      <c r="D453" t="inlineStr">
        <is>
          <t>The `HystrixThreadPoolConfiguration` class provides configuration settings for a thread pool used in the Netflix Hystrix library. It includes properties such as the thread pool key, core size, maximum size, actual maximum size, and maximum queue size. This class is part of the Hystrix library's configuration management system, allowing developers to customize how threads are managed within the application. The complexity of</t>
        </is>
      </c>
      <c r="E453" t="n">
        <v>0.0039</v>
      </c>
      <c r="F453" t="n">
        <v>0.0571</v>
      </c>
      <c r="G453" t="n">
        <v>0.1504</v>
      </c>
      <c r="H453" t="inlineStr">
        <is>
          <t>Manages configuration settings for Hystrix thread pools, including core size, maximum size, queue size, etc.</t>
        </is>
      </c>
      <c r="I453" t="n">
        <v>0.0132</v>
      </c>
      <c r="J453" t="n">
        <v>0.08699999999999999</v>
      </c>
      <c r="K453" t="n">
        <v>0.0575</v>
      </c>
      <c r="L453" t="inlineStr">
        <is>
          <t>The `HystrixThreadPoolConfiguration` class manages configuration settings for Hystrix thread pools used in microservices architectures. It includes properties such as core size, maximum size, actual maximum size, and queue size, which determine how threads are managed within each pool. The class provides methods to retrieve these configurations, allowing developers to customize thread pool behavior according to application needs.</t>
        </is>
      </c>
      <c r="M453" t="n">
        <v>0.0038</v>
      </c>
      <c r="N453" t="n">
        <v>0.0615</v>
      </c>
      <c r="O453" t="n">
        <v>0.1163</v>
      </c>
    </row>
    <row r="454">
      <c r="A454" t="inlineStr">
        <is>
          <t>hystrix</t>
        </is>
      </c>
      <c r="B454" t="inlineStr">
        <is>
          <t>hystrix-core/src/main/java/com/netflix/hystrix/config/HystrixCollapserConfiguration.java</t>
        </is>
      </c>
      <c r="C454">
        <f>HYPERLINK("https://github.com/Netflix/Hystrix/blob/master/hystrix-core/src/main/java/com/netflix/hystrix/config/HystrixCollapserConfiguration.java")</f>
        <v/>
      </c>
      <c r="D454" t="inlineStr">
        <is>
          <t>The `HystrixCollapserConfiguration` class in the `com.netflix.hystrix.config` package defines configuration settings for Hystrix collapsers, which group multiple requests into a single batch to reduce network overhead. The class includes properties such as the key for the collapser, the maximum number of requests allowed per batch, the delay before sending the batched request, whether</t>
        </is>
      </c>
      <c r="E454" t="n">
        <v>0</v>
      </c>
      <c r="F454" t="n">
        <v>0</v>
      </c>
      <c r="G454" t="n">
        <v>0</v>
      </c>
      <c r="H454" t="inlineStr">
        <is>
          <t>This repository contains backend software components that implement core algorithms. The complexity of the implementation is O(N), indicating linear time complexity.</t>
        </is>
      </c>
      <c r="I454" t="n">
        <v>0.012</v>
      </c>
      <c r="J454" t="n">
        <v>0.2667</v>
      </c>
      <c r="K454" t="n">
        <v>0.2151</v>
      </c>
      <c r="L454" t="inlineStr">
        <is>
          <t>The `HystrixCollapserConfiguration` class manages configuration settings for Hystrix's batch execution strategy, allowing developers to define how requests should be grouped into batches and when they should be executed. It includes properties such as the maximum number of requests per batch, the delay before executing the batch, whether request caching is enabled, and other relevant configurations. The class provides methods to set these</t>
        </is>
      </c>
      <c r="M454" t="n">
        <v>0.0029</v>
      </c>
      <c r="N454" t="n">
        <v>0.0282</v>
      </c>
      <c r="O454" t="n">
        <v>0.0373</v>
      </c>
    </row>
    <row r="455">
      <c r="A455" t="inlineStr">
        <is>
          <t>hystrix</t>
        </is>
      </c>
      <c r="B455" t="inlineStr">
        <is>
          <t>hystrix-core/src/main/java/com/netflix/hystrix/config/HystrixConfigurationStream.java</t>
        </is>
      </c>
      <c r="C455">
        <f>HYPERLINK("https://github.com/Netflix/Hystrix/blob/master/hystrix-core/src/main/java/com/netflix/hystrix/config/HystrixConfigurationStream.java")</f>
        <v/>
      </c>
      <c r="D455" t="inlineStr">
        <is>
          <t>The provided Java code defines configuration properties for Hystrix collapsers using Spring Cloud Config. It includes dynamic integer properties for various Hystrix collapser metrics such as maxRequestsInBatch, requestVolumeThreshold, timeWindowInMilliseconds, and maxRequestsPerSecond. These configurations allow fine-tuning of how requests are batched together when making multiple calls to external services within a short period.</t>
        </is>
      </c>
      <c r="E455" t="n">
        <v>0.0035</v>
      </c>
      <c r="F455" t="n">
        <v>0.0328</v>
      </c>
      <c r="G455" t="n">
        <v>0.0806</v>
      </c>
      <c r="H455" t="inlineStr">
        <is>
          <t>This repository contains backend software components that implement core algorithms. The complexity is O(N), indicating linear time complexity in relation to input size. The implementation includes various Hystrix-related classes such as `HystrixCollapserKey`, `HystrixCollapserMetrics`, `HystrixCollapserProperties`, `HystrixCommandGroupKey`, and `Hyst</t>
        </is>
      </c>
      <c r="I455" t="n">
        <v>0.0071</v>
      </c>
      <c r="J455" t="n">
        <v>0.2128</v>
      </c>
      <c r="K455" t="n">
        <v>0.2294</v>
      </c>
      <c r="L455" t="inlineStr">
        <is>
          <t>This Java class provides configuration properties for Hystrix collapsers, which aggregate multiple requests into a single request to reduce network overhead. It uses `DynamicPropertyFactory` to manage dynamic integer properties related to collapsing behavior such as maximum concurrent executions and time window duration. The class includes methods to retrieve these properties using keys like `MAX_CONCURRENT_EXECUTIONS`, `TIME_WINDOW_IN_MILLISECONDS`, etc</t>
        </is>
      </c>
      <c r="M455" t="n">
        <v>0.0039</v>
      </c>
      <c r="N455" t="n">
        <v>0.058</v>
      </c>
      <c r="O455" t="n">
        <v>0.1172</v>
      </c>
    </row>
    <row r="456">
      <c r="A456" t="inlineStr">
        <is>
          <t>hystrix</t>
        </is>
      </c>
      <c r="B456" t="inlineStr">
        <is>
          <t>hystrix-core/src/main/java/com/netflix/hystrix/config/HystrixConfiguration.java</t>
        </is>
      </c>
      <c r="C456">
        <f>HYPERLINK("https://github.com/Netflix/Hystrix/blob/master/hystrix-core/src/main/java/com/netflix/hystrix/config/HystrixConfiguration.java")</f>
        <v/>
      </c>
      <c r="D456" t="inlineStr">
        <is>
          <t>The provided Java code defines a configuration class `HystrixConfiguration` that manages configurations for both commands and thread pools used in the Netflix Hystrix library. It includes maps to store configurations for different types of keys (`HystrixCommandKey`, `HystrixThreadPoolKey`) and provides methods to access these configurations. The comments indicate that it implements core algorithms related to Hystrix's circuit</t>
        </is>
      </c>
      <c r="E456" t="n">
        <v>0.0076</v>
      </c>
      <c r="F456" t="n">
        <v>0.0615</v>
      </c>
      <c r="G456" t="n">
        <v>0.2466</v>
      </c>
      <c r="H456" t="inlineStr">
        <is>
          <t>Manages configuration settings for Hystrix commands and thread pools. Complexity is O(N) due to potential large maps of configurations. Comments describe implementation details. Initial codebase commit. Total size of the codebase is 1000 lines.</t>
        </is>
      </c>
      <c r="I456" t="n">
        <v>0.0055</v>
      </c>
      <c r="J456" t="n">
        <v>0.0465</v>
      </c>
      <c r="K456" t="n">
        <v>0.1415</v>
      </c>
      <c r="L456" t="inlineStr">
        <is>
          <t>The `HystrixConfiguration` class manages configuration settings for both commands and thread pools within the Netflix Hystrix framework. It uses maps to store configurations associated with different keys (`HystrixCommandKey` and `HystrixThreadPoolKey`). The class provides methods to retrieve these configurations based on their respective keys, facilitating dynamic management of Hystrix's circuit breaker and execution policies across various services</t>
        </is>
      </c>
      <c r="M456" t="n">
        <v>0.0033</v>
      </c>
      <c r="N456" t="n">
        <v>0.0308</v>
      </c>
      <c r="O456" t="n">
        <v>0.0781</v>
      </c>
    </row>
    <row r="457">
      <c r="A457" t="inlineStr">
        <is>
          <t>hystrix</t>
        </is>
      </c>
      <c r="B457" t="inlineStr">
        <is>
          <t>hystrix-core/src/main/java/com/netflix/hystrix/config/HystrixCommandConfiguration.java</t>
        </is>
      </c>
      <c r="C457">
        <f>HYPERLINK("https://github.com/Netflix/Hystrix/blob/master/hystrix-core/src/main/java/com/netflix/hystrix/config/HystrixCommandConfiguration.java")</f>
        <v/>
      </c>
      <c r="D457" t="inlineStr">
        <is>
          <t>The provided Java code defines a configuration class `HystrixCommandConfiguration` within the package `com.netflix.hystrix.config`. This class appears to encapsulate properties related to Hystrix commands, which are used in microservices architecture to handle failures gracefully using circuit breakers and fallback mechanisms. The class includes fields for command group keys (`HystrixCommandGroupKey`), command keys (`H</t>
        </is>
      </c>
      <c r="E457" t="n">
        <v>0.0043</v>
      </c>
      <c r="F457" t="n">
        <v>0.0645</v>
      </c>
      <c r="G457" t="n">
        <v>0.122</v>
      </c>
      <c r="H457" t="inlineStr">
        <is>
          <t>Manages configuration settings for Hystrix commands within a Netflix environment.</t>
        </is>
      </c>
      <c r="I457" t="n">
        <v>0</v>
      </c>
      <c r="J457" t="n">
        <v>0</v>
      </c>
      <c r="K457" t="n">
        <v>0</v>
      </c>
      <c r="L457" t="inlineStr">
        <is>
          <t>This Java class `HystrixCommandConfiguration` provides configuration settings for Hystrix commands, including command groups, keys, properties, and thread pools. It serves as a central point for managing these configurations, allowing them to be easily serialized and stored off-box for future reference. The class includes fields for different types of Hystrix entities such as command group, command, property, and thread pool</t>
        </is>
      </c>
      <c r="M457" t="n">
        <v>0.0037</v>
      </c>
      <c r="N457" t="n">
        <v>0.0588</v>
      </c>
      <c r="O457" t="n">
        <v>0.07630000000000001</v>
      </c>
    </row>
    <row r="458">
      <c r="A458" t="inlineStr">
        <is>
          <t>hystrix</t>
        </is>
      </c>
      <c r="B458" t="inlineStr">
        <is>
          <t>hystrix-core/src/main/java/com/netflix/hystrix/strategy/package-info.java</t>
        </is>
      </c>
      <c r="C458">
        <f>HYPERLINK("https://github.com/Netflix/Hystrix/blob/master/hystrix-core/src/main/java/com/netflix/hystrix/strategy/package-info.java")</f>
        <v/>
      </c>
      <c r="D458" t="inlineStr">
        <is>
          <t>The provided code defines a parent package named `com.netflix.hystrix.strategy` which serves as the base for various strategies and plugins used in Hystrix, a library designed for handling failures and retries in microservices architectures. The package includes comments explaining its purpose and usage since version 1.0.0. The complexity of the implementation is O(N), indicating that it involves processing N elements or</t>
        </is>
      </c>
      <c r="E458" t="n">
        <v>0.003</v>
      </c>
      <c r="F458" t="n">
        <v>0.027</v>
      </c>
      <c r="G458" t="n">
        <v>0.1136</v>
      </c>
      <c r="H458" t="inlineStr">
        <is>
          <t>Manages strategies and plugins for Hystrix, implementing core algorithms.</t>
        </is>
      </c>
      <c r="I458" t="n">
        <v>0.0285</v>
      </c>
      <c r="J458" t="n">
        <v>0.2353</v>
      </c>
      <c r="K458" t="n">
        <v>0.3155</v>
      </c>
      <c r="L458" t="inlineStr">
        <is>
          <t>This Java package contains strategies and plugins for managing Hystrix, Netflix's circuit breaker library used for handling failures gracefully in microservices architectures. The package provides various implementations and configurations that allow developers to customize how Hystrix behaves in different scenarios.</t>
        </is>
      </c>
      <c r="M458" t="n">
        <v>0.0055</v>
      </c>
      <c r="N458" t="n">
        <v>0.1224</v>
      </c>
      <c r="O458" t="n">
        <v>0.1786</v>
      </c>
    </row>
    <row r="459">
      <c r="A459" t="inlineStr">
        <is>
          <t>hystrix</t>
        </is>
      </c>
      <c r="B459" t="inlineStr">
        <is>
          <t>hystrix-core/src/main/java/com/netflix/hystrix/strategy/HystrixPlugins.java</t>
        </is>
      </c>
      <c r="C459">
        <f>HYPERLINK("https://github.com/Netflix/Hystrix/blob/master/hystrix-core/src/main/java/com/netflix/hystrix/strategy/HystrixPlugins.java")</f>
        <v/>
      </c>
      <c r="D459" t="inlineStr">
        <is>
          <t>The code defines a strategy pattern implementation for managing concurrency in Hystrix, a library used for building resilient microservices. It uses Java's ServiceLoader to load different implementations of `HystrixConcurrencyStrategy`, which allows for pluggable strategies for handling thread execution within Hystrix commands. The default strategy is `HystrixConcurrencyStrategyDefault`.</t>
        </is>
      </c>
      <c r="E459" t="n">
        <v>0</v>
      </c>
      <c r="F459" t="n">
        <v>0.0364</v>
      </c>
      <c r="G459" t="n">
        <v>0.0847</v>
      </c>
      <c r="H459" t="inlineStr">
        <is>
          <t>The code implements a service loader mechanism for concurrency strategies in Hystrix, which is part of a larger library designed to handle circuit breakers and fallbacks in microservices architecture. The complexity is high due to its extensive configuration options and integration points within the Hystrix framework. The comments describe the implementation of core algorithms related to concurrency management.</t>
        </is>
      </c>
      <c r="I459" t="n">
        <v>0.0041</v>
      </c>
      <c r="J459" t="n">
        <v>0.0606</v>
      </c>
      <c r="K459" t="n">
        <v>0.1538</v>
      </c>
      <c r="L459" t="inlineStr">
        <is>
          <t>This Java code defines a strategy pattern implementation for managing concurrency within the Hystrix library, which is used for building resilient microservices. The `HystrixConcurrencyStrategy` interface allows developers to customize how threads are managed during execution, such as using different thread pools or custom executors. The code uses Java's Service Provider Interface (SPI) to load implementations of `HystrixConcurrencyStrategy`,</t>
        </is>
      </c>
      <c r="M459" t="n">
        <v>0.0032</v>
      </c>
      <c r="N459" t="n">
        <v>0.0606</v>
      </c>
      <c r="O459" t="n">
        <v>0.1163</v>
      </c>
    </row>
    <row r="460">
      <c r="A460" t="inlineStr">
        <is>
          <t>hystrix</t>
        </is>
      </c>
      <c r="B460" t="inlineStr">
        <is>
          <t>hystrix-core/src/main/java/com/netflix/hystrix/strategy/HystrixArchaiusHelper.java</t>
        </is>
      </c>
      <c r="C460">
        <f>HYPERLINK("https://github.com/Netflix/Hystrix/blob/master/hystrix-core/src/main/java/com/netflix/hystrix/strategy/HystrixArchaiusHelper.java")</f>
        <v/>
      </c>
      <c r="D460" t="inlineStr">
        <is>
          <t>The `HystrixArchaiusHelper` class provides helper methods for interacting with Archaius properties in the context of Hystrix, a library used for circuit breaking and fallback mechanisms in microservices architecture. The class includes methods for dynamically retrieving property values from Archaius using reflection. This allows developers to access configuration settings related to Hystrix without directly depending on Archaius itself,</t>
        </is>
      </c>
      <c r="E460" t="n">
        <v>0.0038</v>
      </c>
      <c r="F460" t="n">
        <v>0.0308</v>
      </c>
      <c r="G460" t="n">
        <v>0.1163</v>
      </c>
      <c r="H460" t="inlineStr">
        <is>
          <t>The code provides helper methods for interacting with Archaius properties in the Netflix Hystrix framework. It includes reflection-based access to dynamic configuration settings, which can be useful for managing runtime configurations without modifying source code. The complexity is high due to the need to handle reflective operations and property retrieval, making it suitable for applications requiring flexible configuration management.</t>
        </is>
      </c>
      <c r="I460" t="n">
        <v>0.0031</v>
      </c>
      <c r="J460" t="n">
        <v>0.0294</v>
      </c>
      <c r="K460" t="n">
        <v>0.07630000000000001</v>
      </c>
      <c r="L460" t="inlineStr">
        <is>
          <t>The `HystrixArchaiusHelper` class provides utility methods to interact with Archaius properties related to Hystrix, allowing dynamic configuration changes without restarting the application. It includes methods to retrieve and set properties using reflection, which helps manage configurations efficiently during runtime. The class is designed to be used within the context of Hystrix's strategy implementation, ensuring flexibility and adaptability in handling</t>
        </is>
      </c>
      <c r="M460" t="n">
        <v>0.0031</v>
      </c>
      <c r="N460" t="n">
        <v>0.0588</v>
      </c>
      <c r="O460" t="n">
        <v>0.07630000000000001</v>
      </c>
    </row>
    <row r="461">
      <c r="A461" t="inlineStr">
        <is>
          <t>hystrix</t>
        </is>
      </c>
      <c r="B461" t="inlineStr">
        <is>
          <t>hystrix-core/src/main/java/com/netflix/hystrix/strategy/eventnotifier/HystrixEventNotifierDefault.java</t>
        </is>
      </c>
      <c r="C461">
        <f>HYPERLINK("https://github.com/Netflix/Hystrix/blob/master/hystrix-core/src/main/java/com/netflix/hystrix/strategy/eventnotifier/HystrixEventNotifierDefault.java")</f>
        <v/>
      </c>
      <c r="D461" t="inlineStr">
        <is>
          <t>The provided Java code defines a default implementation of `HystrixEventNotifier`, which is part of a library used for handling circuit breakers and fallbacks in microservices architectures. This default implementation does not perform any actions when events occur, effectively disabling event notifications. The class is marked as deprecated and excluded from Javadoc documentation. It provides a singleton instance of itself, ensuring only one instance of the</t>
        </is>
      </c>
      <c r="E461" t="n">
        <v>0.0033</v>
      </c>
      <c r="F461" t="n">
        <v>0.0822</v>
      </c>
      <c r="G461" t="n">
        <v>0.1825</v>
      </c>
      <c r="H461" t="inlineStr">
        <is>
          <t>The code provides default implementations of `HystrixEventNotifier` that do nothing, suitable for environments where event notifications are not necessary. It includes comments explaining its purpose and usage. The complexity is high due to the implementation of multiple methods, while the code size indicates it handles significant logic within these methods.</t>
        </is>
      </c>
      <c r="I461" t="n">
        <v>0.0037</v>
      </c>
      <c r="J461" t="n">
        <v>0.1034</v>
      </c>
      <c r="K461" t="n">
        <v>0.082</v>
      </c>
      <c r="L461" t="inlineStr">
        <is>
          <t>The `HystrixEventNotifierDefault` class provides default implementations of the `HystrixEventNotifier` interface, which allows developers to handle events related to Hystrix circuit breakers and commands without any action taken. It serves as a placeholder when no custom event handling is needed. The class uses a singleton pattern to ensure only one instance exists throughout the application.</t>
        </is>
      </c>
      <c r="M461" t="n">
        <v>0.0034</v>
      </c>
      <c r="N461" t="n">
        <v>0.0645</v>
      </c>
      <c r="O461" t="n">
        <v>0.119</v>
      </c>
    </row>
    <row r="462">
      <c r="A462" t="inlineStr">
        <is>
          <t>hystrix</t>
        </is>
      </c>
      <c r="B462" t="inlineStr">
        <is>
          <t>hystrix-core/src/main/java/com/netflix/hystrix/strategy/eventnotifier/package-info.java</t>
        </is>
      </c>
      <c r="C462">
        <f>HYPERLINK("https://github.com/Netflix/Hystrix/blob/master/hystrix-core/src/main/java/com/netflix/hystrix/strategy/eventnotifier/package-info.java")</f>
        <v/>
      </c>
      <c r="D462" t="inlineStr">
        <is>
          <t>The provided code defines a strategy interface for handling event notifications in Hystrix, which is part of Netflix's service mesh framework. The interface allows developers to customize how events related to circuit breakers, timeouts, failures, etc., are handled within the system. This abstraction helps in decoupling the logic that processes these events from the rest of the application, making it easier to manage and extend.</t>
        </is>
      </c>
      <c r="E462" t="n">
        <v>0.0033</v>
      </c>
      <c r="F462" t="n">
        <v>0.0541</v>
      </c>
      <c r="G462" t="n">
        <v>0.1095</v>
      </c>
      <c r="H462" t="inlineStr">
        <is>
          <t>This repository contains backend software components that implement core algorithms. The complexity of these implementations is O(N), indicating linear time complexity. The code size is 724 lines.</t>
        </is>
      </c>
      <c r="I462" t="n">
        <v>0.0092</v>
      </c>
      <c r="J462" t="n">
        <v>0.2222</v>
      </c>
      <c r="K462" t="n">
        <v>0.202</v>
      </c>
      <c r="L462" t="inlineStr">
        <is>
          <t>The provided code defines a strategy interface for handling event notifications within the Hystrix framework. It includes comments explaining the license and versioning details, as well as documentation for the `EventNotifier` class, which serves as a base interface for implementing custom event notification strategies. The code size is 724 lines, indicating that it likely handles various aspects of event management within the Hystrix system</t>
        </is>
      </c>
      <c r="M462" t="n">
        <v>0.0028</v>
      </c>
      <c r="N462" t="n">
        <v>0.0278</v>
      </c>
      <c r="O462" t="n">
        <v>0.0735</v>
      </c>
    </row>
    <row r="463">
      <c r="A463" t="inlineStr">
        <is>
          <t>hystrix</t>
        </is>
      </c>
      <c r="B463" t="inlineStr">
        <is>
          <t>hystrix-core/src/main/java/com/netflix/hystrix/strategy/eventnotifier/HystrixEventNotifier.java</t>
        </is>
      </c>
      <c r="C463">
        <f>HYPERLINK("https://github.com/Netflix/Hystrix/blob/master/hystrix-core/src/main/java/com/netflix/hystrix/strategy/eventnotifier/HystrixEventNotifier.java")</f>
        <v/>
      </c>
      <c r="D463" t="inlineStr">
        <is>
          <t>The provided code defines an abstract class `HystrixEventNotifier` within the package `com.netflix.hystrix.strategy.eventnotifier`. This class serves as a base for implementing event notification strategies in Hystrix, which is a library used for building resilient microservices architectures. The class includes methods for registering listeners to receive notifications about various Hystrix command execution events such as success, failure,</t>
        </is>
      </c>
      <c r="E463" t="n">
        <v>0.0033</v>
      </c>
      <c r="F463" t="n">
        <v>0.0597</v>
      </c>
      <c r="G463" t="n">
        <v>0.1181</v>
      </c>
      <c r="H463" t="inlineStr">
        <is>
          <t>Implements core algorithms for backend software components. Complexity is O(N).</t>
        </is>
      </c>
      <c r="I463" t="n">
        <v>0.0251</v>
      </c>
      <c r="J463" t="n">
        <v>0.2105</v>
      </c>
      <c r="K463" t="n">
        <v>0.3117</v>
      </c>
      <c r="L463" t="inlineStr">
        <is>
          <t>This abstract class serves as a base for event notification strategies in Hystrix, providing methods to register listeners for various command execution events such as success, failure, timeout, and circuit breaker state changes. It uses Java's `List` interface to manage these listeners and ensures thread safety through synchronization mechanisms. The class also includes static methods to retrieve instances of registered listeners based on their type and name.</t>
        </is>
      </c>
      <c r="M463" t="n">
        <v>0.0032</v>
      </c>
      <c r="N463" t="n">
        <v>0.0526</v>
      </c>
      <c r="O463" t="n">
        <v>0.1079</v>
      </c>
    </row>
    <row r="464">
      <c r="A464" t="inlineStr">
        <is>
          <t>hystrix</t>
        </is>
      </c>
      <c r="B464" t="inlineStr">
        <is>
          <t>hystrix-core/src/main/java/com/netflix/hystrix/strategy/properties/HystrixPropertiesCommandDefault.java</t>
        </is>
      </c>
      <c r="C464">
        <f>HYPERLINK("https://github.com/Netflix/Hystrix/blob/master/hystrix-core/src/main/java/com/netflix/hystrix/strategy/properties/HystrixPropertiesCommandDefault.java")</f>
        <v/>
      </c>
      <c r="D464" t="inlineStr">
        <is>
          <t>The provided Java code defines a default implementation of `HystrixCommandProperties` from the Netflix Hystrix library, which uses Archaius as its configuration management framework. This implementation allows dynamic properties to be set for individual commands within the Hystrix circuit breaker system, enabling fine-grained control over command behavior such as timeouts, retries, fallbacks, etc. The code includes comments explaining its</t>
        </is>
      </c>
      <c r="E464" t="n">
        <v>0.0031</v>
      </c>
      <c r="F464" t="n">
        <v>0.0597</v>
      </c>
      <c r="G464" t="n">
        <v>0.1154</v>
      </c>
      <c r="H464" t="inlineStr">
        <is>
          <t>This repository contains backend software components that implement core algorithms. The complexity of these implementations is O(N), indicating linear time complexity relative to input size. The comments provide detailed explanations of each algorithm's purpose and functionality. The commits include an initial codebase commit, marking the beginning of development. The total code size is 1000 lines.</t>
        </is>
      </c>
      <c r="I464" t="n">
        <v>0.0047</v>
      </c>
      <c r="J464" t="n">
        <v>0.1538</v>
      </c>
      <c r="K464" t="n">
        <v>0.1969</v>
      </c>
      <c r="L464" t="inlineStr">
        <is>
          <t>This Java class implements `HystrixCommandProperties` using Archaius, providing default configurations for Hystrix commands. It allows dynamic property management through Archaius, enabling flexibility in command settings without modifying the codebase. The class is part of a larger system designed to handle circuit breakers and fallbacks in microservices architecture.</t>
        </is>
      </c>
      <c r="M464" t="n">
        <v>0.0051</v>
      </c>
      <c r="N464" t="n">
        <v>0.1091</v>
      </c>
      <c r="O464" t="n">
        <v>0.1681</v>
      </c>
    </row>
    <row r="465">
      <c r="A465" t="inlineStr">
        <is>
          <t>hystrix</t>
        </is>
      </c>
      <c r="B465" t="inlineStr">
        <is>
          <t>hystrix-core/src/main/java/com/netflix/hystrix/strategy/properties/HystrixPropertiesChainedArchaiusProperty.java</t>
        </is>
      </c>
      <c r="C465">
        <f>HYPERLINK("https://github.com/Netflix/Hystrix/blob/master/hystrix-core/src/main/java/com/netflix/hystrix/strategy/properties/HystrixPropertiesChainedArchaiusProperty.java")</f>
        <v/>
      </c>
      <c r="D465" t="inlineStr">
        <is>
          <t>The provided Java code defines a class `ChainedProperty` within the package `com.netflix.hystrix.strategy.properties`. This class implements a chained property system that leverages Archaius configuration management library to allow multiple levels of fallback values for properties. It uses atomic references to ensure thread-safe updates and logging for debugging purposes. The class provides methods to set and retrieve properties, handling cases where no value</t>
        </is>
      </c>
      <c r="E465" t="n">
        <v>0.0039</v>
      </c>
      <c r="F465" t="n">
        <v>0.08110000000000001</v>
      </c>
      <c r="G465" t="n">
        <v>0.1504</v>
      </c>
      <c r="H465" t="inlineStr">
        <is>
          <t>This repository contains backend software components that implement core algorithms. The complexity of the implementation is O(N), indicating it scales linearly with input size. The comments provide detailed explanations of the algorithm's logic, while the commits document the initial creation of the codebase. The total code size is 1000 lines.</t>
        </is>
      </c>
      <c r="I465" t="n">
        <v>0.0048</v>
      </c>
      <c r="J465" t="n">
        <v>0.1667</v>
      </c>
      <c r="K465" t="n">
        <v>0.1639</v>
      </c>
      <c r="L465" t="inlineStr">
        <is>
          <t>This Java class manages chained Hystrix properties using Archaius, providing a flexible way to define default values that can be overridden by configuration files or environment variables. It uses atomic references to ensure thread safety when updating property values. The class includes logging for debugging purposes and supports chaining multiple properties together.</t>
        </is>
      </c>
      <c r="M465" t="n">
        <v>0.0042</v>
      </c>
      <c r="N465" t="n">
        <v>0.0667</v>
      </c>
      <c r="O465" t="n">
        <v>0.121</v>
      </c>
    </row>
    <row r="466">
      <c r="A466" t="inlineStr">
        <is>
          <t>hystrix</t>
        </is>
      </c>
      <c r="B466" t="inlineStr">
        <is>
          <t>hystrix-core/src/main/java/com/netflix/hystrix/strategy/properties/package-info.java</t>
        </is>
      </c>
      <c r="C466">
        <f>HYPERLINK("https://github.com/Netflix/Hystrix/blob/master/hystrix-core/src/main/java/com/netflix/hystrix/strategy/properties/package-info.java")</f>
        <v/>
      </c>
      <c r="D466" t="inlineStr">
        <is>
          <t>The code defines a strategy for managing properties and configurations within the Hystrix library, providing both a base interface and a default implementation. It includes comments explaining its purpose and usage, as well as metadata about the license and version information. The complexity of the code is O(N), indicating that it involves operations proportional to the size of input data.</t>
        </is>
      </c>
      <c r="E466" t="n">
        <v>0.003</v>
      </c>
      <c r="F466" t="n">
        <v>0.058</v>
      </c>
      <c r="G466" t="n">
        <v>0.0379</v>
      </c>
      <c r="H466" t="inlineStr">
        <is>
          <t>This repository contains backend software components that implement core algorithms. The complexity is O(N), indicating linear time operations.</t>
        </is>
      </c>
      <c r="I466" t="n">
        <v>0.0142</v>
      </c>
      <c r="J466" t="n">
        <v>0.2963</v>
      </c>
      <c r="K466" t="n">
        <v>0.3507</v>
      </c>
      <c r="L466" t="inlineStr">
        <is>
          <t>This Java package defines strategies for managing properties and configurations within Hystrix, providing a default implementation that can be customized as needed. The class `PropertiesStrategy` serves as the base strategy interface, while concrete implementations handle various property management tasks such as reading from environment variables, system properties, or custom sources. The package includes utilities for dynamically updating properties based on runtime conditions, ensuring flexibility and adaptability in</t>
        </is>
      </c>
      <c r="M466" t="n">
        <v>0.0032</v>
      </c>
      <c r="N466" t="n">
        <v>0.08</v>
      </c>
      <c r="O466" t="n">
        <v>0.1079</v>
      </c>
    </row>
    <row r="467">
      <c r="A467" t="inlineStr">
        <is>
          <t>hystrix</t>
        </is>
      </c>
      <c r="B467" t="inlineStr">
        <is>
          <t>hystrix-core/src/main/java/com/netflix/hystrix/strategy/properties/HystrixPropertiesCollapserDefault.java</t>
        </is>
      </c>
      <c r="C467">
        <f>HYPERLINK("https://github.com/Netflix/Hystrix/blob/master/hystrix-core/src/main/java/com/netflix/hystrix/strategy/properties/HystrixPropertiesCollapserDefault.java")</f>
        <v/>
      </c>
      <c r="D467" t="inlineStr">
        <is>
          <t>The provided Java code defines a default implementation of `HystrixCollapserProperties` from the Netflix Hystrix library, which uses Archaius as its configuration management framework. This class provides properties related to collapsing requests into fewer calls when multiple requests share similar parameters. The code includes comments explaining its purpose and usage within the context of Hystrix's request-caching mechanism.</t>
        </is>
      </c>
      <c r="E467" t="n">
        <v>0.0039</v>
      </c>
      <c r="F467" t="n">
        <v>0.0606</v>
      </c>
      <c r="G467" t="n">
        <v>0.1563</v>
      </c>
      <c r="H467" t="inlineStr">
        <is>
          <t>The repository contains backend software components that implement core algorithms. The complexity of these implementations is O(N), indicating linear time complexity relative to the input size. The code base has been initialized with the first commit.</t>
        </is>
      </c>
      <c r="I467" t="n">
        <v>0.0061</v>
      </c>
      <c r="J467" t="n">
        <v>0.1333</v>
      </c>
      <c r="K467" t="n">
        <v>0.1389</v>
      </c>
      <c r="L467" t="inlineStr">
        <is>
          <t>The `HystrixPropertiesCollapserDefault` class provides a default implementation of `HystrixCollapserProperties`, utilizing Archaius as the configuration management framework. It serves as the base class for configuring properties related to hystrix collapsers within the Netflix Hystrix library. The class includes methods to retrieve various properties such as batch size, delay, and execution timeout</t>
        </is>
      </c>
      <c r="M467" t="n">
        <v>0.0037</v>
      </c>
      <c r="N467" t="n">
        <v>0.06900000000000001</v>
      </c>
      <c r="O467" t="n">
        <v>0.082</v>
      </c>
    </row>
    <row r="468">
      <c r="A468" t="inlineStr">
        <is>
          <t>hystrix</t>
        </is>
      </c>
      <c r="B468" t="inlineStr">
        <is>
          <t>hystrix-core/src/main/java/com/netflix/hystrix/strategy/properties/HystrixPropertiesThreadPoolDefault.java</t>
        </is>
      </c>
      <c r="C468">
        <f>HYPERLINK("https://github.com/Netflix/Hystrix/blob/master/hystrix-core/src/main/java/com/netflix/hystrix/strategy/properties/HystrixPropertiesThreadPoolDefault.java")</f>
        <v/>
      </c>
      <c r="D468" t="inlineStr">
        <is>
          <t>The provided code defines a default implementation of `HystrixThreadPoolProperties` using Archaius as its configuration source. This implementation allows for dynamic property management of thread pools used in the Netflix Hystrix library. The class provides methods to configure various properties such as core pool size, maximum pool size, keep-alive time, queue capacity, etc., which can be adjusted based on application needs.</t>
        </is>
      </c>
      <c r="E468" t="n">
        <v>0.0036</v>
      </c>
      <c r="F468" t="n">
        <v>0.08699999999999999</v>
      </c>
      <c r="G468" t="n">
        <v>0.1515</v>
      </c>
      <c r="H468" t="inlineStr">
        <is>
          <t>The code implements default properties for Hystrix thread pools using Archaius, providing configuration options for thread pool behavior such as maximum queue size, core pool size, etc. The complexity is high due to its extensive configuration capabilities, while comments explain the purpose of each part of the code. The code base has been initialized with basic structure.</t>
        </is>
      </c>
      <c r="I468" t="n">
        <v>0.0038</v>
      </c>
      <c r="J468" t="n">
        <v>0.0615</v>
      </c>
      <c r="K468" t="n">
        <v>0.1163</v>
      </c>
      <c r="L468" t="inlineStr">
        <is>
          <t>This Java class implements `HystrixThreadPoolProperties` using Archaius, providing default configurations for thread pools used in Hystrix circuit breakers. It allows customization through properties managed by Archaius, ensuring flexibility and scalability in handling concurrent requests efficiently.</t>
        </is>
      </c>
      <c r="M468" t="n">
        <v>0.007</v>
      </c>
      <c r="N468" t="n">
        <v>0.1395</v>
      </c>
      <c r="O468" t="n">
        <v>0.1869</v>
      </c>
    </row>
    <row r="469">
      <c r="A469" t="inlineStr">
        <is>
          <t>hystrix</t>
        </is>
      </c>
      <c r="B469" t="inlineStr">
        <is>
          <t>hystrix-core/src/main/java/com/netflix/hystrix/strategy/properties/HystrixPropertiesFactory.java</t>
        </is>
      </c>
      <c r="C469">
        <f>HYPERLINK("https://github.com/Netflix/Hystrix/blob/master/hystrix-core/src/main/java/com/netflix/hystrix/strategy/properties/HystrixPropertiesFactory.java")</f>
        <v/>
      </c>
      <c r="D469" t="inlineStr">
        <is>
          <t>The provided Java code defines a package `com.netflix.hystrix.strategy.properties` that handles configuration properties for Hystrix commands and collapsers. It uses a ConcurrentHashMap to store these configurations efficiently. The class provides methods to retrieve and update properties based on command keys (`HystrixCommandKey`) and collapser keys (`HystrixCollapserKey`). This setup allows for dynamic</t>
        </is>
      </c>
      <c r="E469" t="n">
        <v>0.0045</v>
      </c>
      <c r="F469" t="n">
        <v>0.0328</v>
      </c>
      <c r="G469" t="n">
        <v>0.124</v>
      </c>
      <c r="H469" t="inlineStr">
        <is>
          <t>Manages Hystrix properties for command execution strategies.</t>
        </is>
      </c>
      <c r="I469" t="n">
        <v>0</v>
      </c>
      <c r="J469" t="n">
        <v>0</v>
      </c>
      <c r="K469" t="n">
        <v>0</v>
      </c>
      <c r="L469" t="inlineStr">
        <is>
          <t>This Java class provides properties configuration strategies for Hystrix commands, collapsers, and thread pools within the Netflix Hystrix framework. It uses `ConcurrentHashMap` to store and manage various property configurations based on command keys, allowing dynamic adjustment of circuit breaker settings, execution timeouts, and other behaviors during runtime. The implementation includes methods for setting up default properties and retrieving them based on different types</t>
        </is>
      </c>
      <c r="M469" t="n">
        <v>0.0034</v>
      </c>
      <c r="N469" t="n">
        <v>0.08450000000000001</v>
      </c>
      <c r="O469" t="n">
        <v>0.1481</v>
      </c>
    </row>
    <row r="470">
      <c r="A470" t="inlineStr">
        <is>
          <t>hystrix</t>
        </is>
      </c>
      <c r="B470" t="inlineStr">
        <is>
          <t>hystrix-core/src/main/java/com/netflix/hystrix/strategy/properties/HystrixDynamicProperty.java</t>
        </is>
      </c>
      <c r="C470">
        <f>HYPERLINK("https://github.com/Netflix/Hystrix/blob/master/hystrix-core/src/main/java/com/netflix/hystrix/strategy/properties/HystrixDynamicProperty.java")</f>
        <v/>
      </c>
      <c r="D470" t="inlineStr">
        <is>
          <t>The provided Java code defines an interface `HystrixDynamicProperty` that represents a dynamic property value for Hystrix, allowing it to be used independently of any specific backing implementation. This interface is part of a larger system designed to manage configuration settings dynamically within Hystrix, enabling flexibility and ease of integration into various applications. The comments indicate that the code is part of a complex project with</t>
        </is>
      </c>
      <c r="E470" t="n">
        <v>0.0033</v>
      </c>
      <c r="F470" t="n">
        <v>0.0548</v>
      </c>
      <c r="G470" t="n">
        <v>0.1095</v>
      </c>
      <c r="H470" t="inlineStr">
        <is>
          <t>The provided code defines a generic interface `HystrixDynamicPro` that represents dynamic property values for Hystrix, allowing it to consume properties independently of their underlying implementations. The README describes the purpose as implementing core algorithms, while the complexity indicates linear time operations due to potential iteration over properties. The comments explain the role of the interface and its relationship with other classes like `HystrixProperty</t>
        </is>
      </c>
      <c r="I470" t="n">
        <v>0.0034</v>
      </c>
      <c r="J470" t="n">
        <v>0.08450000000000001</v>
      </c>
      <c r="K470" t="n">
        <v>0.2338</v>
      </c>
      <c r="L470" t="inlineStr">
        <is>
          <t>This Java interface defines a generic mechanism for representing dynamic property values that Hystrix can utilize independently of their underlying storage mechanisms. It provides a flexible way to manage configuration settings dynamically within the Hystrix framework.</t>
        </is>
      </c>
      <c r="M470" t="n">
        <v>0.0052</v>
      </c>
      <c r="N470" t="n">
        <v>0.0455</v>
      </c>
      <c r="O470" t="n">
        <v>0.0463</v>
      </c>
    </row>
    <row r="471">
      <c r="A471" t="inlineStr">
        <is>
          <t>hystrix</t>
        </is>
      </c>
      <c r="B471" t="inlineStr">
        <is>
          <t>hystrix-core/src/main/java/com/netflix/hystrix/strategy/properties/HystrixPropertiesTimerThreadPoolDefault.java</t>
        </is>
      </c>
      <c r="C471">
        <f>HYPERLINK("https://github.com/Netflix/Hystrix/blob/master/hystrix-core/src/main/java/com/netflix/hystrix/strategy/properties/HystrixPropertiesTimerThreadPoolDefault.java")</f>
        <v/>
      </c>
      <c r="D471" t="inlineStr">
        <is>
          <t>The provided code defines a default implementation of `HystrixTimerThreadPoolProperties` using Archaius, which is used to configure properties related to thread pools in the Netflix Hystrix library. This implementation serves as a fallback when no custom configuration is available. The code is part of a larger project that includes backend software components and follows best practices such as excluding from Javadoc documentation.</t>
        </is>
      </c>
      <c r="E471" t="n">
        <v>0.0039</v>
      </c>
      <c r="F471" t="n">
        <v>0.08699999999999999</v>
      </c>
      <c r="G471" t="n">
        <v>0.188</v>
      </c>
      <c r="H471" t="inlineStr">
        <is>
          <t>Provides default implementations of `HystrixTimerThreadPoolProperties` using Archaius.</t>
        </is>
      </c>
      <c r="I471" t="n">
        <v>0</v>
      </c>
      <c r="J471" t="n">
        <v>0.1333</v>
      </c>
      <c r="K471" t="n">
        <v>0.1266</v>
      </c>
      <c r="L471" t="inlineStr">
        <is>
          <t>This Java class implements the default properties for timer thread pools used in the Hystrix library, utilizing Archaius as the configuration management framework. It provides a basic structure for configuring timeout settings related to timer threads within the Hystrix system.</t>
        </is>
      </c>
      <c r="M471" t="n">
        <v>0.0055</v>
      </c>
      <c r="N471" t="n">
        <v>0.0833</v>
      </c>
      <c r="O471" t="n">
        <v>0.1339</v>
      </c>
    </row>
    <row r="472">
      <c r="A472" t="inlineStr">
        <is>
          <t>hystrix</t>
        </is>
      </c>
      <c r="B472" t="inlineStr">
        <is>
          <t>hystrix-core/src/main/java/com/netflix/hystrix/strategy/properties/HystrixDynamicProperties.java</t>
        </is>
      </c>
      <c r="C472">
        <f>HYPERLINK("https://github.com/Netflix/Hystrix/blob/master/hystrix-core/src/main/java/com/netflix/hystrix/strategy/properties/HystrixDynamicProperties.java")</f>
        <v/>
      </c>
      <c r="D472" t="inlineStr">
        <is>
          <t>The provided Java code defines an interface `HystrixPropertyStrategy` within the package `com.netflix.hystrix.strategy.properties`. This interface serves as a service provider interface (SPI) for loading different implementations of property resolution strategies used by the Hystrix library. It leverages the `ServiceLoader` class to dynamically discover and select a single implementation from available providers. The purpose of this design is</t>
        </is>
      </c>
      <c r="E472" t="n">
        <v>0.0039</v>
      </c>
      <c r="F472" t="n">
        <v>0.0882</v>
      </c>
      <c r="G472" t="n">
        <v>0.1563</v>
      </c>
      <c r="H472" t="inlineStr">
        <is>
          <t>This repository contains backend software components that implement core algorithms using Java. It uses the ServiceLoader mechanism to dynamically resolve configuration properties through plugins. The complexity of the codebase is high due to its size and the number of commits made during development.</t>
        </is>
      </c>
      <c r="I472" t="n">
        <v>0.0061</v>
      </c>
      <c r="J472" t="n">
        <v>0.1961</v>
      </c>
      <c r="K472" t="n">
        <v>0.3708</v>
      </c>
      <c r="L472" t="inlineStr">
        <is>
          <t>This Java interface defines a strategy pattern for loading dynamic configuration properties used by the Hystrix library. It provides a way to extend the default property resolution mechanism through service providers. The `ServiceLoader` mechanism ensures that only one implementation can be loaded per class loader, allowing for flexibility in how configuration properties are sourced.</t>
        </is>
      </c>
      <c r="M472" t="n">
        <v>0.0034</v>
      </c>
      <c r="N472" t="n">
        <v>0.0645</v>
      </c>
      <c r="O472" t="n">
        <v>0.119</v>
      </c>
    </row>
    <row r="473">
      <c r="A473" t="inlineStr">
        <is>
          <t>hystrix</t>
        </is>
      </c>
      <c r="B473" t="inlineStr">
        <is>
          <t>hystrix-core/src/main/java/com/netflix/hystrix/strategy/properties/HystrixPropertiesStrategyDefault.java</t>
        </is>
      </c>
      <c r="C473">
        <f>HYPERLINK("https://github.com/Netflix/Hystrix/blob/master/hystrix-core/src/main/java/com/netflix/hystrix/strategy/properties/HystrixPropertiesStrategyDefault.java")</f>
        <v/>
      </c>
      <c r="D473" t="inlineStr">
        <is>
          <t>The provided code defines a default implementation of `HystrixPropertiesStrategy`, which is used to manage properties related to Hystrix circuit breakers and fallback mechanisms. This strategy provides a basic structure without any custom logic, relying instead on the default behavior defined within the framework. The code includes comments explaining its purpose and usage, as well as metadata such as copyright information and license details.</t>
        </is>
      </c>
      <c r="E473" t="n">
        <v>0.0034</v>
      </c>
      <c r="F473" t="n">
        <v>0.08450000000000001</v>
      </c>
      <c r="G473" t="n">
        <v>0.1481</v>
      </c>
      <c r="H473" t="inlineStr">
        <is>
          <t>Manages default properties for Hystrix strategies.</t>
        </is>
      </c>
      <c r="I473" t="n">
        <v>0</v>
      </c>
      <c r="J473" t="n">
        <v>0</v>
      </c>
      <c r="K473" t="n">
        <v>0</v>
      </c>
      <c r="L473" t="inlineStr">
        <is>
          <t>The `HystrixPropertiesStrategyDefault` class implements the default strategy for managing properties related to Hystrix circuit breakers and fallback mechanisms in a microservices architecture. It provides a singleton instance that can be used to retrieve configuration settings for various Hystrix-related properties. The class includes methods to access these properties, which are essential for configuring how services handle failures gracefully during high-load scenarios.</t>
        </is>
      </c>
      <c r="M473" t="n">
        <v>0.0036</v>
      </c>
      <c r="N473" t="n">
        <v>0.0571</v>
      </c>
      <c r="O473" t="n">
        <v>0.1136</v>
      </c>
    </row>
    <row r="474">
      <c r="A474" t="inlineStr">
        <is>
          <t>hystrix</t>
        </is>
      </c>
      <c r="B474" t="inlineStr">
        <is>
          <t>hystrix-core/src/main/java/com/netflix/hystrix/strategy/properties/HystrixPropertiesStrategy.java</t>
        </is>
      </c>
      <c r="C474">
        <f>HYPERLINK("https://github.com/Netflix/Hystrix/blob/master/hystrix-core/src/main/java/com/netflix/hystrix/strategy/properties/HystrixPropertiesStrategy.java")</f>
        <v/>
      </c>
      <c r="D474" t="inlineStr">
        <is>
          <t>The provided Java code defines a package `com.netflix.hystrix.strategy.properties` that includes classes for managing properties related to Hystrix commands, collapsers, threads, and other aspects of circuit breaker behavior. The code is part of a larger system designed to handle service calls efficiently and robustly using Hystrix, which provides fallback mechanisms and retries for failed requests. The complexity of the implementation</t>
        </is>
      </c>
      <c r="E474" t="n">
        <v>0.0031</v>
      </c>
      <c r="F474" t="n">
        <v>0.0282</v>
      </c>
      <c r="G474" t="n">
        <v>0.1145</v>
      </c>
      <c r="H474" t="inlineStr">
        <is>
          <t>The code implements core algorithms for backend software components. It includes classes such as `HystrixCollapser`, `HystrixCollapserKey`, `HystrixCollapserProperties`, `HystrixCommand`, `HystrixCommandKey`, `HystrixCommandProperties`, `HystrixThreadPool`, etc., which handle various aspects of Hystrix</t>
        </is>
      </c>
      <c r="I474" t="n">
        <v>0.0157</v>
      </c>
      <c r="J474" t="n">
        <v>0.1111</v>
      </c>
      <c r="K474" t="n">
        <v>0.2556</v>
      </c>
      <c r="L474" t="inlineStr">
        <is>
          <t>This Java code defines properties for Hystrix commands, collapsers, and thread pools within the Netflix Hystrix library. It includes methods for setting various configuration options such as execution timeout, circuit breaker settings, and request caching strategies. The code is part of a larger system designed to handle fault tolerance and resilience in microservices architectures.</t>
        </is>
      </c>
      <c r="M474" t="n">
        <v>0.004</v>
      </c>
      <c r="N474" t="n">
        <v>0.0645</v>
      </c>
      <c r="O474" t="n">
        <v>0.119</v>
      </c>
    </row>
    <row r="475">
      <c r="A475" t="inlineStr">
        <is>
          <t>hystrix</t>
        </is>
      </c>
      <c r="B475" t="inlineStr">
        <is>
          <t>hystrix-core/src/main/java/com/netflix/hystrix/strategy/properties/HystrixPropertiesChainedProperty.java</t>
        </is>
      </c>
      <c r="C475">
        <f>HYPERLINK("https://github.com/Netflix/Hystrix/blob/master/hystrix-core/src/main/java/com/netflix/hystrix/strategy/properties/HystrixPropertiesChainedProperty.java")</f>
        <v/>
      </c>
      <c r="D475" t="inlineStr">
        <is>
          <t>The provided Java code defines a class `ChainedProperty` that manages a list of default properties using the Hystrix plugins mechanism. It allows adding new properties to the chain and provides methods to retrieve them. The class uses atomic references to ensure thread-safe access to the list of properties. The comments indicate that it implements core algorithms and has a complexity of O(N).</t>
        </is>
      </c>
      <c r="E475" t="n">
        <v>0.0069</v>
      </c>
      <c r="F475" t="n">
        <v>0.0833</v>
      </c>
      <c r="G475" t="n">
        <v>0.2355</v>
      </c>
      <c r="H475" t="inlineStr">
        <is>
          <t>Manages chained default properties using Hystrix plugins.</t>
        </is>
      </c>
      <c r="I475" t="n">
        <v>0</v>
      </c>
      <c r="J475" t="n">
        <v>0</v>
      </c>
      <c r="K475" t="n">
        <v>0.0633</v>
      </c>
      <c r="L475" t="inlineStr">
        <is>
          <t>The code defines a `ChainedProperty` class that allows chaining multiple default properties using the Hystrix plugins mechanism. It provides methods to add properties, retrieve them, and handle logging. The class is part of a larger system designed to manage configuration settings for Hystrix, ensuring flexibility and extensibility through plugins.</t>
        </is>
      </c>
      <c r="M475" t="n">
        <v>0.0037</v>
      </c>
      <c r="N475" t="n">
        <v>0.0351</v>
      </c>
      <c r="O475" t="n">
        <v>0.08260000000000001</v>
      </c>
    </row>
    <row r="476">
      <c r="A476" t="inlineStr">
        <is>
          <t>hystrix</t>
        </is>
      </c>
      <c r="B476" t="inlineStr">
        <is>
          <t>hystrix-core/src/main/java/com/netflix/hystrix/strategy/properties/HystrixDynamicPropertiesSystemProperties.java</t>
        </is>
      </c>
      <c r="C476">
        <f>HYPERLINK("https://github.com/Netflix/Hystrix/blob/master/hystrix-core/src/main/java/com/netflix/hystrix/strategy/properties/HystrixDynamicPropertiesSystemProperties.java")</f>
        <v/>
      </c>
      <c r="D476" t="inlineStr">
        <is>
          <t>The provided Java code defines a singleton implementation of `HystrixDynamicProperties` using system properties as its source of configuration values. It includes a lazy initialization mechanism to ensure that only one instance of the class is created. The class provides methods to retrieve integer properties with optional fallback values from environment variables or system properties. This setup allows dynamic property management in applications utilizing Netflix's Hystrix library.</t>
        </is>
      </c>
      <c r="E476" t="n">
        <v>0.0028</v>
      </c>
      <c r="F476" t="n">
        <v>0.0267</v>
      </c>
      <c r="G476" t="n">
        <v>0.1087</v>
      </c>
      <c r="H476" t="inlineStr">
        <is>
          <t>Manages system properties for Hystrix dynamic configurations.</t>
        </is>
      </c>
      <c r="I476" t="n">
        <v>0</v>
      </c>
      <c r="J476" t="n">
        <v>0</v>
      </c>
      <c r="K476" t="n">
        <v>0</v>
      </c>
      <c r="L476" t="inlineStr">
        <is>
          <t>This Java class provides a singleton instance of `HystrixDynamicProperties` that retrieves integer properties from system properties using lazy initialization. The implementation includes a private constructor and a static holder pattern to ensure thread safety. The `getInstance()` method returns the singleton instance. The `getInteger()` method creates an anonymous inner class implementing `HystrixDynamicProperty&lt;Integer&gt;` to retrieve integer values based on</t>
        </is>
      </c>
      <c r="M476" t="n">
        <v>0.0038</v>
      </c>
      <c r="N476" t="n">
        <v>0.09089999999999999</v>
      </c>
      <c r="O476" t="n">
        <v>0.155</v>
      </c>
    </row>
    <row r="477">
      <c r="A477" t="inlineStr">
        <is>
          <t>hystrix</t>
        </is>
      </c>
      <c r="B477" t="inlineStr">
        <is>
          <t>hystrix-core/src/main/java/com/netflix/hystrix/strategy/properties/HystrixProperty.java</t>
        </is>
      </c>
      <c r="C477">
        <f>HYPERLINK("https://github.com/Netflix/Hystrix/blob/master/hystrix-core/src/main/java/com/netflix/hystrix/strategy/properties/HystrixProperty.java")</f>
        <v/>
      </c>
      <c r="D477" t="inlineStr">
        <is>
          <t>The provided code defines properties classes using Archaius for dynamic configuration management in Hystrix, a library used for building resilient microservices. It includes three types of dynamic properties: boolean, integer, and long, which can be accessed through chained methods. The code is part of a larger project that handles backend software components, implementing core algorithms.</t>
        </is>
      </c>
      <c r="E477" t="n">
        <v>0.0044</v>
      </c>
      <c r="F477" t="n">
        <v>0.09520000000000001</v>
      </c>
      <c r="G477" t="n">
        <v>0.2929</v>
      </c>
      <c r="H477" t="inlineStr">
        <is>
          <t>The code implements core algorithms for backend software components. Complexity is O(N), indicating linear time complexity. The implementation includes properties for boolean, integer, and long values using Archaius library.</t>
        </is>
      </c>
      <c r="I477" t="n">
        <v>0.0163</v>
      </c>
      <c r="J477" t="n">
        <v>0.1579</v>
      </c>
      <c r="K477" t="n">
        <v>0.3683</v>
      </c>
      <c r="L477" t="inlineStr">
        <is>
          <t>This Java class provides configuration properties for Hystrix circuit breakers using Archaius, enabling dynamic adjustment of various settings such as timeout durations, failure rates, and request volume thresholds. The implementation includes methods for creating dynamic boolean, integer, and long properties, allowing for flexible tuning of Hystrix's resilience strategies based on runtime conditions.</t>
        </is>
      </c>
      <c r="M477" t="n">
        <v>0.0042</v>
      </c>
      <c r="N477" t="n">
        <v>0.0984</v>
      </c>
      <c r="O477" t="n">
        <v>0.1613</v>
      </c>
    </row>
    <row r="478">
      <c r="A478" t="inlineStr">
        <is>
          <t>hystrix</t>
        </is>
      </c>
      <c r="B478" t="inlineStr">
        <is>
          <t>hystrix-core/src/main/java/com/netflix/hystrix/strategy/properties/archaius/HystrixDynamicPropertiesArchaius.java</t>
        </is>
      </c>
      <c r="C478">
        <f>HYPERLINK("https://github.com/Netflix/Hystrix/blob/master/hystrix-core/src/main/java/com/netflix/hystrix/strategy/properties/archaius/HystrixDynamicPropertiesArchaius.java")</f>
        <v/>
      </c>
      <c r="D478" t="inlineStr">
        <is>
          <t>The provided code defines a package `com.netflix.hystrix.strategy.properties.archaius` that includes classes related to Hystrix dynamic properties using Archaius configuration management library. The code does not contain any executable logic but rather serves as documentation and setup files for integrating Archaius into Hystrix's property handling mechanism. It is intended for internal use within Netflix's infrastructure and should not be</t>
        </is>
      </c>
      <c r="E478" t="n">
        <v>0.0032</v>
      </c>
      <c r="F478" t="n">
        <v>0.0278</v>
      </c>
      <c r="G478" t="n">
        <v>0.0775</v>
      </c>
      <c r="H478" t="inlineStr">
        <is>
          <t>Implements core algorithms for backend software components. Complexity is O(N).</t>
        </is>
      </c>
      <c r="I478" t="n">
        <v>0.0251</v>
      </c>
      <c r="J478" t="n">
        <v>0.2105</v>
      </c>
      <c r="K478" t="n">
        <v>0.3117</v>
      </c>
      <c r="L478" t="inlineStr">
        <is>
          <t>This Java class provides dynamic property management using Archaius, which allows configuration properties to be dynamically updated without restarting the application. It includes methods to retrieve and set various Hystrix-related properties such as circuit breaker settings, thread pool configurations, and more. The class ensures that Archaius is not inadvertently loaded into the core library, adhering to best practices for maintaining clean dependencies.</t>
        </is>
      </c>
      <c r="M478" t="n">
        <v>0.0039</v>
      </c>
      <c r="N478" t="n">
        <v>0.0563</v>
      </c>
      <c r="O478" t="n">
        <v>0.1493</v>
      </c>
    </row>
    <row r="479">
      <c r="A479" t="inlineStr">
        <is>
          <t>hystrix</t>
        </is>
      </c>
      <c r="B479" t="inlineStr">
        <is>
          <t>hystrix-core/src/main/java/com/netflix/hystrix/strategy/concurrency/HystrixContextRunnable.java</t>
        </is>
      </c>
      <c r="C479">
        <f>HYPERLINK("https://github.com/Netflix/Hystrix/blob/master/hystrix-core/src/main/java/com/netflix/hystrix/strategy/concurrency/HystrixContextRunnable.java")</f>
        <v/>
      </c>
      <c r="D479" t="inlineStr">
        <is>
          <t>The provided Java code defines a `HystrixContextRunnable` class that wraps a `Runnable`. This wrapper ensures that the `HystrixRequestContext` is properly initialized before executing the wrapped task and cleaned up afterward. The class uses the `HystrixPlugins` utility to manage the context lifecycle. It is designed to be used within the Netflix Hystrix framework to handle concurrent requests effectively</t>
        </is>
      </c>
      <c r="E479" t="n">
        <v>0.0038</v>
      </c>
      <c r="F479" t="n">
        <v>0.0615</v>
      </c>
      <c r="G479" t="n">
        <v>0.155</v>
      </c>
      <c r="H479" t="inlineStr">
        <is>
          <t>This repository contains backend software components implementing core algorithms. The complexity is O(N), indicating linear time complexity, which means the performance scales proportionally with the input size. The implementation includes comments explaining the purpose and functionality of each part of the code. The commits indicate the initial creation of the codebase. The total code size is 1000 lines.</t>
        </is>
      </c>
      <c r="I479" t="n">
        <v>0.0047</v>
      </c>
      <c r="J479" t="n">
        <v>0.1493</v>
      </c>
      <c r="K479" t="n">
        <v>0.2308</v>
      </c>
      <c r="L479" t="inlineStr">
        <is>
          <t>The `HystrixContextRunnable` class wraps a `Runnable`, managing the initialization and cleanup of the `HystrixRequestContext` during the execution of the wrapped task. It ensures that each request has its own isolated context, which is crucial for maintaining thread safety and proper isolation between requests when using Hystrix's circuit breaker and fallback mechanisms. The class provides a simple way to execute tasks</t>
        </is>
      </c>
      <c r="M479" t="n">
        <v>0.003</v>
      </c>
      <c r="N479" t="n">
        <v>0.029</v>
      </c>
      <c r="O479" t="n">
        <v>0.07580000000000001</v>
      </c>
    </row>
    <row r="480">
      <c r="A480" t="inlineStr">
        <is>
          <t>hystrix</t>
        </is>
      </c>
      <c r="B480" t="inlineStr">
        <is>
          <t>hystrix-core/src/main/java/com/netflix/hystrix/strategy/concurrency/HystrixContextSchedulerAction.java</t>
        </is>
      </c>
      <c r="C480">
        <f>HYPERLINK("https://github.com/Netflix/Hystrix/blob/master/hystrix-core/src/main/java/com/netflix/hystrix/strategy/concurrency/HystrixContextSchedulerAction.java")</f>
        <v/>
      </c>
      <c r="D480" t="inlineStr">
        <is>
          <t>The provided code defines a wrapper class `HystrixCallable` that extends `Func2`. This wrapper is designed to manage the initialization and cleanup of `HystrixRequestContext` during the execution of a `Callable`. It ensures that the context is properly set up before executing the callable and cleaned up afterward, which is crucial for maintaining thread safety and proper resource management in concurrent applications using Hyst</t>
        </is>
      </c>
      <c r="E480" t="n">
        <v>0.0035</v>
      </c>
      <c r="F480" t="n">
        <v>0.0571</v>
      </c>
      <c r="G480" t="n">
        <v>0.1119</v>
      </c>
      <c r="H480" t="inlineStr">
        <is>
          <t>This repository contains backend software components implementing core algorithms. The complexity is O(N), indicating linear time complexity. Comments describe the implementation of these algorithms. Initial codebase was committed. The total size of the codebase is 1000 lines.</t>
        </is>
      </c>
      <c r="I480" t="n">
        <v>0.0066</v>
      </c>
      <c r="J480" t="n">
        <v>0.1739</v>
      </c>
      <c r="K480" t="n">
        <v>0.1835</v>
      </c>
      <c r="L480" t="inlineStr">
        <is>
          <t>This Java class provides a wrapper around `Func2` from the RxJava library, ensuring that the `HystrixRequestContext` is properly initialized before executing the function and cleaned up afterward. The wrapper helps manage concurrency strategies used in Hystrix, which is part of Netflix's service mesh architecture.</t>
        </is>
      </c>
      <c r="M480" t="n">
        <v>0.005</v>
      </c>
      <c r="N480" t="n">
        <v>0.1132</v>
      </c>
      <c r="O480" t="n">
        <v>0.2203</v>
      </c>
    </row>
    <row r="481">
      <c r="A481" t="inlineStr">
        <is>
          <t>hystrix</t>
        </is>
      </c>
      <c r="B481" t="inlineStr">
        <is>
          <t>hystrix-core/src/main/java/com/netflix/hystrix/strategy/concurrency/HystrixContextCallable.java</t>
        </is>
      </c>
      <c r="C481">
        <f>HYPERLINK("https://github.com/Netflix/Hystrix/blob/master/hystrix-core/src/main/java/com/netflix/hystrix/strategy/concurrency/HystrixContextCallable.java")</f>
        <v/>
      </c>
      <c r="D481" t="inlineStr">
        <is>
          <t>The provided Java class `HystrixCallable` serves as a wrapper around a `Callable`, ensuring that the `HystrixRequestContext` is properly initialized before executing the callable's task and cleaned up afterward. This context management helps maintain thread-local data and state necessary for Hystrix circuit breaker and fallback mechanisms during request processing. The class is part of a larger library designed to handle concurrent requests</t>
        </is>
      </c>
      <c r="E481" t="n">
        <v>0.0036</v>
      </c>
      <c r="F481" t="n">
        <v>0.0563</v>
      </c>
      <c r="G481" t="n">
        <v>0.1128</v>
      </c>
      <c r="H481" t="inlineStr">
        <is>
          <t>Manages the initialization and cleanup of `HystrixRequestContext` for executing `Callable` objects within the context of the Netflix Hystrix library.</t>
        </is>
      </c>
      <c r="I481" t="n">
        <v>0.0102</v>
      </c>
      <c r="J481" t="n">
        <v>0.0741</v>
      </c>
      <c r="K481" t="n">
        <v>0.0549</v>
      </c>
      <c r="L481" t="inlineStr">
        <is>
          <t>This class provides a wrapper for `Callable` objects, ensuring that the `HystrixRequestContext` is initialized before executing the callable and cleaned up afterward. It integrates seamlessly into the Hystrix concurrency strategy framework within the Netflix ecosystem.</t>
        </is>
      </c>
      <c r="M481" t="n">
        <v>0.0063</v>
      </c>
      <c r="N481" t="n">
        <v>0.093</v>
      </c>
      <c r="O481" t="n">
        <v>0.0935</v>
      </c>
    </row>
    <row r="482">
      <c r="A482" t="inlineStr">
        <is>
          <t>hystrix</t>
        </is>
      </c>
      <c r="B482" t="inlineStr">
        <is>
          <t>hystrix-core/src/main/java/com/netflix/hystrix/strategy/concurrency/HystrixLifecycleForwardingRequestVariable.java</t>
        </is>
      </c>
      <c r="C482">
        <f>HYPERLINK("https://github.com/Netflix/Hystrix/blob/master/hystrix-core/src/main/java/com/netflix/hystrix/strategy/concurrency/HystrixLifecycleForwardingRequestVariable.java")</f>
        <v/>
      </c>
      <c r="D482" t="inlineStr">
        <is>
          <t>The provided Java code defines a class `HystrixRequestVariable` that implements the interface `HystrixRequestVariable`. It wraps another `HystrixRequestVariableLifecycle` object and provides methods to get and set values associated with the current request context. If no request context is available, it returns `null` instead of throwing an exception. The purpose of this class is to manage thread-local</t>
        </is>
      </c>
      <c r="E482" t="n">
        <v>0.004</v>
      </c>
      <c r="F482" t="n">
        <v>0.0625</v>
      </c>
      <c r="G482" t="n">
        <v>0.1181</v>
      </c>
      <c r="H482" t="inlineStr">
        <is>
          <t>The provided code implements a class that forwards requests to another lifecycle object and handles cases where the request context is not initialized. It includes comments explaining its purpose and usage. The complexity is O(N), indicating it involves processing N elements. The code size is 1000 lines, suggesting it's a significant piece of software.</t>
        </is>
      </c>
      <c r="I482" t="n">
        <v>0.004</v>
      </c>
      <c r="J482" t="n">
        <v>0.0625</v>
      </c>
      <c r="K482" t="n">
        <v>0.0794</v>
      </c>
      <c r="L482" t="inlineStr">
        <is>
          <t>This class implements `HystrixRequestVariable` using another `HystrixRequestVariableLifecycle`. It provides a default value of `null` if no context is available, facilitating usage within concurrent environments without exceptions.</t>
        </is>
      </c>
      <c r="M482" t="n">
        <v>0.0086</v>
      </c>
      <c r="N482" t="n">
        <v>0.1176</v>
      </c>
      <c r="O482" t="n">
        <v>0.1531</v>
      </c>
    </row>
    <row r="483">
      <c r="A483" t="inlineStr">
        <is>
          <t>hystrix</t>
        </is>
      </c>
      <c r="B483" t="inlineStr">
        <is>
          <t>hystrix-core/src/main/java/com/netflix/hystrix/strategy/concurrency/HystrixConcurrencyStrategyDefault.java</t>
        </is>
      </c>
      <c r="C483">
        <f>HYPERLINK("https://github.com/Netflix/Hystrix/blob/master/hystrix-core/src/main/java/com/netflix/hystrix/strategy/concurrency/HystrixConcurrencyStrategyDefault.java")</f>
        <v/>
      </c>
      <c r="D483" t="inlineStr">
        <is>
          <t>The provided Java code defines a default concurrency strategy for Hystrix, which is a library used for handling circuit breakers and fallbacks in microservices architectures. The `HystrixConcurrencyStrategyDefault` class implements the `HystrixConcurrencyStrategy` interface, utilizing standard Java concurrent utilities like `ExecutorService`. This implementation provides a basic framework for managing thread pools and other concurrency-related tasks within H</t>
        </is>
      </c>
      <c r="E483" t="n">
        <v>0.0044</v>
      </c>
      <c r="F483" t="n">
        <v>0.09379999999999999</v>
      </c>
      <c r="G483" t="n">
        <v>0.1575</v>
      </c>
      <c r="H483" t="inlineStr">
        <is>
          <t>This repository contains backend software components that implement core algorithms. The complexity of these algorithms is O(N), indicating linear time complexity relative to the size of the input data.</t>
        </is>
      </c>
      <c r="I483" t="n">
        <v>0.008500000000000001</v>
      </c>
      <c r="J483" t="n">
        <v>0.2105</v>
      </c>
      <c r="K483" t="n">
        <v>0.3125</v>
      </c>
      <c r="L483" t="inlineStr">
        <is>
          <t>The `HystrixConcurrencyStrategyDefault` class implements the default concurrency strategy for Hystrix, utilizing Java's built-in concurrent utilities (`java.util.concurrent`). It provides a basic thread pool-based approach to managing execution contexts and tasks within the Hystrix framework. The class ensures that each command execution runs in its own thread, allowing for isolation and fault tolerance.</t>
        </is>
      </c>
      <c r="M483" t="n">
        <v>0.0043</v>
      </c>
      <c r="N483" t="n">
        <v>0.0625</v>
      </c>
      <c r="O483" t="n">
        <v>0.122</v>
      </c>
    </row>
    <row r="484">
      <c r="A484" t="inlineStr">
        <is>
          <t>hystrix</t>
        </is>
      </c>
      <c r="B484" t="inlineStr">
        <is>
          <t>hystrix-core/src/main/java/com/netflix/hystrix/strategy/concurrency/package-info.java</t>
        </is>
      </c>
      <c r="C484">
        <f>HYPERLINK("https://github.com/Netflix/Hystrix/blob/master/hystrix-core/src/main/java/com/netflix/hystrix/strategy/concurrency/package-info.java")</f>
        <v/>
      </c>
      <c r="D484" t="inlineStr">
        <is>
          <t>The provided code defines a strategy interface for handling concurrency-related behaviors in Hystrix, which is part of Netflix's service mesh framework. The interface includes methods for managing thread pools, circuit breakers, and other concurrency strategies. It also provides a default implementation that can be used as a starting point for customizing concurrency management logic.</t>
        </is>
      </c>
      <c r="E484" t="n">
        <v>0.004</v>
      </c>
      <c r="F484" t="n">
        <v>0.0625</v>
      </c>
      <c r="G484" t="n">
        <v>0.1587</v>
      </c>
      <c r="H484" t="inlineStr">
        <is>
          <t>Manages concurrency strategies and provides a default implementation.</t>
        </is>
      </c>
      <c r="I484" t="n">
        <v>0.0278</v>
      </c>
      <c r="J484" t="n">
        <v>0.125</v>
      </c>
      <c r="K484" t="n">
        <v>0.0625</v>
      </c>
      <c r="L484" t="inlineStr">
        <is>
          <t>The code defines a strategy interface for managing concurrency behaviors within Hystrix, providing a default implementation that can be customized based on specific requirements. The class is part of the Hystrix library's concurrency management strategies and is intended to facilitate efficient handling of concurrent requests in microservices environments.</t>
        </is>
      </c>
      <c r="M484" t="n">
        <v>0.0038</v>
      </c>
      <c r="N484" t="n">
        <v>0.0702</v>
      </c>
      <c r="O484" t="n">
        <v>0.125</v>
      </c>
    </row>
    <row r="485">
      <c r="A485" t="inlineStr">
        <is>
          <t>hystrix</t>
        </is>
      </c>
      <c r="B485" t="inlineStr">
        <is>
          <t>hystrix-core/src/main/java/com/netflix/hystrix/strategy/concurrency/HystrixRequestVariableDefault.java</t>
        </is>
      </c>
      <c r="C485">
        <f>HYPERLINK("https://github.com/Netflix/Hystrix/blob/master/hystrix-core/src/main/java/com/netflix/hystrix/strategy/concurrency/HystrixRequestVariableDefault.java")</f>
        <v/>
      </c>
      <c r="D485" t="inlineStr">
        <is>
          <t>The provided code defines a default implementation of `HystrixRequestVariable`, which is similar to Java's `ThreadLocal` but manages context at the user request level using `HystrixRequestContext`. This class uses a `ConcurrentHashMap` to store variable values associated with each thread within the same request context. It provides methods to set, get, and remove variables, ensuring thread-safe access</t>
        </is>
      </c>
      <c r="E485" t="n">
        <v>0.004</v>
      </c>
      <c r="F485" t="n">
        <v>0.0615</v>
      </c>
      <c r="G485" t="n">
        <v>0.1575</v>
      </c>
      <c r="H485" t="inlineStr">
        <is>
          <t>The code implements a default implementation of `HystrixRequestVariable` using `ConcurrentHashMap`, which provides thread-safe operations for managing context-specific variables within requests. It uses SLF4J for logging and integrates with `HystrixRequestContext`. The complexity is O(N) due to potential concurrent access and modifications, and it includes comments explaining its purpose and usage.</t>
        </is>
      </c>
      <c r="I485" t="n">
        <v>0.0045</v>
      </c>
      <c r="J485" t="n">
        <v>0.0667</v>
      </c>
      <c r="K485" t="n">
        <v>0.124</v>
      </c>
      <c r="L485" t="inlineStr">
        <is>
          <t>The provided code defines a default implementation of `HystrixRequestVariable`, which is similar to Java's `ThreadLocal` but manages context at the user request level using `HystrixRequestContext`. The class uses a `ConcurrentHashMap` to store variables associated with each thread within a request context. It includes logging for debugging purposes and provides methods to set, get, and remove variables from</t>
        </is>
      </c>
      <c r="M485" t="n">
        <v>0.0032</v>
      </c>
      <c r="N485" t="n">
        <v>0.0606</v>
      </c>
      <c r="O485" t="n">
        <v>0.1163</v>
      </c>
    </row>
    <row r="486">
      <c r="A486" t="inlineStr">
        <is>
          <t>hystrix</t>
        </is>
      </c>
      <c r="B486" t="inlineStr">
        <is>
          <t>hystrix-core/src/main/java/com/netflix/hystrix/strategy/concurrency/HystrixRequestVariableLifecycle.java</t>
        </is>
      </c>
      <c r="C486">
        <f>HYPERLINK("https://github.com/Netflix/Hystrix/blob/master/hystrix-core/src/main/java/com/netflix/hystrix/strategy/concurrency/HystrixRequestVariableLifecycle.java")</f>
        <v/>
      </c>
      <c r="D486" t="inlineStr">
        <is>
          <t>The provided Java code defines an interface `HystrixRequestVariableLifecycle` which specifies lifecycle methods that need to be implemented by classes managing request-specific variables in the Netflix Hystrix library. The methods include:
1. **Initialization**: A method `initialize()` that is called when the variable is first accessed via `HystrixRequestVariable.get()`. This allows for initialization logic to run before any</t>
        </is>
      </c>
      <c r="E486" t="n">
        <v>0.0033</v>
      </c>
      <c r="F486" t="n">
        <v>0.0615</v>
      </c>
      <c r="G486" t="n">
        <v>0.1181</v>
      </c>
      <c r="H486" t="inlineStr">
        <is>
          <t>This repository contains backend software components implementing core algorithms. The complexity is O(N), indicating linear time operations, and it includes comments describing the implementation details. The commits indicate the initial creation of the codebase. The total size of the codebase is 1000 lines.</t>
        </is>
      </c>
      <c r="I486" t="n">
        <v>0.0061</v>
      </c>
      <c r="J486" t="n">
        <v>0.1923</v>
      </c>
      <c r="K486" t="n">
        <v>0.2174</v>
      </c>
      <c r="L486" t="inlineStr">
        <is>
          <t>The `HystrixRequestVariableLifecycle` interface defines methods that are executed during the lifecycle of a request variable, allowing customization of how variables are initialized and managed within the context of individual requests. The interface provides hooks for initialization (`onInitialize`) and cleanup (`onCleanup`) of these variables, enabling developers to implement custom behavior such as setting up dependencies or releasing resources before and after each request.</t>
        </is>
      </c>
      <c r="M486" t="n">
        <v>0.0029</v>
      </c>
      <c r="N486" t="n">
        <v>0.0571</v>
      </c>
      <c r="O486" t="n">
        <v>0.0746</v>
      </c>
    </row>
    <row r="487">
      <c r="A487" t="inlineStr">
        <is>
          <t>hystrix</t>
        </is>
      </c>
      <c r="B487" t="inlineStr">
        <is>
          <t>hystrix-core/src/main/java/com/netflix/hystrix/strategy/concurrency/HystrixRequestVariableHolder.java</t>
        </is>
      </c>
      <c r="C487">
        <f>HYPERLINK("https://github.com/Netflix/Hystrix/blob/master/hystrix-core/src/main/java/com/netflix/hystrix/strategy/concurrency/HystrixRequestVariableHolder.java")</f>
        <v/>
      </c>
      <c r="D487" t="inlineStr">
        <is>
          <t>The provided Java code defines a factory class `HystrixConcurrencyStrategy` within the package `com.netflix.hystrix.strategy.concurrency`. The class encapsulates functionality related to `HystrixRequestVariable`, which is used internally by Hystrix for managing request-scoped variables across different threads. The factory provides methods to create instances of `HystrixRequestVariable`, allowing for injection of custom</t>
        </is>
      </c>
      <c r="E487" t="n">
        <v>0.0039</v>
      </c>
      <c r="F487" t="n">
        <v>0.0333</v>
      </c>
      <c r="G487" t="n">
        <v>0.042</v>
      </c>
      <c r="H487" t="inlineStr">
        <is>
          <t>This repository contains backend software components implementing core algorithms. The complexity of the implementation is O(N), indicating linear time complexity. The code size is 1000 lines, making it relatively large. The comments provide details about the implementation's purpose and structure.</t>
        </is>
      </c>
      <c r="I487" t="n">
        <v>0.0065</v>
      </c>
      <c r="J487" t="n">
        <v>0.2</v>
      </c>
      <c r="K487" t="n">
        <v>0.2232</v>
      </c>
      <c r="L487" t="inlineStr">
        <is>
          <t>This class provides a factory for creating instances of `HystrixRequestVariable`, which is used internally within the Hystrix framework to manage request-scoped variables across different threads. The factory uses a concurrent hash map to store these variables, ensuring thread safety. It also includes logging capabilities using SLF4J for debugging purposes.</t>
        </is>
      </c>
      <c r="M487" t="n">
        <v>0.0037</v>
      </c>
      <c r="N487" t="n">
        <v>0.0345</v>
      </c>
      <c r="O487" t="n">
        <v>0.08260000000000001</v>
      </c>
    </row>
    <row r="488">
      <c r="A488" t="inlineStr">
        <is>
          <t>hystrix</t>
        </is>
      </c>
      <c r="B488" t="inlineStr">
        <is>
          <t>hystrix-core/src/main/java/com/netflix/hystrix/strategy/concurrency/HystrixRequestVariable.java</t>
        </is>
      </c>
      <c r="C488">
        <f>HYPERLINK("https://github.com/Netflix/Hystrix/blob/master/hystrix-core/src/main/java/com/netflix/hystrix/strategy/concurrency/HystrixRequestVariable.java")</f>
        <v/>
      </c>
      <c r="D488" t="inlineStr">
        <is>
          <t>The provided code defines an interface `HystrixRequestVariable` that serves as a thread-local storage mechanism specifically tailored for managing variables within the context of user requests. This interface allows developers to create custom implementations if needed, which can then be registered with `HystrixPlugins`. The default implementation is `HystrixRequestVariableDefault`, which uses `HystrixRequestContext` to manage these</t>
        </is>
      </c>
      <c r="E488" t="n">
        <v>0.0035</v>
      </c>
      <c r="F488" t="n">
        <v>0.0645</v>
      </c>
      <c r="G488" t="n">
        <v>0.12</v>
      </c>
      <c r="H488" t="inlineStr">
        <is>
          <t>Manages variables scoped to individual requests within Hystrix applications, allowing custom implementations through plugin injection.</t>
        </is>
      </c>
      <c r="I488" t="n">
        <v>0</v>
      </c>
      <c r="J488" t="n">
        <v>0.08699999999999999</v>
      </c>
      <c r="K488" t="n">
        <v>0.0575</v>
      </c>
      <c r="L488" t="inlineStr">
        <is>
          <t>This interface defines a mechanism for managing variables that are scoped to individual requests within the context of Hystrix, allowing for thread-safe storage and retrieval of data across different threads during the execution of a single request. The default implementation uses `ThreadLocal` to achieve this scope, but custom implementations can be registered through `HystrixPlugins`.</t>
        </is>
      </c>
      <c r="M488" t="n">
        <v>0.004</v>
      </c>
      <c r="N488" t="n">
        <v>0.0635</v>
      </c>
      <c r="O488" t="n">
        <v>0.1587</v>
      </c>
    </row>
    <row r="489">
      <c r="A489" t="inlineStr">
        <is>
          <t>hystrix</t>
        </is>
      </c>
      <c r="B489" t="inlineStr">
        <is>
          <t>hystrix-core/src/main/java/com/netflix/hystrix/strategy/concurrency/HystrixConcurrencyStrategy.java</t>
        </is>
      </c>
      <c r="C489">
        <f>HYPERLINK("https://github.com/Netflix/Hystrix/blob/master/hystrix-core/src/main/java/com/netflix/hystrix/strategy/concurrency/HystrixConcurrencyStrategy.java")</f>
        <v/>
      </c>
      <c r="D489" t="inlineStr">
        <is>
          <t>The provided code defines a concurrency strategy implementation for Hystrix commands using thread pools. It includes classes such as `HystrixConcurrencyStrategy`, which manages the execution context for Hystrix commands within threads from specified thread pools. The code also provides properties for configuring these thread pools through `HystrixThreadPoolProperties`. This setup allows developers to control how Hystrix commands execute concurrently across different environments</t>
        </is>
      </c>
      <c r="E489" t="n">
        <v>0.003</v>
      </c>
      <c r="F489" t="n">
        <v>0.0294</v>
      </c>
      <c r="G489" t="n">
        <v>0.1136</v>
      </c>
      <c r="H489" t="inlineStr">
        <is>
          <t>Implements core algorithms for backend software components.</t>
        </is>
      </c>
      <c r="I489" t="n">
        <v>0.0341</v>
      </c>
      <c r="J489" t="n">
        <v>0.2667</v>
      </c>
      <c r="K489" t="n">
        <v>0.3235</v>
      </c>
      <c r="L489" t="inlineStr">
        <is>
          <t>The code implements a custom thread pool strategy for Hystrix commands using the Netflix Hystrix library. It allows users to configure properties such as maximum queue size, core pool size, keep-alive time, etc., which can be useful for managing concurrency and performance in microservices architectures. The implementation includes methods for creating and configuring `HystrixThreadPool` instances based on specified keys and properties.</t>
        </is>
      </c>
      <c r="M489" t="n">
        <v>0.0039</v>
      </c>
      <c r="N489" t="n">
        <v>0.0857</v>
      </c>
      <c r="O489" t="n">
        <v>0.1504</v>
      </c>
    </row>
    <row r="490">
      <c r="A490" t="inlineStr">
        <is>
          <t>hystrix</t>
        </is>
      </c>
      <c r="B490" t="inlineStr">
        <is>
          <t>hystrix-core/src/main/java/com/netflix/hystrix/strategy/concurrency/HystrixRequestContext.java</t>
        </is>
      </c>
      <c r="C490">
        <f>HYPERLINK("https://github.com/Netflix/Hystrix/blob/master/hystrix-core/src/main/java/com/netflix/hystrix/strategy/concurrency/HystrixRequestContext.java")</f>
        <v/>
      </c>
      <c r="D490" t="inlineStr">
        <is>
          <t>The provided Java code defines a class `HystrixConcurrencyStrategy` within the package `com.netflix.hystrix.strategy.concurrency`. This class serves as a strategy for managing concurrency in Hystrix commands and request caching. It includes methods for creating and managing instances of `HystrixRequestVariableDefault`, which are used to store thread-local data across different command executions. The class also provides utilities</t>
        </is>
      </c>
      <c r="E490" t="n">
        <v>0.0041</v>
      </c>
      <c r="F490" t="n">
        <v>0.0606</v>
      </c>
      <c r="G490" t="n">
        <v>0.12</v>
      </c>
      <c r="H490" t="inlineStr">
        <is>
          <t>Manages request variables and caches for Hystrix commands and collapsers.</t>
        </is>
      </c>
      <c r="I490" t="n">
        <v>0.0211</v>
      </c>
      <c r="J490" t="n">
        <v>0.1111</v>
      </c>
      <c r="K490" t="n">
        <v>0.061</v>
      </c>
      <c r="L490" t="inlineStr">
        <is>
          <t>This Java class provides concurrency management strategies for `Hystrix` commands and collapsers within a request context using `ConcurrentHashMap`. It includes methods for managing variables such as command execution times, cache entries, and logs, ensuring thread safety and efficient handling of concurrent requests. The class supports both default and custom variable types, facilitating flexible integration into various parts of a microservices architecture.</t>
        </is>
      </c>
      <c r="M490" t="n">
        <v>0.0036</v>
      </c>
      <c r="N490" t="n">
        <v>0.058</v>
      </c>
      <c r="O490" t="n">
        <v>0.1128</v>
      </c>
    </row>
    <row r="491">
      <c r="A491" t="inlineStr">
        <is>
          <t>hystrix</t>
        </is>
      </c>
      <c r="B491" t="inlineStr">
        <is>
          <t>hystrix-core/src/main/java/com/netflix/hystrix/strategy/concurrency/HystrixContextScheduler.java</t>
        </is>
      </c>
      <c r="C491">
        <f>HYPERLINK("https://github.com/Netflix/Hystrix/blob/master/hystrix-core/src/main/java/com/netflix/hystrix/strategy/concurrency/HystrixContextScheduler.java")</f>
        <v/>
      </c>
      <c r="D491" t="inlineStr">
        <is>
          <t>The provided Java code defines a class `HystrixConcurrencyStrategy` within the package `com.netflix.hystrix.strategy.concurrency`. This class wraps a given `Scheduler` to ensure that all scheduled actions are executed using Hystrix's thread pool management strategy. The purpose of this wrapping is to integrate Hystrix's concurrency control mechanisms into existing RxJava-based applications, allowing them to benefit from</t>
        </is>
      </c>
      <c r="E491" t="n">
        <v>0.0035</v>
      </c>
      <c r="F491" t="n">
        <v>0.0294</v>
      </c>
      <c r="G491" t="n">
        <v>0.08</v>
      </c>
      <c r="H491" t="inlineStr">
        <is>
          <t>Implements core algorithms using RxJava.</t>
        </is>
      </c>
      <c r="I491" t="n">
        <v>0.0295</v>
      </c>
      <c r="J491" t="n">
        <v>0.3077</v>
      </c>
      <c r="K491" t="n">
        <v>0.3319</v>
      </c>
      <c r="L491" t="inlineStr">
        <is>
          <t>This Java class provides a custom `Scheduler` implementation that wraps another scheduler's execution of tasks within Hystrix thread pools. It ensures that all scheduled actions run in dedicated threads from the specified Hystrix thread pool, enhancing concurrency management and fault tolerance. The class uses RxJava's scheduling capabilities to manage task execution across multiple threads efficiently.</t>
        </is>
      </c>
      <c r="M491" t="n">
        <v>0.004</v>
      </c>
      <c r="N491" t="n">
        <v>0.09229999999999999</v>
      </c>
      <c r="O491" t="n">
        <v>0.1575</v>
      </c>
    </row>
    <row r="492">
      <c r="A492" t="inlineStr">
        <is>
          <t>hystrix</t>
        </is>
      </c>
      <c r="B492" t="inlineStr">
        <is>
          <t>hystrix-core/src/main/java/com/netflix/hystrix/strategy/executionhook/package-info.java</t>
        </is>
      </c>
      <c r="C492">
        <f>HYPERLINK("https://github.com/Netflix/Hystrix/blob/master/hystrix-core/src/main/java/com/netflix/hystrix/strategy/executionhook/package-info.java")</f>
        <v/>
      </c>
      <c r="D492" t="inlineStr">
        <is>
          <t>The provided code defines a strategy interface for execution hooks in Hystrix, which is part of Netflix's resilience library. The class `ExecutionHook` serves as a base implementation that can be extended to add custom behavior during various stages of command execution. This allows developers to integrate additional logic into the Hystrix framework without modifying its core classes. The complexity of the code is O(1) due</t>
        </is>
      </c>
      <c r="E492" t="n">
        <v>0.0033</v>
      </c>
      <c r="F492" t="n">
        <v>0.0533</v>
      </c>
      <c r="G492" t="n">
        <v>0.146</v>
      </c>
      <c r="H492" t="inlineStr">
        <is>
          <t>This repository contains backend software components that implement core algorithms. The complexity of the implementation is O(N), indicating linear time complexity relative to the input size. The code base has been initialized with basic structure and comments describing its purpose and usage.</t>
        </is>
      </c>
      <c r="I492" t="n">
        <v>0.0062</v>
      </c>
      <c r="J492" t="n">
        <v>0.1961</v>
      </c>
      <c r="K492" t="n">
        <v>0.2193</v>
      </c>
      <c r="L492" t="inlineStr">
        <is>
          <t>This Java class defines a strategy interface for executing hooks during Hystrix command executions. It provides methods that allow developers to customize various aspects of how commands execute, such as before and after execution, error handling, and more. The implementation complexity is O(1), indicating constant time operations, which makes it efficient for real-time applications.</t>
        </is>
      </c>
      <c r="M492" t="n">
        <v>0.004</v>
      </c>
      <c r="N492" t="n">
        <v>0.0625</v>
      </c>
      <c r="O492" t="n">
        <v>0.119</v>
      </c>
    </row>
    <row r="493">
      <c r="A493" t="inlineStr">
        <is>
          <t>hystrix</t>
        </is>
      </c>
      <c r="B493" t="inlineStr">
        <is>
          <t>hystrix-core/src/main/java/com/netflix/hystrix/strategy/executionhook/HystrixCommandExecutionHookDefault.java</t>
        </is>
      </c>
      <c r="C493">
        <f>HYPERLINK("https://github.com/Netflix/Hystrix/blob/master/hystrix-core/src/main/java/com/netflix/hystrix/strategy/executionhook/HystrixCommandExecutionHookDefault.java")</f>
        <v/>
      </c>
      <c r="D493" t="inlineStr">
        <is>
          <t>The provided code defines a default implementation of `HystrixCommandExecutionHook` from the Netflix Hystrix library. This hook provides no custom behavior when commands execute, allowing developers to extend its functionality if needed. The code includes comments explaining its purpose and usage, as well as metadata about complexity, comments, commits, and size.</t>
        </is>
      </c>
      <c r="E493" t="n">
        <v>0.0048</v>
      </c>
      <c r="F493" t="n">
        <v>0.1034</v>
      </c>
      <c r="G493" t="n">
        <v>0.1639</v>
      </c>
      <c r="H493" t="inlineStr">
        <is>
          <t>The repository contains backend software components implementing core algorithms. The complexity is O(N), indicating linear time complexity, which means the execution time grows proportionally with the input size. The comments describe the implementation as focusing on core algorithms, while the commits indicate it's the initial codebase commit. The total code size is 1000 lines.</t>
        </is>
      </c>
      <c r="I493" t="n">
        <v>0.004</v>
      </c>
      <c r="J493" t="n">
        <v>0.09379999999999999</v>
      </c>
      <c r="K493" t="n">
        <v>0.119</v>
      </c>
      <c r="L493" t="inlineStr">
        <is>
          <t>The `HystrixCommandExecutionHookDefault` class provides default implementations of the `HystrixCommandExecutionHook` interface, which allows developers to hook into various stages of command execution without needing to implement all methods. It serves as a base implementation that can be extended or overridden by users who need custom behavior during command execution. The class uses a singleton pattern to ensure only one instance exists, making</t>
        </is>
      </c>
      <c r="M493" t="n">
        <v>0</v>
      </c>
      <c r="N493" t="n">
        <v>0.029</v>
      </c>
      <c r="O493" t="n">
        <v>0.0752</v>
      </c>
    </row>
    <row r="494">
      <c r="A494" t="inlineStr">
        <is>
          <t>hystrix</t>
        </is>
      </c>
      <c r="B494" t="inlineStr">
        <is>
          <t>hystrix-core/src/main/java/com/netflix/hystrix/strategy/executionhook/HystrixCommandExecutionHook.java</t>
        </is>
      </c>
      <c r="C494">
        <f>HYPERLINK("https://github.com/Netflix/Hystrix/blob/master/hystrix-core/src/main/java/com/netflix/hystrix/strategy/executionhook/HystrixCommandExecutionHook.java")</f>
        <v/>
      </c>
      <c r="D494" t="inlineStr">
        <is>
          <t>The provided code is part of a Hystrix library used for handling circuit breakers and fallbacks in microservices architectures. It includes hooks that allow developers to execute custom logic before and after command execution. The code defines interfaces and classes related to execution hooks, which can be implemented to add additional behavior during command execution. This helps in monitoring, logging, and managing service failures effectively.</t>
        </is>
      </c>
      <c r="E494" t="n">
        <v>0.0033</v>
      </c>
      <c r="F494" t="n">
        <v>0.0548</v>
      </c>
      <c r="G494" t="n">
        <v>0.146</v>
      </c>
      <c r="H494" t="inlineStr">
        <is>
          <t>This repository contains backend software components that implement core algorithms. The complexity of these implementations is O(N), indicating they scale linearly with input size. The codebase includes various Hystrix commands and observables, which handle execution hooks and isolation strategies. The repository has been initialized with basic code structure.</t>
        </is>
      </c>
      <c r="I494" t="n">
        <v>0.0054</v>
      </c>
      <c r="J494" t="n">
        <v>0.1754</v>
      </c>
      <c r="K494" t="n">
        <v>0.2083</v>
      </c>
      <c r="L494" t="inlineStr">
        <is>
          <t>The provided code implements execution hooks for Hystrix commands, allowing developers to customize command execution behavior before and after command invocation. It supports both synchronous (`HystrixCommand`) and asynchronous (`HystrixObservableCommand`) commands, providing flexibility through customizable isolation strategies and error handling mechanisms. The implementation includes methods for pre-execution and post-execution hooking, which can be used to add logging,</t>
        </is>
      </c>
      <c r="M494" t="n">
        <v>0.0039</v>
      </c>
      <c r="N494" t="n">
        <v>0.0606</v>
      </c>
      <c r="O494" t="n">
        <v>0.1172</v>
      </c>
    </row>
    <row r="495">
      <c r="A495" t="inlineStr">
        <is>
          <t>hystrix</t>
        </is>
      </c>
      <c r="B495" t="inlineStr">
        <is>
          <t>hystrix-core/src/main/java/com/netflix/hystrix/strategy/metrics/HystrixMetricsPublisher.java</t>
        </is>
      </c>
      <c r="C495">
        <f>HYPERLINK("https://github.com/Netflix/Hystrix/blob/master/hystrix-core/src/main/java/com/netflix/hystrix/strategy/metrics/HystrixMetricsPublisher.java")</f>
        <v/>
      </c>
      <c r="D495" t="inlineStr">
        <is>
          <t>The provided Java code defines a package `com.netflix.hystrix.strategy.metrics` that includes classes related to Hystrix metrics, which are used to monitor and analyze the performance of microservices using the Hystrix library. The code provides interfaces and implementations for various types of Hystrix metrics such as circuit breaker metrics, collapser metrics, command metrics, and more. It also includes key</t>
        </is>
      </c>
      <c r="E495" t="n">
        <v>0.0032</v>
      </c>
      <c r="F495" t="n">
        <v>0.058</v>
      </c>
      <c r="G495" t="n">
        <v>0.1163</v>
      </c>
      <c r="H495" t="inlineStr">
        <is>
          <t>This repository contains backend software components that implement core algorithms. The complexity is O(N), indicating linear time complexity, which means the performance increases proportionally with the size of the input data. The implementation includes classes such as `HystrixCircuitBreaker`, `HystrixCollapser`, `HystrixCollapserKey`, `HystrixCollapserMetrics</t>
        </is>
      </c>
      <c r="I495" t="n">
        <v>0.0059</v>
      </c>
      <c r="J495" t="n">
        <v>0.16</v>
      </c>
      <c r="K495" t="n">
        <v>0.177</v>
      </c>
      <c r="L495" t="inlineStr">
        <is>
          <t>This Java class provides metrics tracking for Hystrix commands and collapsers within a Netflix application. It includes methods for retrieving circuit breaker and command-specific metrics, as well as handling properties related to these metrics. The implementation focuses on maintaining high performance and scalability, leveraging Hystrix's built-in capabilities for monitoring and management.</t>
        </is>
      </c>
      <c r="M495" t="n">
        <v>0.0043</v>
      </c>
      <c r="N495" t="n">
        <v>0.0968</v>
      </c>
      <c r="O495" t="n">
        <v>0.122</v>
      </c>
    </row>
    <row r="496">
      <c r="A496" t="inlineStr">
        <is>
          <t>hystrix</t>
        </is>
      </c>
      <c r="B496" t="inlineStr">
        <is>
          <t>hystrix-core/src/main/java/com/netflix/hystrix/strategy/metrics/HystrixMetricsPublisherFactory.java</t>
        </is>
      </c>
      <c r="C496">
        <f>HYPERLINK("https://github.com/Netflix/Hystrix/blob/master/hystrix-core/src/main/java/com/netflix/hystrix/strategy/metrics/HystrixMetricsPublisherFactory.java")</f>
        <v/>
      </c>
      <c r="D496" t="inlineStr">
        <is>
          <t>The provided Java code defines a package `com.netflix.hystrix.strategy.metrics` that includes classes related to metrics collection for Hystrix circuit breakers and collapsers. The key functionalities include:
1. **HystrixCollapserMetrics**: A class responsible for managing and providing metrics for Hystrix collapser operations. It uses a concurrent hash map to store and retrieve metric</t>
        </is>
      </c>
      <c r="E496" t="n">
        <v>0.0037</v>
      </c>
      <c r="F496" t="n">
        <v>0.0645</v>
      </c>
      <c r="G496" t="n">
        <v>0.082</v>
      </c>
      <c r="H496" t="inlineStr">
        <is>
          <t>The code implements core algorithms for backend software components. It uses Java and includes comments explaining its implementation. The complexity is O(N), indicating that it scales linearly with input size.</t>
        </is>
      </c>
      <c r="I496" t="n">
        <v>0.0157</v>
      </c>
      <c r="J496" t="n">
        <v>0.1538</v>
      </c>
      <c r="K496" t="n">
        <v>0.3647</v>
      </c>
      <c r="L496" t="inlineStr">
        <is>
          <t>This Java class provides metrics tracking for Hystrix commands and collapsers within a Netflix application. It uses `ConcurrentHashMap` to store and manage metrics data related to command execution and collapsing strategies. The class includes methods to retrieve various performance metrics such as success rate, error count, and latency statistics. These metrics help developers monitor and optimize the behavior of Hystrix-based services.</t>
        </is>
      </c>
      <c r="M496" t="n">
        <v>0.0036</v>
      </c>
      <c r="N496" t="n">
        <v>0.0571</v>
      </c>
      <c r="O496" t="n">
        <v>0.1128</v>
      </c>
    </row>
    <row r="497">
      <c r="A497" t="inlineStr">
        <is>
          <t>hystrix</t>
        </is>
      </c>
      <c r="B497" t="inlineStr">
        <is>
          <t>hystrix-core/src/main/java/com/netflix/hystrix/strategy/metrics/HystrixMetricsPublisherCommand.java</t>
        </is>
      </c>
      <c r="C497">
        <f>HYPERLINK("https://github.com/Netflix/Hystrix/blob/master/hystrix-core/src/main/java/com/netflix/hystrix/strategy/metrics/HystrixMetricsPublisherCommand.java")</f>
        <v/>
      </c>
      <c r="D497" t="inlineStr">
        <is>
          <t>The provided Java code defines an interface `HystrixMetricsPublisher` which serves as a metrics publisher for `HystrixCommand` instances. It outlines the contract for publishing metrics related to command execution, ensuring that implementations do not allocate resources requiring shutdown or perform global state changes during instantiation. The README provides context about the repository's content, complexity, comments, commits, and code size.</t>
        </is>
      </c>
      <c r="E497" t="n">
        <v>0.0031</v>
      </c>
      <c r="F497" t="n">
        <v>0.0597</v>
      </c>
      <c r="G497" t="n">
        <v>0.0769</v>
      </c>
      <c r="H497" t="inlineStr">
        <is>
          <t>Implements metrics publishing for Hystrix commands using Java annotations.</t>
        </is>
      </c>
      <c r="I497" t="n">
        <v>0</v>
      </c>
      <c r="J497" t="n">
        <v>0.1176</v>
      </c>
      <c r="K497" t="n">
        <v>0.1235</v>
      </c>
      <c r="L497" t="inlineStr">
        <is>
          <t>This class provides metrics publishing capabilities for `HystrixCommand` instances created by implementing classes of `HystrixMetricsPublisher`. It ensures that no global resources are allocated during instantiation, focusing solely on metric collection and reporting without registering listeners or performing other potentially resource-intensive tasks.</t>
        </is>
      </c>
      <c r="M497" t="n">
        <v>0.0054</v>
      </c>
      <c r="N497" t="n">
        <v>0.12</v>
      </c>
      <c r="O497" t="n">
        <v>0.1327</v>
      </c>
    </row>
    <row r="498">
      <c r="A498" t="inlineStr">
        <is>
          <t>hystrix</t>
        </is>
      </c>
      <c r="B498" t="inlineStr">
        <is>
          <t>hystrix-core/src/main/java/com/netflix/hystrix/strategy/metrics/HystrixMetricsPublisherDefault.java</t>
        </is>
      </c>
      <c r="C498">
        <f>HYPERLINK("https://github.com/Netflix/Hystrix/blob/master/hystrix-core/src/main/java/com/netflix/hystrix/strategy/metrics/HystrixMetricsPublisherDefault.java")</f>
        <v/>
      </c>
      <c r="D498" t="inlineStr">
        <is>
          <t>The provided Java code defines a default implementation of `HystrixMetricsPublisher`, which is part of a library called Hystrix used for circuit breaker patterns in microservices architecture. This class implements the interface `HystrixMetricsPublisher` and provides a basic structure for publishing metrics related to Hystrix commands. The code includes comments explaining its purpose and usage within the context of Hystrix's</t>
        </is>
      </c>
      <c r="E498" t="n">
        <v>0.0041</v>
      </c>
      <c r="F498" t="n">
        <v>0.0896</v>
      </c>
      <c r="G498" t="n">
        <v>0.1538</v>
      </c>
      <c r="H498" t="inlineStr">
        <is>
          <t>Implements default metrics publisher for Hystrix library.</t>
        </is>
      </c>
      <c r="I498" t="n">
        <v>0</v>
      </c>
      <c r="J498" t="n">
        <v>0.1333</v>
      </c>
      <c r="K498" t="n">
        <v>0.0633</v>
      </c>
      <c r="L498" t="inlineStr">
        <is>
          <t>This code defines a default implementation of `HystrixMetricsPublisher`, which is used to publish metrics related to Hystrix circuit breakers and fallbacks. The publisher integrates with existing comments indicating that it implements core algorithms and includes initial codebase commits. It's part of a larger system designed to monitor and manage service resilience using Hystrix.</t>
        </is>
      </c>
      <c r="M498" t="n">
        <v>0.008699999999999999</v>
      </c>
      <c r="N498" t="n">
        <v>0.129</v>
      </c>
      <c r="O498" t="n">
        <v>0.2976</v>
      </c>
    </row>
    <row r="499">
      <c r="A499" t="inlineStr">
        <is>
          <t>hystrix</t>
        </is>
      </c>
      <c r="B499" t="inlineStr">
        <is>
          <t>hystrix-core/src/main/java/com/netflix/hystrix/strategy/metrics/package-info.java</t>
        </is>
      </c>
      <c r="C499">
        <f>HYPERLINK("https://github.com/Netflix/Hystrix/blob/master/hystrix-core/src/main/java/com/netflix/hystrix/strategy/metrics/package-info.java")</f>
        <v/>
      </c>
      <c r="D499" t="inlineStr">
        <is>
          <t>The code defines a strategy for publishing metrics and provides a default implementation. It includes comments explaining its purpose and usage, as well as metadata about its license and versioning. The complexity is O(N), indicating linear time complexity, and it implements core algorithms. The code size is 745 lines.</t>
        </is>
      </c>
      <c r="E499" t="n">
        <v>0.008800000000000001</v>
      </c>
      <c r="F499" t="n">
        <v>0.06900000000000001</v>
      </c>
      <c r="G499" t="n">
        <v>0.2112</v>
      </c>
      <c r="H499" t="inlineStr">
        <is>
          <t>Implements core algorithms for metric publishing strategies in Hystrix library.</t>
        </is>
      </c>
      <c r="I499" t="n">
        <v>0.0211</v>
      </c>
      <c r="J499" t="n">
        <v>0.2222</v>
      </c>
      <c r="K499" t="n">
        <v>0.2287</v>
      </c>
      <c r="L499" t="inlineStr">
        <is>
          <t>The code defines a strategy interface for publishing metrics and provides a default implementation using Hystrix's metric reporting mechanism. It includes comments explaining the license and versioning, as well as documentation for the package and class. The code size is 745 lines, indicating that it handles complex metric aggregation and publication tasks within the Hystrix framework.</t>
        </is>
      </c>
      <c r="M499" t="n">
        <v>0.0033</v>
      </c>
      <c r="N499" t="n">
        <v>0.0615</v>
      </c>
      <c r="O499" t="n">
        <v>0.1172</v>
      </c>
    </row>
    <row r="500">
      <c r="A500" t="inlineStr">
        <is>
          <t>hystrix</t>
        </is>
      </c>
      <c r="B500" t="inlineStr">
        <is>
          <t>hystrix-core/src/main/java/com/netflix/hystrix/strategy/metrics/HystrixMetricsPublisherCollapser.java</t>
        </is>
      </c>
      <c r="C500">
        <f>HYPERLINK("https://github.com/Netflix/Hystrix/blob/master/hystrix-core/src/main/java/com/netflix/hystrix/strategy/metrics/HystrixMetricsPublisherCollapser.java")</f>
        <v/>
      </c>
      <c r="D500" t="inlineStr">
        <is>
          <t>The provided code defines an interface `HystrixCollapserMetrics` within the package `com.netflix.hystrix.strategy.metrics`. This interface serves as a metrics publisher specifically designed for `HystrixCollapser`, which is used in circuit breaker patterns to reduce the number of requests made when multiple related requests can be batched together. The class implements this interface to handle metrics collection and</t>
        </is>
      </c>
      <c r="E500" t="n">
        <v>0.0045</v>
      </c>
      <c r="F500" t="n">
        <v>0.09089999999999999</v>
      </c>
      <c r="G500" t="n">
        <v>0.1587</v>
      </c>
      <c r="H500" t="inlineStr">
        <is>
          <t>Implements metrics publishing for HystrixCollapsers, providing basic infrastructure without resource allocation or global state changes.</t>
        </is>
      </c>
      <c r="I500" t="n">
        <v>0</v>
      </c>
      <c r="J500" t="n">
        <v>0.08699999999999999</v>
      </c>
      <c r="K500" t="n">
        <v>0.0575</v>
      </c>
      <c r="L500" t="inlineStr">
        <is>
          <t>This class serves as a metrics publisher for `HystrixCollapsers`, providing a framework for collecting and reporting performance data related to these collapser instances. It ensures that no external resources are allocated during instantiation, adhering to best practices for resource management in microservices architecture.</t>
        </is>
      </c>
      <c r="M500" t="n">
        <v>0.0051</v>
      </c>
      <c r="N500" t="n">
        <v>0.0784</v>
      </c>
      <c r="O500" t="n">
        <v>0.08699999999999999</v>
      </c>
    </row>
    <row r="501">
      <c r="A501" t="inlineStr">
        <is>
          <t>hystrix</t>
        </is>
      </c>
      <c r="B501" t="inlineStr">
        <is>
          <t>hystrix-core/src/main/java/com/netflix/hystrix/strategy/metrics/HystrixMetricsPublisherCollapserDefault.java</t>
        </is>
      </c>
      <c r="C501">
        <f>HYPERLINK("https://github.com/Netflix/Hystrix/blob/master/hystrix-core/src/main/java/com/netflix/hystrix/strategy/metrics/HystrixMetricsPublisherCollapserDefault.java")</f>
        <v/>
      </c>
      <c r="D501" t="inlineStr">
        <is>
          <t>The provided Java code defines a default implementation of `HystrixMetricsPublisherCollapser`, which is part of the Netflix Hystrix library used for circuit breaker and fallback mechanisms in microservices architecture. This class implements the interface but provides no actual metric publishing logic; it essentially acts as a placeholder when no custom metrics publisher is configured. The comments indicate that this class should be extended if additional metrics</t>
        </is>
      </c>
      <c r="E501" t="n">
        <v>0.0037</v>
      </c>
      <c r="F501" t="n">
        <v>0.0822</v>
      </c>
      <c r="G501" t="n">
        <v>0.146</v>
      </c>
      <c r="H501" t="inlineStr">
        <is>
          <t>Implements core algorithms without any additional functionality.</t>
        </is>
      </c>
      <c r="I501" t="n">
        <v>0.0286</v>
      </c>
      <c r="J501" t="n">
        <v>0.4</v>
      </c>
      <c r="K501" t="n">
        <v>0.2373</v>
      </c>
      <c r="L501" t="inlineStr">
        <is>
          <t>This Java class provides a default implementation of `HystrixMetricsPublisherCollapser`, which serves as a placeholder when no custom metrics publisher is configured for Hystrix collapsers. The class implements the interface without adding any actual metric collection logic, allowing other implementations to be used if needed.</t>
        </is>
      </c>
      <c r="M501" t="n">
        <v>0.005</v>
      </c>
      <c r="N501" t="n">
        <v>0.1154</v>
      </c>
      <c r="O501" t="n">
        <v>0.1293</v>
      </c>
    </row>
    <row r="502">
      <c r="A502" t="inlineStr">
        <is>
          <t>hystrix</t>
        </is>
      </c>
      <c r="B502" t="inlineStr">
        <is>
          <t>hystrix-core/src/main/java/com/netflix/hystrix/strategy/metrics/HystrixMetricsPublisherThreadPoolDefault.java</t>
        </is>
      </c>
      <c r="C502">
        <f>HYPERLINK("https://github.com/Netflix/Hystrix/blob/master/hystrix-core/src/main/java/com/netflix/hystrix/strategy/metrics/HystrixMetricsPublisherThreadPoolDefault.java")</f>
        <v/>
      </c>
      <c r="D502" t="inlineStr">
        <is>
          <t>The provided code defines a default implementation of `HystrixMetricsPublisherThreadPool` which does nothing. This class is part of a library used for monitoring and managing thread pools within the Netflix Hystrix framework. The implementation is designed as a placeholder when no custom metrics publisher is needed.</t>
        </is>
      </c>
      <c r="E502" t="n">
        <v>0.0049</v>
      </c>
      <c r="F502" t="n">
        <v>0.0755</v>
      </c>
      <c r="G502" t="n">
        <v>0.1709</v>
      </c>
      <c r="H502" t="inlineStr">
        <is>
          <t>Implements core algorithms without any specific functionality described.</t>
        </is>
      </c>
      <c r="I502" t="n">
        <v>0.033</v>
      </c>
      <c r="J502" t="n">
        <v>0.375</v>
      </c>
      <c r="K502" t="n">
        <v>0.3194</v>
      </c>
      <c r="L502" t="inlineStr">
        <is>
          <t>This code provides a default implementation of `HystrixMetricsPublisherThreadPool`, which is responsible for publishing metrics related to thread pools used by Hystrix circuit breakers. The class implements the interface without performing any actual metric collection or reporting, making it suitable for environments where no external monitoring tools are needed.</t>
        </is>
      </c>
      <c r="M502" t="n">
        <v>0.0045</v>
      </c>
      <c r="N502" t="n">
        <v>0.07140000000000001</v>
      </c>
      <c r="O502" t="n">
        <v>0.125</v>
      </c>
    </row>
    <row r="503">
      <c r="A503" t="inlineStr">
        <is>
          <t>hystrix</t>
        </is>
      </c>
      <c r="B503" t="inlineStr">
        <is>
          <t>hystrix-core/src/main/java/com/netflix/hystrix/strategy/metrics/HystrixMetricsPublisherCommandDefault.java</t>
        </is>
      </c>
      <c r="C503">
        <f>HYPERLINK("https://github.com/Netflix/Hystrix/blob/master/hystrix-core/src/main/java/com/netflix/hystrix/strategy/metrics/HystrixMetricsPublisherCommandDefault.java")</f>
        <v/>
      </c>
      <c r="D503" t="inlineStr">
        <is>
          <t>The provided code defines a default implementation of `HystrixMetricsPublisherCommand` which is designed to do nothing. This class is part of the Netflix Hystrix library, specifically within the metrics strategy module. It implements the interface but provides no actual metric publishing logic, making it suitable for environments where metrics collection is not needed or desired. The class includes comments explaining its purpose and usage, as well</t>
        </is>
      </c>
      <c r="E503" t="n">
        <v>0.0037</v>
      </c>
      <c r="F503" t="n">
        <v>0.1096</v>
      </c>
      <c r="G503" t="n">
        <v>0.146</v>
      </c>
      <c r="H503" t="inlineStr">
        <is>
          <t>Implements core algorithms without any specific functionality described.</t>
        </is>
      </c>
      <c r="I503" t="n">
        <v>0.033</v>
      </c>
      <c r="J503" t="n">
        <v>0.375</v>
      </c>
      <c r="K503" t="n">
        <v>0.3194</v>
      </c>
      <c r="L503" t="inlineStr">
        <is>
          <t>This code provides a default implementation of `HystrixMetricsPublisherCommand`, which is designed to handle metrics for Hystrix commands without any actual metric collection or publishing logic. The class implements the interface but leaves all methods empty, effectively disabling the command's ability to report performance data to monitoring systems. This implementation is part of a larger system used for managing circuit breakers and command execution in Netflix applications</t>
        </is>
      </c>
      <c r="M503" t="n">
        <v>0.0039</v>
      </c>
      <c r="N503" t="n">
        <v>0.08</v>
      </c>
      <c r="O503" t="n">
        <v>0.2174</v>
      </c>
    </row>
    <row r="504">
      <c r="A504" t="inlineStr">
        <is>
          <t>hystrix</t>
        </is>
      </c>
      <c r="B504" t="inlineStr">
        <is>
          <t>hystrix-core/src/main/java/com/netflix/hystrix/strategy/metrics/HystrixMetricsPublisherThreadPool.java</t>
        </is>
      </c>
      <c r="C504">
        <f>HYPERLINK("https://github.com/Netflix/Hystrix/blob/master/hystrix-core/src/main/java/com/netflix/hystrix/strategy/metrics/HystrixMetricsPublisherThreadPool.java")</f>
        <v/>
      </c>
      <c r="D504" t="inlineStr">
        <is>
          <t>The provided Java code defines an interface `HystrixMetricsPublisher` which serves as a contract for metrics publishers related to a `HystrixThreadPool`. The class implements this interface and provides methods to publish various metrics about the thread pool's performance. It includes comments explaining its purpose, usage guidelines, and complexity level.</t>
        </is>
      </c>
      <c r="E504" t="n">
        <v>0.0045</v>
      </c>
      <c r="F504" t="n">
        <v>0.0702</v>
      </c>
      <c r="G504" t="n">
        <v>0.125</v>
      </c>
      <c r="H504" t="inlineStr">
        <is>
          <t>Implements metrics publishing for `HystrixThreadPool` instances using an implementation of `HystrixMetricsPublisher`.</t>
        </is>
      </c>
      <c r="I504" t="n">
        <v>0</v>
      </c>
      <c r="J504" t="n">
        <v>0.1053</v>
      </c>
      <c r="K504" t="n">
        <v>0.1205</v>
      </c>
      <c r="L504" t="inlineStr">
        <is>
          <t>The code provides a metrics publisher for `HystrixThreadPool` instances, which helps track performance metrics without requiring additional resource allocation or global state changes during instantiation.</t>
        </is>
      </c>
      <c r="M504" t="n">
        <v>0</v>
      </c>
      <c r="N504" t="n">
        <v>0</v>
      </c>
      <c r="O504" t="n">
        <v>0</v>
      </c>
    </row>
    <row r="505">
      <c r="A505" t="inlineStr">
        <is>
          <t>hystrix</t>
        </is>
      </c>
      <c r="B505" t="inlineStr">
        <is>
          <t>hystrix-core/src/main/java/com/netflix/hystrix/util/HystrixRollingPercentile.java</t>
        </is>
      </c>
      <c r="C505">
        <f>HYPERLINK("https://github.com/Netflix/Hystrix/blob/master/hystrix-core/src/main/java/com/netflix/hystrix/util/HystrixRollingPercentile.java")</f>
        <v/>
      </c>
      <c r="D505" t="inlineStr">
        <is>
          <t>The provided Java code defines utility classes within the `com.netflix.hystrix.util` package that implement various atomic operations using `AtomicInteger`, `AtomicIntegerArray`, `AtomicReference`, and `AtomicReferenceArray`. These utilities are used for concurrent programming tasks such as managing thread-safe counters and references. The complexity of these implementations is O(1), making them efficient for high-performance applications requiring low-lat</t>
        </is>
      </c>
      <c r="E505" t="n">
        <v>0.0035</v>
      </c>
      <c r="F505" t="n">
        <v>0.0597</v>
      </c>
      <c r="G505" t="n">
        <v>0.121</v>
      </c>
      <c r="H505" t="inlineStr">
        <is>
          <t>This repository contains backend software components implementing core algorithms. The complexity is O(N), indicating linear time operations. The implementation includes various data structures and atomic references.</t>
        </is>
      </c>
      <c r="I505" t="n">
        <v>0.0103</v>
      </c>
      <c r="J505" t="n">
        <v>0.2857</v>
      </c>
      <c r="K505" t="n">
        <v>0.2551</v>
      </c>
      <c r="L505" t="inlineStr">
        <is>
          <t>The provided Java code defines utility classes within the `com.netflix.hystrix.util` package that support Hystrix circuit breaker and fallback mechanisms. It includes atomic arrays for managing state and counters, as well as methods for thread-safe iteration over collections. The code is designed to be efficient and scalable, suitable for high-performance applications requiring fault tolerance and resilience.</t>
        </is>
      </c>
      <c r="M505" t="n">
        <v>0.0033</v>
      </c>
      <c r="N505" t="n">
        <v>0.0294</v>
      </c>
      <c r="O505" t="n">
        <v>0.0394</v>
      </c>
    </row>
    <row r="506">
      <c r="A506" t="inlineStr">
        <is>
          <t>hystrix</t>
        </is>
      </c>
      <c r="B506" t="inlineStr">
        <is>
          <t>hystrix-core/src/main/java/com/netflix/hystrix/util/package-info.java</t>
        </is>
      </c>
      <c r="C506">
        <f>HYPERLINK("https://github.com/Netflix/Hystrix/blob/master/hystrix-core/src/main/java/com/netflix/hystrix/util/package-info.java")</f>
        <v/>
      </c>
      <c r="D506" t="inlineStr">
        <is>
          <t>The provided code defines a package named `com.netflix.hystrix.util` that includes common utility classes. These utilities are designed to support various functionalities within the Hystrix library, which is used for building resilient microservices architectures. The code does not contain any implementation details but rather serves as a namespace for utility methods and classes that can be reused across different parts of the Hystrix framework.</t>
        </is>
      </c>
      <c r="E506" t="n">
        <v>0.0029</v>
      </c>
      <c r="F506" t="n">
        <v>0.0541</v>
      </c>
      <c r="G506" t="n">
        <v>0.1111</v>
      </c>
      <c r="H506" t="inlineStr">
        <is>
          <t>Contains common utility classes implementing core algorithms.</t>
        </is>
      </c>
      <c r="I506" t="n">
        <v>0.0286</v>
      </c>
      <c r="J506" t="n">
        <v>0.2667</v>
      </c>
      <c r="K506" t="n">
        <v>0.2373</v>
      </c>
      <c r="L506" t="inlineStr">
        <is>
          <t>This package contains common utility classes used throughout the Hystrix library, providing essential functionalities such as logging, configuration management, and thread-safe data structures. The code complexity is moderate, with comments indicating implementation of core algorithms.</t>
        </is>
      </c>
      <c r="M506" t="n">
        <v>0.007</v>
      </c>
      <c r="N506" t="n">
        <v>0.1364</v>
      </c>
      <c r="O506" t="n">
        <v>0.2336</v>
      </c>
    </row>
    <row r="507">
      <c r="A507" t="inlineStr">
        <is>
          <t>hystrix</t>
        </is>
      </c>
      <c r="B507" t="inlineStr">
        <is>
          <t>hystrix-core/src/main/java/com/netflix/hystrix/util/PlatformSpecific.java</t>
        </is>
      </c>
      <c r="C507">
        <f>HYPERLINK("https://github.com/Netflix/Hystrix/blob/master/hystrix-core/src/main/java/com/netflix/hystrix/util/PlatformSpecific.java")</f>
        <v/>
      </c>
      <c r="D507" t="inlineStr">
        <is>
          <t>The provided Java code defines a utility class `PlatformSpecific` that determines the current execution environment based on the platform it's running on. It uses reflection to check if certain classes exist, which helps identify whether the application is running on Google App Engine Standard or Flexible environments. The class provides methods to determine these platforms and can be used to configure behavior accordingly.</t>
        </is>
      </c>
      <c r="E507" t="n">
        <v>0.0029</v>
      </c>
      <c r="F507" t="n">
        <v>0.0278</v>
      </c>
      <c r="G507" t="n">
        <v>0.0741</v>
      </c>
      <c r="H507" t="inlineStr">
        <is>
          <t>This repository contains backend software components that implement core algorithms. The complexity of these implementations is O(N), indicating linear time complexity relative to the input size. The code base has been initialized with the first commit.</t>
        </is>
      </c>
      <c r="I507" t="n">
        <v>0.0068</v>
      </c>
      <c r="J507" t="n">
        <v>0.1778</v>
      </c>
      <c r="K507" t="n">
        <v>0.1852</v>
      </c>
      <c r="L507" t="inlineStr">
        <is>
          <t>This Java utility class determines the current execution environment based on the underlying platform using reflection to check for known platforms like standard JVMs, Google App Engine Standard, and Flexible environments. It provides a singleton instance that can be used throughout the application to determine which platform-specific configurations should be applied. The `Platform` enum encapsulates these different types of platforms, and the constructor initializes the `INSTANCE`.</t>
        </is>
      </c>
      <c r="M507" t="n">
        <v>0.0033</v>
      </c>
      <c r="N507" t="n">
        <v>0.0533</v>
      </c>
      <c r="O507" t="n">
        <v>0.1087</v>
      </c>
    </row>
    <row r="508">
      <c r="A508" t="inlineStr">
        <is>
          <t>hystrix</t>
        </is>
      </c>
      <c r="B508" t="inlineStr">
        <is>
          <t>hystrix-core/src/main/java/com/netflix/hystrix/util/Striped64.java</t>
        </is>
      </c>
      <c r="C508">
        <f>HYPERLINK("https://github.com/Netflix/Hystrix/blob/master/hystrix-core/src/main/java/com/netflix/hystrix/util/Striped64.java")</f>
        <v/>
      </c>
      <c r="D508" t="inlineStr">
        <is>
          <t>The provided code snippet defines a package-private utility class named `Random` within the `com.netflix.hystrix.util` package. This class appears to be a custom implementation of the Java standard library's `java.util.Random` class, likely tailored for specific needs related to Hystrix, a circuit breaker pattern used in microservices architecture to handle failures gracefully. The class includes comments indicating that it was</t>
        </is>
      </c>
      <c r="E508" t="n">
        <v>0.0031</v>
      </c>
      <c r="F508" t="n">
        <v>0.0548</v>
      </c>
      <c r="G508" t="n">
        <v>0.1154</v>
      </c>
      <c r="H508" t="inlineStr">
        <is>
          <t>This repository contains backend software components implementing core algorithms. The complexity is O(N), indicating linear time performance relative to input size. Comments provide detailed explanations of the implementation, while commits document the initial creation of the codebase. The total code size is 1000 lines.</t>
        </is>
      </c>
      <c r="I508" t="n">
        <v>0.0055</v>
      </c>
      <c r="J508" t="n">
        <v>0.1509</v>
      </c>
      <c r="K508" t="n">
        <v>0.2721</v>
      </c>
      <c r="L508" t="inlineStr">
        <is>
          <t>The `com.netflix.hystrix.util` package contains utility classes used within the Hystrix library, which provides circuit breaker and fallback mechanisms for handling failures in microservices architectures. The code includes a simple random number generator (`Random`) implementation that can be used across different parts of the system to introduce variability in certain scenarios.</t>
        </is>
      </c>
      <c r="M508" t="n">
        <v>0.0037</v>
      </c>
      <c r="N508" t="n">
        <v>0.0328</v>
      </c>
      <c r="O508" t="n">
        <v>0.123</v>
      </c>
    </row>
    <row r="509">
      <c r="A509" t="inlineStr">
        <is>
          <t>hystrix</t>
        </is>
      </c>
      <c r="B509" t="inlineStr">
        <is>
          <t>hystrix-core/src/main/java/com/netflix/hystrix/util/LongAdder.java</t>
        </is>
      </c>
      <c r="C509">
        <f>HYPERLINK("https://github.com/Netflix/Hystrix/blob/master/hystrix-core/src/main/java/com/netflix/hystrix/util/LongAdder.java")</f>
        <v/>
      </c>
      <c r="D509" t="inlineStr">
        <is>
          <t>The provided code appears to be part of a Java library that implements core algorithms using the Java Collections Framework. It includes classes such as `ArrayList`, `LinkedList`, and others, which provide efficient data structures for storing and manipulating collections of objects. The implementation uses generics and other modern features of Java to ensure type safety and performance. The comments indicate that the code was written by Doug Lea, who contributed</t>
        </is>
      </c>
      <c r="E509" t="n">
        <v>0.0061</v>
      </c>
      <c r="F509" t="n">
        <v>0.0769</v>
      </c>
      <c r="G509" t="n">
        <v>0.2223</v>
      </c>
      <c r="H509" t="inlineStr">
        <is>
          <t>The repository contains backend software components that implement core algorithms. The complexity is O(N), indicating linear time performance. Comments describe the implementation details, and the commits include the initial codebase creation. The total size of the codebase is 1000 lines.</t>
        </is>
      </c>
      <c r="I509" t="n">
        <v>0.0061</v>
      </c>
      <c r="J509" t="n">
        <v>0.1633</v>
      </c>
      <c r="K509" t="n">
        <v>0.1786</v>
      </c>
      <c r="L509" t="inlineStr">
        <is>
          <t>This Java class provides utility methods for handling serialization and deserialization of objects using Hystrix's `HystrixCommand` framework. It includes methods to serialize and deserialize `HystrixCommand` instances, which can be useful for managing command states across different application contexts. The implementation uses standard Java serialization mechanisms and handles potential exceptions such as `IOException`.</t>
        </is>
      </c>
      <c r="M509" t="n">
        <v>0.0042</v>
      </c>
      <c r="N509" t="n">
        <v>0.0984</v>
      </c>
      <c r="O509" t="n">
        <v>0.1613</v>
      </c>
    </row>
    <row r="510">
      <c r="A510" t="inlineStr">
        <is>
          <t>hystrix</t>
        </is>
      </c>
      <c r="B510" t="inlineStr">
        <is>
          <t>hystrix-core/src/main/java/com/netflix/hystrix/util/ExceptionThreadingUtility.java</t>
        </is>
      </c>
      <c r="C510">
        <f>HYPERLINK("https://github.com/Netflix/Hystrix/blob/master/hystrix-core/src/main/java/com/netflix/hystrix/util/ExceptionThreadingUtility.java")</f>
        <v/>
      </c>
      <c r="D510" t="inlineStr">
        <is>
          <t>The `ExceptionThreadingUtility` class from the `com.netflix.hystrix.util` package provides deprecated methods for attaching the stack trace of the calling thread to a throwable and assigning a thread to handle exceptions. These functionalities have been removed due to being no longer supported. The class is marked as deprecated and should be avoided in new projects.</t>
        </is>
      </c>
      <c r="E510" t="n">
        <v>0.0035</v>
      </c>
      <c r="F510" t="n">
        <v>0.0625</v>
      </c>
      <c r="G510" t="n">
        <v>0.08</v>
      </c>
      <c r="H510" t="inlineStr">
        <is>
          <t>The code provides utility methods for handling exceptions related to threading within the Hystrix library. It includes deprecated methods `attachCallingThreadStack` and `assignCallingThread`, which were used to associate stack traces with threads but have been removed as they are no longer supported. The complexity is O(N), indicating that it involves processing N elements, though the actual implementation details are not specified.</t>
        </is>
      </c>
      <c r="I510" t="n">
        <v>0.003</v>
      </c>
      <c r="J510" t="n">
        <v>0.029</v>
      </c>
      <c r="K510" t="n">
        <v>0.1136</v>
      </c>
      <c r="L510" t="inlineStr">
        <is>
          <t>This utility class provides deprecated methods for attaching stack traces to exceptions and assigning threads, which have been removed as part of ongoing maintenance efforts. The code is marked as deprecated and should be replaced with alternative approaches if needed.</t>
        </is>
      </c>
      <c r="M510" t="n">
        <v>0.0055</v>
      </c>
      <c r="N510" t="n">
        <v>0.0833</v>
      </c>
      <c r="O510" t="n">
        <v>0.1339</v>
      </c>
    </row>
    <row r="511">
      <c r="A511" t="inlineStr">
        <is>
          <t>hystrix</t>
        </is>
      </c>
      <c r="B511" t="inlineStr">
        <is>
          <t>hystrix-core/src/main/java/com/netflix/hystrix/util/HystrixTimer.java</t>
        </is>
      </c>
      <c r="C511">
        <f>HYPERLINK("https://github.com/Netflix/Hystrix/blob/master/hystrix-core/src/main/java/com/netflix/hystrix/util/HystrixTimer.java")</f>
        <v/>
      </c>
      <c r="D511" t="inlineStr">
        <is>
          <t>The provided Java code defines utility classes and methods related to Hystrix, a library used for building resilient microservices architectures. It includes:
- **HystrixCollapser**: A class that allows collapsing multiple requests into a single request, reducing network overhead and improving performance.
- **HystrixCommand**: A base class for creating command objects that can be executed asynchronously within the context of H</t>
        </is>
      </c>
      <c r="E511" t="n">
        <v>0.003</v>
      </c>
      <c r="F511" t="n">
        <v>0.0303</v>
      </c>
      <c r="G511" t="n">
        <v>0.07580000000000001</v>
      </c>
      <c r="H511" t="inlineStr">
        <is>
          <t>The repository contains backend software components implementing core algorithms. The complexity is O(N), indicating linear time complexity. The implementation includes Hystrix commands and collapsers from Netflix's Hystrix library, along with logging using SLF4J. The code size is 1000 lines.</t>
        </is>
      </c>
      <c r="I511" t="n">
        <v>0.0062</v>
      </c>
      <c r="J511" t="n">
        <v>0.1633</v>
      </c>
      <c r="K511" t="n">
        <v>0.2252</v>
      </c>
      <c r="L511" t="inlineStr">
        <is>
          <t>This Java package provides utility classes for Hystrix, Netflix's circuit breaker library used for managing service calls. It includes implementations of `HystrixCollapser` and `HystrixCommand`, as well as strategies for configuring properties using `HystrixPropertiesStrategy`. The code also utilizes logging through SLF4J for debugging purposes.</t>
        </is>
      </c>
      <c r="M511" t="n">
        <v>0.0051</v>
      </c>
      <c r="N511" t="n">
        <v>0.1154</v>
      </c>
      <c r="O511" t="n">
        <v>0.1739</v>
      </c>
    </row>
    <row r="512">
      <c r="A512" t="inlineStr">
        <is>
          <t>hystrix</t>
        </is>
      </c>
      <c r="B512" t="inlineStr">
        <is>
          <t>hystrix-core/src/main/java/com/netflix/hystrix/util/LongMaxUpdater.java</t>
        </is>
      </c>
      <c r="C512">
        <f>HYPERLINK("https://github.com/Netflix/Hystrix/blob/master/hystrix-core/src/main/java/com/netflix/hystrix/util/LongMaxUpdater.java")</f>
        <v/>
      </c>
      <c r="D512" t="inlineStr">
        <is>
          <t>The provided Java code snippet defines a class `HystrixUtil` within the package `com.netflix.hystrix.util`. This utility class likely contains various helper methods related to Hystrix, a library used for building resilient microservices architectures. The code includes comments explaining its purpose, license information, and references to other resources like the JSR-166 project. However, without additional context</t>
        </is>
      </c>
      <c r="E512" t="n">
        <v>0.004</v>
      </c>
      <c r="F512" t="n">
        <v>0.0606</v>
      </c>
      <c r="G512" t="n">
        <v>0.119</v>
      </c>
      <c r="H512" t="inlineStr">
        <is>
          <t>The repository contains backend software components that implement core algorithms. The complexity of these implementations is O(N), indicating they scale linearly with input size. The comments provide details about the implementation's purpose and its role within the overall system. The commits indicate the initial creation of the codebase. The total code size is 1000 lines.</t>
        </is>
      </c>
      <c r="I512" t="n">
        <v>0.0044</v>
      </c>
      <c r="J512" t="n">
        <v>0.1231</v>
      </c>
      <c r="K512" t="n">
        <v>0.1969</v>
      </c>
      <c r="L512" t="inlineStr">
        <is>
          <t>The code defines utility classes for handling serialization and deserialization in Hystrix, ensuring that objects can be safely transmitted between different parts of the application without losing their state. It includes methods for reading and writing objects to streams, which are essential for maintaining session data across requests in microservices architectures. The implementation uses Java's built-in `Serializable` interface to achieve this, leveraging the capabilities of the Java</t>
        </is>
      </c>
      <c r="M512" t="n">
        <v>0.0027</v>
      </c>
      <c r="N512" t="n">
        <v>0.026</v>
      </c>
      <c r="O512" t="n">
        <v>0.1079</v>
      </c>
    </row>
    <row r="513">
      <c r="A513" t="inlineStr">
        <is>
          <t>hystrix</t>
        </is>
      </c>
      <c r="B513" t="inlineStr">
        <is>
          <t>hystrix-core/src/main/java/com/netflix/hystrix/util/Exceptions.java</t>
        </is>
      </c>
      <c r="C513">
        <f>HYPERLINK("https://github.com/Netflix/Hystrix/blob/master/hystrix-core/src/main/java/com/netflix/hystrix/util/Exceptions.java")</f>
        <v/>
      </c>
      <c r="D513" t="inlineStr">
        <is>
          <t>The `Exceptions` class provides a utility method to "sneak" a throwable into a runtime exception without requiring explicit casting or throwing it directly from the calling method. This allows for cleaner error handling in certain scenarios where catching exceptions is not feasible or desirable. The method uses generics to ensure type safety while allowing the caller to handle the exception as if it were thrown by the original method.</t>
        </is>
      </c>
      <c r="E513" t="n">
        <v>0.0026</v>
      </c>
      <c r="F513" t="n">
        <v>0.026</v>
      </c>
      <c r="G513" t="n">
        <v>0.0709</v>
      </c>
      <c r="H513" t="inlineStr">
        <is>
          <t>The code defines a utility class `Exceptions` within the package `com.netflix.hystrix.util`. It includes a method `sneakyThrow` that takes a `Throwable` as an argument and returns it wrapped in a `RuntimeException`, allowing for easier exception handling by breaking out of methods with a `throw` statement. The implementation uses generics to ensure type safety while throwing exceptions.</t>
        </is>
      </c>
      <c r="I513" t="n">
        <v>0.0033</v>
      </c>
      <c r="J513" t="n">
        <v>0.0303</v>
      </c>
      <c r="K513" t="n">
        <v>0.1181</v>
      </c>
      <c r="L513" t="inlineStr">
        <is>
          <t>The `Exceptions` class provides utility methods for throwing exceptions in a way that allows them to be used as runtime exceptions without requiring explicit casting. The `sneakyThrow` method takes any throwable and wraps it in a `RuntimeException`, which simplifies exception handling by allowing callers to use a simple `throw` statement instead of explicitly catching and rethrowing the exception.</t>
        </is>
      </c>
      <c r="M513" t="n">
        <v>0.0031</v>
      </c>
      <c r="N513" t="n">
        <v>0.0303</v>
      </c>
      <c r="O513" t="n">
        <v>0.0769</v>
      </c>
    </row>
    <row r="514">
      <c r="A514" t="inlineStr">
        <is>
          <t>hystrix</t>
        </is>
      </c>
      <c r="B514" t="inlineStr">
        <is>
          <t>hystrix-core/src/main/java/com/netflix/hystrix/util/HystrixRollingNumberEvent.java</t>
        </is>
      </c>
      <c r="C514">
        <f>HYPERLINK("https://github.com/Netflix/Hystrix/blob/master/hystrix-core/src/main/java/com/netflix/hystrix/util/HystrixRollingNumberEvent.java")</f>
        <v/>
      </c>
      <c r="D514" t="inlineStr">
        <is>
          <t>The provided Java code defines constants representing various event types used within the `HystrixRollingNumber` class from the Netflix Hystrix library. These constants include both counters and max-updater events, which are used to track metrics such as success, failure, timeout, and circuit-breaker state changes over rolling time windows. Each constant includes information about whether it is a counter or a max-up</t>
        </is>
      </c>
      <c r="E514" t="n">
        <v>0.003</v>
      </c>
      <c r="F514" t="n">
        <v>0.0282</v>
      </c>
      <c r="G514" t="n">
        <v>0.07580000000000001</v>
      </c>
      <c r="H514" t="inlineStr">
        <is>
          <t>The repository contains backend software components implementing core algorithms. Complexity is O(N), indicating linear time complexity. Comments describe the implementation of these algorithms. Initial codebase commit was made. Code size is 1000 lines.</t>
        </is>
      </c>
      <c r="I514" t="n">
        <v>0.0067</v>
      </c>
      <c r="J514" t="n">
        <v>0.1429</v>
      </c>
      <c r="K514" t="n">
        <v>0.1429</v>
      </c>
      <c r="L514" t="inlineStr">
        <is>
          <t>This Java class defines various event types used in the `HystrixRollingNumber` component of the Netflix Hystrix library. It includes both counter and max updater events, which capture different behaviors such as success, failure, timeout, and circuit breaker state changes over time. These events help in monitoring and analyzing performance metrics related to service calls within a rolling window.</t>
        </is>
      </c>
      <c r="M514" t="n">
        <v>0.0037</v>
      </c>
      <c r="N514" t="n">
        <v>0.0606</v>
      </c>
      <c r="O514" t="n">
        <v>0.1154</v>
      </c>
    </row>
    <row r="515">
      <c r="A515" t="inlineStr">
        <is>
          <t>hystrix</t>
        </is>
      </c>
      <c r="B515" t="inlineStr">
        <is>
          <t>hystrix-core/src/main/java/com/netflix/hystrix/util/InternMap.java</t>
        </is>
      </c>
      <c r="C515">
        <f>HYPERLINK("https://github.com/Netflix/Hystrix/blob/master/hystrix-core/src/main/java/com/netflix/hystrix/util/InternMap.java")</f>
        <v/>
      </c>
      <c r="D515" t="inlineStr">
        <is>
          <t>The `InternMap` utility class is designed to provide a thread-safe way to store single instances of wrapper objects for each unique key using a concurrent hash map. It uses a custom `ValueConstructor` interface to generate values when keys do not already exist in the map. The `interned` method checks if the key exists; if it does, it returns the existing value; otherwise, it creates</t>
        </is>
      </c>
      <c r="E515" t="n">
        <v>0</v>
      </c>
      <c r="F515" t="n">
        <v>0</v>
      </c>
      <c r="G515" t="n">
        <v>0.0368</v>
      </c>
      <c r="H515" t="inlineStr">
        <is>
          <t>Provides a utility class `InternMap` that uses a concurrent hash map to store single instances of wrappers for keys based on a provided value constructor function. The class ensures thread safety by using `ConcurrentHashMap`. It includes methods to retrieve or create an interned object for a given key.</t>
        </is>
      </c>
      <c r="I515" t="n">
        <v>0</v>
      </c>
      <c r="J515" t="n">
        <v>0.0357</v>
      </c>
      <c r="K515" t="n">
        <v>0.0417</v>
      </c>
      <c r="L515" t="inlineStr">
        <is>
          <t>The `InternMap` utility provides thread-safe caching of instances created by a specified constructor based on unique keys. It uses a `ConcurrentHashMap` to store these instances efficiently. The `interned` method checks if an instance already exists for a given key; if not, it creates one using the provided constructor and stores it before returning the instance. The `size` method returns the number of</t>
        </is>
      </c>
      <c r="M515" t="n">
        <v>0.0029</v>
      </c>
      <c r="N515" t="n">
        <v>0.0282</v>
      </c>
      <c r="O515" t="n">
        <v>0.0746</v>
      </c>
    </row>
    <row r="516">
      <c r="A516" t="inlineStr">
        <is>
          <t>hystrix</t>
        </is>
      </c>
      <c r="B516" t="inlineStr">
        <is>
          <t>hystrix-core/src/main/java/com/netflix/hystrix/util/HystrixRollingNumber.java</t>
        </is>
      </c>
      <c r="C516">
        <f>HYPERLINK("https://github.com/Netflix/Hystrix/blob/master/hystrix-core/src/main/java/com/netflix/hystrix/util/HystrixRollingNumber.java")</f>
        <v/>
      </c>
      <c r="D516" t="inlineStr">
        <is>
          <t>The provided Java code defines utility classes for managing arrays using `AtomicReference` and `AtomicReferenceArray`, along with logging utilities from SLF4J. It includes methods for creating, manipulating, and iterating over these arrays efficiently. The complexity is O(1) for most operations due to atomic reference updates, but it can degrade to O(N) when dealing with large arrays or concurrent modifications. The</t>
        </is>
      </c>
      <c r="E516" t="n">
        <v>0.0031</v>
      </c>
      <c r="F516" t="n">
        <v>0.029</v>
      </c>
      <c r="G516" t="n">
        <v>0.07630000000000001</v>
      </c>
      <c r="H516" t="inlineStr">
        <is>
          <t>The code implements core algorithms for backend software components. It includes various data structures and concurrent utilities such as `ArrayList`, `AtomicReference`, and `ReentrantLock`. The complexity is O(N) due to operations involving arrays and collections.</t>
        </is>
      </c>
      <c r="I516" t="n">
        <v>0.0138</v>
      </c>
      <c r="J516" t="n">
        <v>0.1395</v>
      </c>
      <c r="K516" t="n">
        <v>0.2978</v>
      </c>
      <c r="L516" t="inlineStr">
        <is>
          <t>The provided Java code defines utility classes for managing thread-safe collections and atomic references within the Hystrix library, which is used for circuit breaker patterns in microservices architecture. The `HystrixUtil` package includes utilities for handling lists, arrays, and locks, ensuring efficient and thread-safe data management in concurrent environments.</t>
        </is>
      </c>
      <c r="M516" t="n">
        <v>0.0038</v>
      </c>
      <c r="N516" t="n">
        <v>0.0345</v>
      </c>
      <c r="O516" t="n">
        <v>0.0833</v>
      </c>
    </row>
    <row r="517">
      <c r="A517" t="inlineStr">
        <is>
          <t>hystrix</t>
        </is>
      </c>
      <c r="B517" t="inlineStr">
        <is>
          <t>hystrix-core/src/main/java/com/netflix/hystrix/exception/HystrixRuntimeException.java</t>
        </is>
      </c>
      <c r="C517">
        <f>HYPERLINK("https://github.com/Netflix/Hystrix/blob/master/hystrix-core/src/main/java/com/netflix/hystrix/exception/HystrixRuntimeException.java")</f>
        <v/>
      </c>
      <c r="D517" t="inlineStr">
        <is>
          <t>The provided Java code defines a custom exception `HystrixRuntimeException` within the package `com.netflix.hystrix.exception`. This exception is specifically designed to be thrown when a `HystrixCommand` instance fails without having a defined fallback mechanism. The exception inherits from `RuntimeException`, indicating it can be used as unchecked exceptions. It includes a generic type parameter to allow flexibility in handling different types of</t>
        </is>
      </c>
      <c r="E517" t="n">
        <v>0.0031</v>
      </c>
      <c r="F517" t="n">
        <v>0.0286</v>
      </c>
      <c r="G517" t="n">
        <v>0.07630000000000001</v>
      </c>
      <c r="H517" t="inlineStr">
        <is>
          <t>The repository contains backend software components implementing core algorithms. The complexity is O(N), indicating linear time operations. The comments describe the implementation of these algorithms. There has been one initial commit to establish the codebase. The total size of the code is 1000 lines.</t>
        </is>
      </c>
      <c r="I517" t="n">
        <v>0.005</v>
      </c>
      <c r="J517" t="n">
        <v>0.1132</v>
      </c>
      <c r="K517" t="n">
        <v>0.1293</v>
      </c>
      <c r="L517" t="inlineStr">
        <is>
          <t>The `HystrixRuntimeException` is a custom exception used within the Netflix Hystrix library to handle failures in command execution without a defined fallback mechanism. It extends `RuntimeException`, making it suitable for throwing unchecked exceptions during command execution. The exception includes details about the failed command and can be used to propagate errors across layers of the application.</t>
        </is>
      </c>
      <c r="M517" t="n">
        <v>0.0033</v>
      </c>
      <c r="N517" t="n">
        <v>0.0312</v>
      </c>
      <c r="O517" t="n">
        <v>0.0781</v>
      </c>
    </row>
    <row r="518">
      <c r="A518" t="inlineStr">
        <is>
          <t>hystrix</t>
        </is>
      </c>
      <c r="B518" t="inlineStr">
        <is>
          <t>hystrix-core/src/main/java/com/netflix/hystrix/exception/package-info.java</t>
        </is>
      </c>
      <c r="C518">
        <f>HYPERLINK("https://github.com/Netflix/Hystrix/blob/master/hystrix-core/src/main/java/com/netflix/hystrix/exception/package-info.java")</f>
        <v/>
      </c>
      <c r="D518" t="inlineStr">
        <is>
          <t>The provided Java code defines custom exceptions used within the Hystrix library, which is part of Netflix's infrastructure for handling failures gracefully during service calls. The class `com.netflix.hystrix.exception.HystrixException` serves as the base class for all Hystrix-specific exceptions, providing common functionality and structure for these exceptions. The package includes other classes like `HystrixBadRequestException</t>
        </is>
      </c>
      <c r="E518" t="n">
        <v>0.0074</v>
      </c>
      <c r="F518" t="n">
        <v>0.0606</v>
      </c>
      <c r="G518" t="n">
        <v>0.1512</v>
      </c>
      <c r="H518" t="inlineStr">
        <is>
          <t>Contains custom exception implementations for Hystrix library. Complexity is O(N), indicating it involves processing multiple elements. Comments describe implementation details. Initial codebase commit. Total size is 701 lines.</t>
        </is>
      </c>
      <c r="I518" t="n">
        <v>0</v>
      </c>
      <c r="J518" t="n">
        <v>0.0541</v>
      </c>
      <c r="K518" t="n">
        <v>0.05</v>
      </c>
      <c r="L518" t="inlineStr">
        <is>
          <t>The code provides custom exception classes for handling errors within the Hystrix library, which is used for circuit breaker patterns in microservices architecture. These exceptions help manage failures gracefully and provide detailed error messages for debugging purposes. The package includes various types of exceptions such as `HystrixBadRequestException`, `HystrixRuntimeException`, and others, each tailored to handle different scenarios related to service calls</t>
        </is>
      </c>
      <c r="M518" t="n">
        <v>0.003</v>
      </c>
      <c r="N518" t="n">
        <v>0.0294</v>
      </c>
      <c r="O518" t="n">
        <v>0.07580000000000001</v>
      </c>
    </row>
    <row r="519">
      <c r="A519" t="inlineStr">
        <is>
          <t>hystrix</t>
        </is>
      </c>
      <c r="B519" t="inlineStr">
        <is>
          <t>hystrix-core/src/main/java/com/netflix/hystrix/exception/ExceptionNotWrappedByHystrix.java</t>
        </is>
      </c>
      <c r="C519">
        <f>HYPERLINK("https://github.com/Netflix/Hystrix/blob/master/hystrix-core/src/main/java/com/netflix/hystrix/exception/ExceptionNotWrappedByHystrix.java")</f>
        <v/>
      </c>
      <c r="D519" t="inlineStr">
        <is>
          <t>The `ExceptionNotWrappedByHystrix` interface is designed for use with Netflix's Hystrix library. It allows developers to define custom exception classes that should not be wrapped by Hystrix when they occur during execution. This is useful for scenarios where specific exceptions need to be handled differently or do not require fallback mechanisms implemented by Hystrix. The interface provides no additional methods; it serves</t>
        </is>
      </c>
      <c r="E519" t="n">
        <v>0.003</v>
      </c>
      <c r="F519" t="n">
        <v>0.0571</v>
      </c>
      <c r="G519" t="n">
        <v>0.1128</v>
      </c>
      <c r="H519" t="inlineStr">
        <is>
          <t>Provides an interface for custom exception handling that prevents Hystrix from wrapping certain exceptions with a `HystrixRuntimeException`.</t>
        </is>
      </c>
      <c r="I519" t="n">
        <v>0</v>
      </c>
      <c r="J519" t="n">
        <v>0</v>
      </c>
      <c r="K519" t="n">
        <v>0</v>
      </c>
      <c r="L519" t="inlineStr">
        <is>
          <t>The `ExceptionNotWrappedByHystrix` interface is designed for exception classes that should not be wrapped by Hystrix when they occur during execution. Implementing this interface allows developers to bypass Hystrix's default error handling mechanism, which typically wraps exceptions in `HystrixRuntimeException`. This is useful for scenarios where specific exceptions need to be handled differently or when integrating with other systems that require</t>
        </is>
      </c>
      <c r="M519" t="n">
        <v>0.0031</v>
      </c>
      <c r="N519" t="n">
        <v>0.0294</v>
      </c>
      <c r="O519" t="n">
        <v>0.1145</v>
      </c>
    </row>
    <row r="520">
      <c r="A520" t="inlineStr">
        <is>
          <t>hystrix</t>
        </is>
      </c>
      <c r="B520" t="inlineStr">
        <is>
          <t>hystrix-core/src/main/java/com/netflix/hystrix/exception/HystrixBadRequestException.java</t>
        </is>
      </c>
      <c r="C520">
        <f>HYPERLINK("https://github.com/Netflix/Hystrix/blob/master/hystrix-core/src/main/java/com/netflix/hystrix/exception/HystrixBadRequestException.java")</f>
        <v/>
      </c>
      <c r="D520" t="inlineStr">
        <is>
          <t>The provided code defines a custom `HystrixException` class within the `com.netflix.hystrix.exception` package. This exception is designed to represent errors related to command arguments or state rather than actual execution failures. It differs from other Hystrix exceptions as it does not trigger fallback mechanisms, does not contribute to failure metrics, and does not affect the circuit breaker behavior. The purpose of this</t>
        </is>
      </c>
      <c r="E520" t="n">
        <v>0.0036</v>
      </c>
      <c r="F520" t="n">
        <v>0.0556</v>
      </c>
      <c r="G520" t="n">
        <v>0.0752</v>
      </c>
      <c r="H520" t="inlineStr">
        <is>
          <t>The code implements core algorithms for a backend system. It has a time complexity of \(O(N)\) and includes comments explaining its implementation. The README provides information about the repository's content and structure.</t>
        </is>
      </c>
      <c r="I520" t="n">
        <v>0.0137</v>
      </c>
      <c r="J520" t="n">
        <v>0.1429</v>
      </c>
      <c r="K520" t="n">
        <v>0.2457</v>
      </c>
      <c r="L520" t="inlineStr">
        <is>
          <t>This Java class defines `HystrixArgumentException`, which extends `RuntimeException`. It represents errors related to command parameters or internal states that prevent successful execution without triggering fallback mechanisms or affecting failure metrics. The exception is used when there's an issue with the input data or internal state of a `HystrixCommand` instance, ensuring that such errors do not affect circuit breaker status or fail metric tracking.</t>
        </is>
      </c>
      <c r="M520" t="n">
        <v>0.0029</v>
      </c>
      <c r="N520" t="n">
        <v>0.0278</v>
      </c>
      <c r="O520" t="n">
        <v>0.0741</v>
      </c>
    </row>
    <row r="521">
      <c r="A521" t="inlineStr">
        <is>
          <t>hystrix</t>
        </is>
      </c>
      <c r="B521" t="inlineStr">
        <is>
          <t>hystrix-core/src/main/java/com/netflix/hystrix/exception/HystrixTimeoutException.java</t>
        </is>
      </c>
      <c r="C521">
        <f>HYPERLINK("https://github.com/Netflix/Hystrix/blob/master/hystrix-core/src/main/java/com/netflix/hystrix/exception/HystrixTimeoutException.java")</f>
        <v/>
      </c>
      <c r="D521" t="inlineStr">
        <is>
          <t>The provided Java code defines a custom exception `HystrixCircuitBreakerOpenException` that extends `RuntimeException`. This exception is used within the Netflix Hystrix library to indicate that a command has failed due to the circuit breaker being open, meaning the service is temporarily unavailable. The exception includes a constructor that takes a message as input and calls the superclass constructor with the same message. It also</t>
        </is>
      </c>
      <c r="E521" t="n">
        <v>0.0034</v>
      </c>
      <c r="F521" t="n">
        <v>0.0563</v>
      </c>
      <c r="G521" t="n">
        <v>0.1111</v>
      </c>
      <c r="H521" t="inlineStr">
        <is>
          <t>The repository contains backend software components that implement core algorithms. The complexity is O(N), indicating linear time complexity, which means the performance increases proportionally with the size of the input data. Comments describe the implementation of these algorithms, while commits document the initial creation of the codebase. The total code size is 1000 lines.</t>
        </is>
      </c>
      <c r="I521" t="n">
        <v>0.004</v>
      </c>
      <c r="J521" t="n">
        <v>0.09520000000000001</v>
      </c>
      <c r="K521" t="n">
        <v>0.119</v>
      </c>
      <c r="L521" t="inlineStr">
        <is>
          <t>This Java package contains exceptions related to timeouts in Hystrix commands, specifically `HystrixTimeoutException`. It includes two subclasses: `HystrixTimeoutException` itself and `HystrixObservableTimeoutException`, which extends the former to handle observable command timeouts. These exceptions are used when a command's execution exceeds the configured timeout duration, triggering fallback mechanisms or retry policies as defined in Hyst</t>
        </is>
      </c>
      <c r="M521" t="n">
        <v>0.0041</v>
      </c>
      <c r="N521" t="n">
        <v>0.0645</v>
      </c>
      <c r="O521" t="n">
        <v>0.12</v>
      </c>
    </row>
    <row r="522">
      <c r="A522" t="inlineStr">
        <is>
          <t>hystrix</t>
        </is>
      </c>
      <c r="B522" t="inlineStr">
        <is>
          <t>hystrix-core/src/test/java/com/netflix/hystrix/HystrixCommandMetricsTest.java</t>
        </is>
      </c>
      <c r="C522">
        <f>HYPERLINK("https://github.com/Netflix/Hystrix/blob/master/hystrix-core/src/test/java/com/netflix/hystrix/HystrixCommandMetricsTest.java")</f>
        <v/>
      </c>
      <c r="D522" t="inlineStr">
        <is>
          <t>The provided code appears to be part of a Java project that uses Hystrix, a library for building resilient microservices. The code includes unit tests using JUnit and RxJava to verify the behavior of certain methods within the `Hystrix` package. Specifically, it focuses on testing the handling of exceptions and request context management when making requests through Hystrix commands. The complexity of the implementation</t>
        </is>
      </c>
      <c r="E522" t="n">
        <v>0.0028</v>
      </c>
      <c r="F522" t="n">
        <v>0.0278</v>
      </c>
      <c r="G522" t="n">
        <v>0.1103</v>
      </c>
      <c r="H522" t="inlineStr">
        <is>
          <t>The code implements core algorithms for backend software components. It includes comments explaining the implementation and complexity analysis. The README provides information about the repository's purpose and structure.</t>
        </is>
      </c>
      <c r="I522" t="n">
        <v>0.0169</v>
      </c>
      <c r="J522" t="n">
        <v>0.1622</v>
      </c>
      <c r="K522" t="n">
        <v>0.3156</v>
      </c>
      <c r="L522" t="inlineStr">
        <is>
          <t>The provided code is part of a Hystrix library used for building resilient services that can handle failures gracefully. It includes unit tests for handling exceptions and verifying request context management using JUnit and RxJava. The code size is 1000 lines, focusing on implementing core algorithms related to circuit breaker mechanisms and request isolation.</t>
        </is>
      </c>
      <c r="M522" t="n">
        <v>0.004</v>
      </c>
      <c r="N522" t="n">
        <v>0.0968</v>
      </c>
      <c r="O522" t="n">
        <v>0.2505</v>
      </c>
    </row>
    <row r="523">
      <c r="A523" t="inlineStr">
        <is>
          <t>hystrix</t>
        </is>
      </c>
      <c r="B523" t="inlineStr">
        <is>
          <t>hystrix-core/src/test/java/com/netflix/hystrix/TestHystrixObservableCommand.java</t>
        </is>
      </c>
      <c r="C523">
        <f>HYPERLINK("https://github.com/Netflix/Hystrix/blob/master/hystrix-core/src/test/java/com/netflix/hystrix/TestHystrixObservableCommand.java")</f>
        <v/>
      </c>
      <c r="D523" t="inlineStr">
        <is>
          <t>The provided Java code defines an abstract class `TestHystrixObservableCommand` that extends `HystrixObservableCommand` and implements `AbstractTestHystrixCommand`. It includes a constructor that takes a `TestCommandBuilder` as a parameter and initializes it within the superclass constructor. The class provides a blueprint for creating test commands using Hystrix's observable command pattern, which can be used</t>
        </is>
      </c>
      <c r="E523" t="n">
        <v>0.0043</v>
      </c>
      <c r="F523" t="n">
        <v>0.0667</v>
      </c>
      <c r="G523" t="n">
        <v>0.122</v>
      </c>
      <c r="H523" t="inlineStr">
        <is>
          <t>This repository contains backend software components that implement core algorithms. The complexity of the implementation is O(N), indicating linear time complexity. The comments describe the purpose as implementing core algorithms. The commits include an initial codebase commit. The total size of the codebase is 1000 lines.</t>
        </is>
      </c>
      <c r="I523" t="n">
        <v>0.0053</v>
      </c>
      <c r="J523" t="n">
        <v>0.1455</v>
      </c>
      <c r="K523" t="n">
        <v>0.2675</v>
      </c>
      <c r="L523" t="inlineStr">
        <is>
          <t>This abstract class `TestHystrixObservableCommand` extends `HystrixObservableCommand` and provides a base implementation for test commands using Hystrix's observable capabilities. It includes a constructor that takes a `TestCommandBuilder`, which likely sets up configuration parameters such as owner, dependency key, thread pool key, circuit breaker settings, and thread pool details. The class implements `AbstractTestH</t>
        </is>
      </c>
      <c r="M523" t="n">
        <v>0.0047</v>
      </c>
      <c r="N523" t="n">
        <v>0.1</v>
      </c>
      <c r="O523" t="n">
        <v>0.1626</v>
      </c>
    </row>
    <row r="524">
      <c r="A524" t="inlineStr">
        <is>
          <t>hystrix</t>
        </is>
      </c>
      <c r="B524" t="inlineStr">
        <is>
          <t>hystrix-core/src/test/java/com/netflix/hystrix/TestableExecutionHook.java</t>
        </is>
      </c>
      <c r="C524">
        <f>HYPERLINK("https://github.com/Netflix/Hystrix/blob/master/hystrix-core/src/test/java/com/netflix/hystrix/TestableExecutionHook.java")</f>
        <v/>
      </c>
      <c r="D524" t="inlineStr">
        <is>
          <t>The provided code defines a testable execution hook class that extends `HystrixCommandExecutionHook`. This class is designed to be used as part of the Hystrix library for handling command executions in microservices architectures. It includes methods to intercept various stages of command execution, such as before and after execution, and provides hooks for logging and monitoring purposes. The implementation uses RxJava's `Notification`</t>
        </is>
      </c>
      <c r="E524" t="n">
        <v>0.0036</v>
      </c>
      <c r="F524" t="n">
        <v>0.0571</v>
      </c>
      <c r="G524" t="n">
        <v>0.1504</v>
      </c>
      <c r="H524" t="inlineStr">
        <is>
          <t>This repository contains backend software components that implement core algorithms. The complexity of these implementations is O(N), indicating linear time complexity relative to the input size. The code includes comments explaining the implementation details and commits tracking the initial creation of the codebase. The total size of the code is 1000 lines.</t>
        </is>
      </c>
      <c r="I524" t="n">
        <v>0.005</v>
      </c>
      <c r="J524" t="n">
        <v>0.1639</v>
      </c>
      <c r="K524" t="n">
        <v>0.2016</v>
      </c>
      <c r="L524" t="inlineStr">
        <is>
          <t>The `TestableExecutionHook` class extends `HystrixCommandExecutionHook`, allowing developers to test Hystrix commands without executing them. It provides methods to intercept and modify command execution events such as success, failure, and notification, enabling detailed testing scenarios. The hook uses atomic counters to track various aspects of command execution, facilitating comprehensive monitoring and analysis during development.</t>
        </is>
      </c>
      <c r="M524" t="n">
        <v>0.0035</v>
      </c>
      <c r="N524" t="n">
        <v>0.0328</v>
      </c>
      <c r="O524" t="n">
        <v>0.08</v>
      </c>
    </row>
    <row r="525">
      <c r="A525" t="inlineStr">
        <is>
          <t>hystrix</t>
        </is>
      </c>
      <c r="B525" t="inlineStr">
        <is>
          <t>hystrix-core/src/test/java/com/netflix/hystrix/TestHystrixCommand.java</t>
        </is>
      </c>
      <c r="C525">
        <f>HYPERLINK("https://github.com/Netflix/Hystrix/blob/master/hystrix-core/src/test/java/com/netflix/hystrix/TestHystrixCommand.java")</f>
        <v/>
      </c>
      <c r="D525" t="inlineStr">
        <is>
          <t>The provided Java code defines an abstract class `TestHystrixCommand` that extends `HystrixCommand` from the Netflix Hystrix library. This class is designed to be used as a base for testing purposes within the context of Hystrix command execution hooks. It includes a constructor that takes a `TestCommandBuilder` object as a parameter, which likely sets up configuration options for the</t>
        </is>
      </c>
      <c r="E525" t="n">
        <v>0.0031</v>
      </c>
      <c r="F525" t="n">
        <v>0.0303</v>
      </c>
      <c r="G525" t="n">
        <v>0.0769</v>
      </c>
      <c r="H525" t="inlineStr">
        <is>
          <t>This repository contains backend software components that implement core algorithms. The complexity of these implementations is O(N), indicating linear time complexity relative to input size. The comments provide details about the implementation's purpose and structure. The commits include an initial codebase commit. The total code size is 1000 lines.</t>
        </is>
      </c>
      <c r="I525" t="n">
        <v>0.0053</v>
      </c>
      <c r="J525" t="n">
        <v>0.1695</v>
      </c>
      <c r="K525" t="n">
        <v>0.2066</v>
      </c>
      <c r="L525" t="inlineStr">
        <is>
          <t>This abstract class `TestHystrixCommand` extends `HystrixCommand`, implementing `AbstractTestHystrixCommand`. It serves as a base class for testing Hystrix commands, allowing developers to define test-specific configurations and behaviors using the `TestCommandBuilder`. The constructor initializes the command with owner, dependency key, thread pool key, and other parameters from the builder, enabling flexible configuration</t>
        </is>
      </c>
      <c r="M525" t="n">
        <v>0.0044</v>
      </c>
      <c r="N525" t="n">
        <v>0.1017</v>
      </c>
      <c r="O525" t="n">
        <v>0.1639</v>
      </c>
    </row>
    <row r="526">
      <c r="A526" t="inlineStr">
        <is>
          <t>hystrix</t>
        </is>
      </c>
      <c r="B526" t="inlineStr">
        <is>
          <t>hystrix-core/src/test/java/com/netflix/hystrix/HystrixCollapserTest.java</t>
        </is>
      </c>
      <c r="C526">
        <f>HYPERLINK("https://github.com/Netflix/Hystrix/blob/master/hystrix-core/src/test/java/com/netflix/hystrix/HystrixCollapserTest.java")</f>
        <v/>
      </c>
      <c r="D526" t="inlineStr">
        <is>
          <t>The provided code appears to be part of a Java library that implements Hystrix, a circuit breaker pattern designed to protect against cascading failures in microservices architectures. The class `HystrixCommand` likely represents a command that can execute asynchronously and handle fallbacks if it fails. It uses various concurrency utilities such as `ConcurrentLinkedQueue`, `CountDownLatch`, and `SoftReference` to</t>
        </is>
      </c>
      <c r="E526" t="n">
        <v>0.0039</v>
      </c>
      <c r="F526" t="n">
        <v>0.0625</v>
      </c>
      <c r="G526" t="n">
        <v>0.1172</v>
      </c>
      <c r="H526" t="inlineStr">
        <is>
          <t>The repository contains backend software components implementing core algorithms. The complexity of these implementations is O(N), indicating linear time complexity. The README provides information about the repository's purpose and structure.</t>
        </is>
      </c>
      <c r="I526" t="n">
        <v>0.008200000000000001</v>
      </c>
      <c r="J526" t="n">
        <v>0.2</v>
      </c>
      <c r="K526" t="n">
        <v>0.1961</v>
      </c>
      <c r="L526" t="inlineStr">
        <is>
          <t>This Java class provides Hystrix circuit breaker functionality for managing service calls. It uses soft references to cache results and handles concurrent requests efficiently using a ConcurrentLinkedQueue. The class includes methods for executing commands, tracking command execution status, and handling timeouts and failures gracefully.</t>
        </is>
      </c>
      <c r="M526" t="n">
        <v>0.0055</v>
      </c>
      <c r="N526" t="n">
        <v>0.1154</v>
      </c>
      <c r="O526" t="n">
        <v>0.1293</v>
      </c>
    </row>
    <row r="527">
      <c r="A527" t="inlineStr">
        <is>
          <t>hystrix</t>
        </is>
      </c>
      <c r="B527" t="inlineStr">
        <is>
          <t>hystrix-core/src/test/java/com/netflix/hystrix/HystrixThreadPoolPropertiesTest.java</t>
        </is>
      </c>
      <c r="C527">
        <f>HYPERLINK("https://github.com/Netflix/Hystrix/blob/master/hystrix-core/src/test/java/com/netflix/hystrix/HystrixThreadPoolPropertiesTest.java")</f>
        <v/>
      </c>
      <c r="D527" t="inlineStr">
        <is>
          <t>The provided Java code defines a test suite for `HystrixThreadPoolProperties`, which is part of the Netflix Hystrix library used for circuit breaker pattern implementation in microservices architecture. The tests verify that certain properties related to thread pools can be set and retrieved correctly using the `HystrixProperty` interface. The code includes assertions to ensure expected values match actual results during testing.</t>
        </is>
      </c>
      <c r="E527" t="n">
        <v>0.003</v>
      </c>
      <c r="F527" t="n">
        <v>0.0588</v>
      </c>
      <c r="G527" t="n">
        <v>0.1136</v>
      </c>
      <c r="H527" t="inlineStr">
        <is>
          <t>The provided code is a Java test suite for verifying the implementation of core algorithms within the `HystrixThreadPoolProperties` class from the Netflix Hystrix library. The tests check if certain properties can be set and retrieved correctly using the `HystrixProperty.Setter`.</t>
        </is>
      </c>
      <c r="I527" t="n">
        <v>0.0056</v>
      </c>
      <c r="J527" t="n">
        <v>0.125</v>
      </c>
      <c r="K527" t="n">
        <v>0.1802</v>
      </c>
      <c r="L527" t="inlineStr">
        <is>
          <t>This Java test suite verifies the configuration settings for Hystrix thread pools using JUnit tests. It checks various properties such as queue size, maximum number of threads, and timeout values, ensuring they meet expected configurations. The tests utilize `HystrixProperty` from the Hystrix library to set up different property configurations and validate their effects through assertions.</t>
        </is>
      </c>
      <c r="M527" t="n">
        <v>0.004</v>
      </c>
      <c r="N527" t="n">
        <v>0.0635</v>
      </c>
      <c r="O527" t="n">
        <v>0.1575</v>
      </c>
    </row>
    <row r="528">
      <c r="A528" t="inlineStr">
        <is>
          <t>hystrix</t>
        </is>
      </c>
      <c r="B528" t="inlineStr">
        <is>
          <t>hystrix-core/src/test/java/com/netflix/hystrix/HystrixSubclassCommandTest.java</t>
        </is>
      </c>
      <c r="C528">
        <f>HYPERLINK("https://github.com/Netflix/Hystrix/blob/master/hystrix-core/src/test/java/com/netflix/hystrix/HystrixSubclassCommandTest.java")</f>
        <v/>
      </c>
      <c r="D528" t="inlineStr">
        <is>
          <t>The provided Java code defines a test case for a custom `HystrixCommand` subclass within the Netflix Hystrix library. The test checks if the command returns the expected result when executed successfully. It uses JUnit annotations to set up a rule for managing request context and includes assertions to verify that the output matches the expected value. The complexity of the implementation is O(1) as it involves</t>
        </is>
      </c>
      <c r="E528" t="n">
        <v>0.0028</v>
      </c>
      <c r="F528" t="n">
        <v>0.0267</v>
      </c>
      <c r="G528" t="n">
        <v>0.1087</v>
      </c>
      <c r="H528" t="inlineStr">
        <is>
          <t>This repository contains backend software components that implement core algorithms. The complexity is O(N), indicating linear time complexity, which means the performance increases proportionally with the size of the input data. The implementation includes comments explaining the purpose and functionality of each part of the code. There have been several commits since the initial creation of the codebase. The total code size is 1000 lines.</t>
        </is>
      </c>
      <c r="I528" t="n">
        <v>0.0042</v>
      </c>
      <c r="J528" t="n">
        <v>0.1351</v>
      </c>
      <c r="K528" t="n">
        <v>0.219</v>
      </c>
      <c r="L528" t="inlineStr">
        <is>
          <t>This Java test suite uses JUnit to verify the correctness of `HystrixSubclassCommand`, a subclass of `HystrixCommand` from the Netflix Hystrix library. The tests focus on ensuring that the command behaves as expected when executed within a request context using `HystrixRequestContextRule`. The test cases check if the command returns the correct result based on predefined input parameters and</t>
        </is>
      </c>
      <c r="M528" t="n">
        <v>0.0038</v>
      </c>
      <c r="N528" t="n">
        <v>0.0615</v>
      </c>
      <c r="O528" t="n">
        <v>0.1163</v>
      </c>
    </row>
    <row r="529">
      <c r="A529" t="inlineStr">
        <is>
          <t>hystrix</t>
        </is>
      </c>
      <c r="B529" t="inlineStr">
        <is>
          <t>hystrix-core/src/test/java/com/netflix/hystrix/HystrixCommandTestWithCustomConcurrencyStrategy.java</t>
        </is>
      </c>
      <c r="C529">
        <f>HYPERLINK("https://github.com/Netflix/Hystrix/blob/master/hystrix-core/src/test/java/com/netflix/hystrix/HystrixCommandTestWithCustomConcurrencyStrategy.java")</f>
        <v/>
      </c>
      <c r="D529" t="inlineStr">
        <is>
          <t>The provided Java code defines a class `Hystrix` within the package `com.netflix.hystrix`. It includes various strategies and utilities related to handling concurrent requests using Hystrix, a library designed to handle failures gracefully in microservices architectures. The code provides support for concurrency management, request context, and variable storage, which are essential for managing circuit breakers, fallbacks, and other aspects</t>
        </is>
      </c>
      <c r="E529" t="n">
        <v>0.0031</v>
      </c>
      <c r="F529" t="n">
        <v>0.0294</v>
      </c>
      <c r="G529" t="n">
        <v>0.0769</v>
      </c>
      <c r="H529" t="inlineStr">
        <is>
          <t>Implements core algorithms for backend software components. Complexity is O(N).</t>
        </is>
      </c>
      <c r="I529" t="n">
        <v>0.0251</v>
      </c>
      <c r="J529" t="n">
        <v>0.2105</v>
      </c>
      <c r="K529" t="n">
        <v>0.3117</v>
      </c>
      <c r="L529" t="inlineStr">
        <is>
          <t>The provided code defines a package `com.netflix.hystrix` that includes classes related to Hystrix, a library used for building resilient microservices. The code implements concurrency strategies and request context management for handling circuit breakers and fallbacks in high-performance applications. It also provides tools for plugin-based configuration and initialization.</t>
        </is>
      </c>
      <c r="M529" t="n">
        <v>0.0046</v>
      </c>
      <c r="N529" t="n">
        <v>0.0678</v>
      </c>
      <c r="O529" t="n">
        <v>0.1261</v>
      </c>
    </row>
    <row r="530">
      <c r="A530" t="inlineStr">
        <is>
          <t>hystrix</t>
        </is>
      </c>
      <c r="B530" t="inlineStr">
        <is>
          <t>hystrix-core/src/test/java/com/netflix/hystrix/AbstractTestHystrixCommand.java</t>
        </is>
      </c>
      <c r="C530">
        <f>HYPERLINK("https://github.com/Netflix/Hystrix/blob/master/hystrix-core/src/test/java/com/netflix/hystrix/AbstractTestHystrixCommand.java")</f>
        <v/>
      </c>
      <c r="D530" t="inlineStr">
        <is>
          <t>The provided Java code defines an `AbstractTestHystrixCommand` interface that extends both `HystrixObservable&lt;R&gt;` and `InspectableBuilder`. It includes an enumeration `ExecutionResult` which represents different outcomes of command execution, such as success, failure, and various types of failures related to Hystrix circuit breakers and timeouts. The complexity of the implementation is O(N), indicating linear time</t>
        </is>
      </c>
      <c r="E530" t="n">
        <v>0.0035</v>
      </c>
      <c r="F530" t="n">
        <v>0.0323</v>
      </c>
      <c r="G530" t="n">
        <v>0.0806</v>
      </c>
      <c r="H530" t="inlineStr">
        <is>
          <t>The provided code defines an interface `AbstractTestHystrixCommand` that extends both `HystrixObservable&lt;R&gt;` and `InspectableBuilder`. It includes an enumeration `ExecutionResult` with various states related to command execution. The README indicates that this repository contains backend software components and provides details about its implementation complexity, comments, commits, and size.</t>
        </is>
      </c>
      <c r="I530" t="n">
        <v>0.0048</v>
      </c>
      <c r="J530" t="n">
        <v>0.1455</v>
      </c>
      <c r="K530" t="n">
        <v>0.1695</v>
      </c>
      <c r="L530" t="inlineStr">
        <is>
          <t>This abstract class defines the base structure for test commands used in the Hystrix library, which provides fault tolerance mechanisms for microservices. It implements both `HystrixObservable` and `InspectableBuilder`, allowing for observable command execution and inspection capabilities. The class includes an enumeration `ExecutionResult` that categorizes different outcomes of command executions, such as success, failure, and various types of errors related</t>
        </is>
      </c>
      <c r="M530" t="n">
        <v>0.0041</v>
      </c>
      <c r="N530" t="n">
        <v>0.0896</v>
      </c>
      <c r="O530" t="n">
        <v>0.1527</v>
      </c>
    </row>
    <row r="531">
      <c r="A531" t="inlineStr">
        <is>
          <t>hystrix</t>
        </is>
      </c>
      <c r="B531" t="inlineStr">
        <is>
          <t>hystrix-core/src/test/java/com/netflix/hystrix/HystrixObservableCommandTest.java</t>
        </is>
      </c>
      <c r="C531">
        <f>HYPERLINK("https://github.com/Netflix/Hystrix/blob/master/hystrix-core/src/test/java/com/netflix/hystrix/HystrixObservableCommandTest.java")</f>
        <v/>
      </c>
      <c r="D531" t="inlineStr">
        <is>
          <t>The provided code is part of the Hystrix library, which is used for building resilient microservices architectures. It includes classes such as `HystrixCommand`, `HystrixRequestContextRule`, and `HystrixCircuitBreakerTest`. The code is licensed under the Apache License, Version 2.0, and it appears to be implementing core algorithms related to circuit breaking and</t>
        </is>
      </c>
      <c r="E531" t="n">
        <v>0.0045</v>
      </c>
      <c r="F531" t="n">
        <v>0.1034</v>
      </c>
      <c r="G531" t="n">
        <v>0.2608</v>
      </c>
      <c r="H531" t="inlineStr">
        <is>
          <t>This repository contains backend software components that implement core algorithms. The complexity is O(N), indicating linear time complexity. The implementation includes comments explaining the purpose and functionality of each part. The commits include an initial codebase commit. The total size of the codebase is 1000 lines.</t>
        </is>
      </c>
      <c r="I531" t="n">
        <v>0.006</v>
      </c>
      <c r="J531" t="n">
        <v>0.1818</v>
      </c>
      <c r="K531" t="n">
        <v>0.2542</v>
      </c>
      <c r="L531" t="inlineStr">
        <is>
          <t>This Java class provides a framework for implementing circuit breakers using Hystrix, which helps manage failures in microservices architectures. It includes methods for executing commands with isolation strategies such as thread pools or semaphore-based execution, allowing developers to handle transient errors gracefully without affecting overall system performance. The class also supports configuration management through Netflix's Config library and includes test cases for verifying the behavior of the circuit breaker during</t>
        </is>
      </c>
      <c r="M531" t="n">
        <v>0.0031</v>
      </c>
      <c r="N531" t="n">
        <v>0.075</v>
      </c>
      <c r="O531" t="n">
        <v>0.1408</v>
      </c>
    </row>
    <row r="532">
      <c r="A532" t="inlineStr">
        <is>
          <t>hystrix</t>
        </is>
      </c>
      <c r="B532" t="inlineStr">
        <is>
          <t>hystrix-core/src/test/java/com/netflix/hystrix/HystrixTest.java</t>
        </is>
      </c>
      <c r="C532">
        <f>HYPERLINK("https://github.com/Netflix/Hystrix/blob/master/hystrix-core/src/test/java/com/netflix/hystrix/HystrixTest.java")</f>
        <v/>
      </c>
      <c r="D532" t="inlineStr">
        <is>
          <t>The provided Java code defines a class `HystrixCommand` within the package `com.netflix.hystrix`. It appears to be part of a library that implements Hystrix, a circuit breaker pattern designed to handle failures gracefully in microservices architectures. The code includes:
1. **Imports**: Necessary imports for testing (`org.junit.Before`, `org.junit.Test`) and RxJava operations (`rx</t>
        </is>
      </c>
      <c r="E532" t="n">
        <v>0.0044</v>
      </c>
      <c r="F532" t="n">
        <v>0.0625</v>
      </c>
      <c r="G532" t="n">
        <v>0.123</v>
      </c>
      <c r="H532" t="inlineStr">
        <is>
          <t>The code implements a set of core algorithms for backend software components. It includes tests using RxJava for asynchronous operations and JUnit for unit testing. The complexity is O(N), indicating linear time complexity for certain operations.</t>
        </is>
      </c>
      <c r="I532" t="n">
        <v>0.0073</v>
      </c>
      <c r="J532" t="n">
        <v>0.1333</v>
      </c>
      <c r="K532" t="n">
        <v>0.2315</v>
      </c>
      <c r="L532" t="inlineStr">
        <is>
          <t>The code provides a test suite for Hystrix commands using RxJava. It includes tests for command execution, fallback handling, and concurrency management. The `HystrixCommand` class is tested with various configurations, including setting up timeouts, circuit breakers, and metrics collection. The tests verify that commands execute correctly, handle failures gracefully, and manage concurrent executions efficiently.</t>
        </is>
      </c>
      <c r="M532" t="n">
        <v>0.0034</v>
      </c>
      <c r="N532" t="n">
        <v>0.0323</v>
      </c>
      <c r="O532" t="n">
        <v>0.0794</v>
      </c>
    </row>
    <row r="533">
      <c r="A533" t="inlineStr">
        <is>
          <t>hystrix</t>
        </is>
      </c>
      <c r="B533" t="inlineStr">
        <is>
          <t>hystrix-core/src/test/java/com/netflix/hystrix/HystrixCommandTimeoutConcurrencyTesting.java</t>
        </is>
      </c>
      <c r="C533">
        <f>HYPERLINK("https://github.com/Netflix/Hystrix/blob/master/hystrix-core/src/test/java/com/netflix/hystrix/HystrixCommandTimeoutConcurrencyTesting.java")</f>
        <v/>
      </c>
      <c r="D533" t="inlineStr">
        <is>
          <t>The provided Java code defines a unit test suite for testing Hystrix command timeouts and concurrency handling using RxJava. The `HystrixCommandTimeoutConcurrencyTesting` class includes a method `testTimeoutRace` that simulates concurrent execution of multiple Hystrix commands and checks if they timeout correctly when set to a short duration. The test uses `Observable` from RxJava to create and execute these</t>
        </is>
      </c>
      <c r="E533" t="n">
        <v>0.0032</v>
      </c>
      <c r="F533" t="n">
        <v>0.0308</v>
      </c>
      <c r="G533" t="n">
        <v>0.0775</v>
      </c>
      <c r="H533" t="inlineStr">
        <is>
          <t>This repository contains backend software components implementing core algorithms. The complexity is O(N), indicating linear time performance relative to input size. The implementation includes comments explaining the purpose and functionality of each part of the code. The commits indicate that it was initially created. The total code size is 1000 lines.</t>
        </is>
      </c>
      <c r="I533" t="n">
        <v>0.0054</v>
      </c>
      <c r="J533" t="n">
        <v>0.1667</v>
      </c>
      <c r="K533" t="n">
        <v>0.2439</v>
      </c>
      <c r="L533" t="inlineStr">
        <is>
          <t>The `HystrixCommandTimeoutConcurrencyTesting` class tests concurrent execution of Hystrix commands with timeouts using RxJava Observables. It creates multiple instances of a hypothetical `HystrixCommand`, each simulating a network request that might timeout. The test runs these commands concurrently and checks if they handle timeouts correctly by observing their completion statuses.</t>
        </is>
      </c>
      <c r="M533" t="n">
        <v>0.0038</v>
      </c>
      <c r="N533" t="n">
        <v>0.0357</v>
      </c>
      <c r="O533" t="n">
        <v>0.0833</v>
      </c>
    </row>
    <row r="534">
      <c r="A534" t="inlineStr">
        <is>
          <t>hystrix</t>
        </is>
      </c>
      <c r="B534" t="inlineStr">
        <is>
          <t>hystrix-core/src/test/java/com/netflix/hystrix/NotWrappedByHystrixTestRuntimeException.java</t>
        </is>
      </c>
      <c r="C534">
        <f>HYPERLINK("https://github.com/Netflix/Hystrix/blob/master/hystrix-core/src/test/java/com/netflix/hystrix/NotWrappedByHystrixTestRuntimeException.java")</f>
        <v/>
      </c>
      <c r="D534" t="inlineStr">
        <is>
          <t>The `NotWrappedByHystrixTestRuntimeException` is a custom runtime exception that extends `RuntimeException` and implements the `ExceptionNotWrappedByHystrix` interface. It is used to represent raw exceptions in tests without being wrapped by Hystrix, which is useful for testing purposes where you want to ensure that certain exceptions are not automatically handled or logged by Hystrix. The constructor initializes</t>
        </is>
      </c>
      <c r="E534" t="n">
        <v>0.004</v>
      </c>
      <c r="F534" t="n">
        <v>0.0323</v>
      </c>
      <c r="G534" t="n">
        <v>0.119</v>
      </c>
      <c r="H534" t="inlineStr">
        <is>
          <t>The provided Java code defines a custom runtime exception `NotWrappedByHystrixTestRuntimeException` that is part of the Netflix Hystrix library. This exception is used to handle raw exceptions in tests without wrapping them by Hystrix's default behavior. The class implements the `ExceptionNotWrappedByHystrix` interface, which allows it to be treated as a non-Hystrix wrapped exception</t>
        </is>
      </c>
      <c r="I534" t="n">
        <v>0.0042</v>
      </c>
      <c r="J534" t="n">
        <v>0.0645</v>
      </c>
      <c r="K534" t="n">
        <v>0.121</v>
      </c>
      <c r="L534" t="inlineStr">
        <is>
          <t>The `NotWrappedByHystrixTestRuntimeException` is a custom runtime exception designed specifically for testing purposes within the Netflix Hystrix framework. It extends `RuntimeException` and implements `ExceptionNotWrappedByHystrix`, ensuring that it can be handled by Hystrix without being wrapped further. The constructor initializes the exception message as "Raw exception for TestHystrixCommand," providing clarity about</t>
        </is>
      </c>
      <c r="M534" t="n">
        <v>0.0045</v>
      </c>
      <c r="N534" t="n">
        <v>0.0351</v>
      </c>
      <c r="O534" t="n">
        <v>0.08260000000000001</v>
      </c>
    </row>
    <row r="535">
      <c r="A535" t="inlineStr">
        <is>
          <t>hystrix</t>
        </is>
      </c>
      <c r="B535" t="inlineStr">
        <is>
          <t>hystrix-core/src/test/java/com/netflix/hystrix/NotWrappedByHystrixTestException.java</t>
        </is>
      </c>
      <c r="C535">
        <f>HYPERLINK("https://github.com/Netflix/Hystrix/blob/master/hystrix-core/src/test/java/com/netflix/hystrix/NotWrappedByHystrixTestException.java")</f>
        <v/>
      </c>
      <c r="D535" t="inlineStr">
        <is>
          <t>The provided Java code defines a custom exception `NotWrappedByHystrixTestException` that extends the standard `Exception` class and implements the `ExceptionNotWrappedByHystrix` interface. This exception is used to indicate that certain exceptions should not be wrapped by Hystrix for specific use cases or testing purposes. The class includes a serial version UID for serialization compatibility.</t>
        </is>
      </c>
      <c r="E535" t="n">
        <v>0.0046</v>
      </c>
      <c r="F535" t="n">
        <v>0.0333</v>
      </c>
      <c r="G535" t="n">
        <v>0.1613</v>
      </c>
      <c r="H535" t="inlineStr">
        <is>
          <t>Implements a custom exception that is not wrapped by Hystrix in a Netflix Hystrix project.</t>
        </is>
      </c>
      <c r="I535" t="n">
        <v>0</v>
      </c>
      <c r="J535" t="n">
        <v>0.08699999999999999</v>
      </c>
      <c r="K535" t="n">
        <v>0.0575</v>
      </c>
      <c r="L535" t="inlineStr">
        <is>
          <t>This exception is used within Netflix Hystrix to indicate that an exception was thrown by a component that should be wrapped by Hystrix's circuit breaker mechanism. It ensures that exceptions from non-Hystrix components are not automatically handled by Hystrix's fallback mechanisms.</t>
        </is>
      </c>
      <c r="M535" t="n">
        <v>0.0045</v>
      </c>
      <c r="N535" t="n">
        <v>0.0385</v>
      </c>
      <c r="O535" t="n">
        <v>0.0885</v>
      </c>
    </row>
    <row r="536">
      <c r="A536" t="inlineStr">
        <is>
          <t>hystrix</t>
        </is>
      </c>
      <c r="B536" t="inlineStr">
        <is>
          <t>hystrix-core/src/test/java/com/netflix/hystrix/InspectableBuilder.java</t>
        </is>
      </c>
      <c r="C536">
        <f>HYPERLINK("https://github.com/Netflix/Hystrix/blob/master/hystrix-core/src/test/java/com/netflix/hystrix/InspectableBuilder.java")</f>
        <v/>
      </c>
      <c r="D536" t="inlineStr">
        <is>
          <t>The provided Java code defines an `InspectableBuilder` interface that includes methods for retrieving a test command builder and enums for different types of keys used in unit tests related to Hystrix commands. The complexity of the implementation is O(1) since it involves simple method calls and constant-time operations.</t>
        </is>
      </c>
      <c r="E536" t="n">
        <v>0.0038</v>
      </c>
      <c r="F536" t="n">
        <v>0.06900000000000001</v>
      </c>
      <c r="G536" t="n">
        <v>0.125</v>
      </c>
      <c r="H536" t="inlineStr">
        <is>
          <t>This repository contains backend software components that implement core algorithms. The complexity is O(N), indicating linear time performance, and it includes comments explaining the implementation details. The commits indicate the initial creation of the codebase. The total size of the code is 1000 lines.</t>
        </is>
      </c>
      <c r="I536" t="n">
        <v>0.0059</v>
      </c>
      <c r="J536" t="n">
        <v>0.1887</v>
      </c>
      <c r="K536" t="n">
        <v>0.2155</v>
      </c>
      <c r="L536" t="inlineStr">
        <is>
          <t>The `InspectableBuilder` interface provides methods to retrieve test command builders and enums representing different keys used in unit tests for Hystrix commands. It includes enums for command keys (`KEY_ONE`, `KEY_TWO`) and group keys (`OWNER_ONE`, `OWNER_TWO`). The class is part of a larger backend software component repository.</t>
        </is>
      </c>
      <c r="M536" t="n">
        <v>0.0048</v>
      </c>
      <c r="N536" t="n">
        <v>0.0345</v>
      </c>
      <c r="O536" t="n">
        <v>0.1271</v>
      </c>
    </row>
    <row r="537">
      <c r="A537" t="inlineStr">
        <is>
          <t>hystrix</t>
        </is>
      </c>
      <c r="B537" t="inlineStr">
        <is>
          <t>hystrix-core/src/test/java/com/netflix/hystrix/CommonHystrixCommandTests.java</t>
        </is>
      </c>
      <c r="C537">
        <f>HYPERLINK("https://github.com/Netflix/Hystrix/blob/master/hystrix-core/src/test/java/com/netflix/hystrix/CommonHystrixCommandTests.java")</f>
        <v/>
      </c>
      <c r="D537" t="inlineStr">
        <is>
          <t>The provided code is part of a Hystrix library used for handling circuit breakers and fallbacks in microservices architecture. It includes classes such as `AbstractTestHystrixCommand` which likely represents a base class for testing Hystrix commands, along with properties like `ExecutionIsolationStrategy`. The code appears to be licensed under the Apache License 2.0 and is intended for internal</t>
        </is>
      </c>
      <c r="E537" t="n">
        <v>0.0033</v>
      </c>
      <c r="F537" t="n">
        <v>0.0308</v>
      </c>
      <c r="G537" t="n">
        <v>0.0781</v>
      </c>
      <c r="H537" t="inlineStr">
        <is>
          <t>This repository contains backend software components that implement core algorithms. The complexity of these implementations is O(N), indicating linear time complexity. The comments provide details about the implementation's purpose and structure. The commits include an initial codebase commit. The total size of the codebase is 1000 lines.</t>
        </is>
      </c>
      <c r="I537" t="n">
        <v>0.0055</v>
      </c>
      <c r="J537" t="n">
        <v>0.1754</v>
      </c>
      <c r="K537" t="n">
        <v>0.2101</v>
      </c>
      <c r="L537" t="inlineStr">
        <is>
          <t>The provided code implements a Hystrix command pattern for handling asynchronous requests with fallback mechanisms. It includes properties such as execution isolation strategy and caching capabilities, allowing developers to manage service calls effectively while providing robust error handling through fallbacks. The implementation focuses on improving system resilience and performance by isolating critical services from failures and ensuring that clients receive timely responses even when dependent services are unavailable.</t>
        </is>
      </c>
      <c r="M537" t="n">
        <v>0.0032</v>
      </c>
      <c r="N537" t="n">
        <v>0.0526</v>
      </c>
      <c r="O537" t="n">
        <v>0.1071</v>
      </c>
    </row>
    <row r="538">
      <c r="A538" t="inlineStr">
        <is>
          <t>hystrix</t>
        </is>
      </c>
      <c r="B538" t="inlineStr">
        <is>
          <t>hystrix-core/src/test/java/com/netflix/hystrix/HystrixCommandTest.java</t>
        </is>
      </c>
      <c r="C538">
        <f>HYPERLINK("https://github.com/Netflix/Hystrix/blob/master/hystrix-core/src/test/java/com/netflix/hystrix/HystrixCommandTest.java")</f>
        <v/>
      </c>
      <c r="D538" t="inlineStr">
        <is>
          <t>The provided Java code defines a class `TryableSemaphore` within the package `com.netflix.hystrix`. This class implements a semaphore that can be used to control access to resources in a thread-safe manner. It extends the abstract class `AbstractCommand&lt;TryableSemaphore&gt;`, which suggests it's part of a larger Hystrix library designed for handling circuit breakers and fallbacks in microservices</t>
        </is>
      </c>
      <c r="E538" t="n">
        <v>0.0045</v>
      </c>
      <c r="F538" t="n">
        <v>0.0896</v>
      </c>
      <c r="G538" t="n">
        <v>0.1587</v>
      </c>
      <c r="H538" t="inlineStr">
        <is>
          <t>This repository contains backend software components implementing core algorithms. The complexity is O(N), indicating linear time complexity, and it includes comments explaining the implementation details. The commits indicate that this is the initial codebase commit. The total size of the code is 1000 lines.</t>
        </is>
      </c>
      <c r="I538" t="n">
        <v>0.0059</v>
      </c>
      <c r="J538" t="n">
        <v>0.1887</v>
      </c>
      <c r="K538" t="n">
        <v>0.2155</v>
      </c>
      <c r="L538" t="inlineStr">
        <is>
          <t>The code implements a Hystrix command framework that provides circuit breaker, fallback mechanism, and request isolation features to handle failures gracefully in microservices architectures. It includes classes such as `AbstractCommand`, `TryableSemaphore`, and `HystrixCircuitBreaker` for managing execution isolation and fault tolerance. The implementation uses Java annotations and properties to configure these behaviors.</t>
        </is>
      </c>
      <c r="M538" t="n">
        <v>0.0043</v>
      </c>
      <c r="N538" t="n">
        <v>0.0678</v>
      </c>
      <c r="O538" t="n">
        <v>0.122</v>
      </c>
    </row>
    <row r="539">
      <c r="A539" t="inlineStr">
        <is>
          <t>hystrix</t>
        </is>
      </c>
      <c r="B539" t="inlineStr">
        <is>
          <t>hystrix-core/src/test/java/com/netflix/hystrix/HystrixCircuitBreakerTest.java</t>
        </is>
      </c>
      <c r="C539">
        <f>HYPERLINK("https://github.com/Netflix/Hystrix/blob/master/hystrix-core/src/test/java/com/netflix/hystrix/HystrixCircuitBreakerTest.java")</f>
        <v/>
      </c>
      <c r="D539" t="inlineStr">
        <is>
          <t>The provided Java code defines a test class `HystrixTest` that uses JUnit for testing Hystrix-related functionalities. The class includes several test methods:
1. **Initialization**: A `@Before` method initializes the `HystrixRequestContextRule`, which sets up the necessary context for Hystrix tests.
2. **Negative Test Case**:
   - Tests whether calling `</t>
        </is>
      </c>
      <c r="E539" t="n">
        <v>0</v>
      </c>
      <c r="F539" t="n">
        <v>0.0364</v>
      </c>
      <c r="G539" t="n">
        <v>0.0417</v>
      </c>
      <c r="H539" t="inlineStr">
        <is>
          <t>This repository contains backend software components that implement core algorithms. The complexity of these implementations is O(N), indicating linear time complexity relative to input size. The code base has been initialized with basic structure and test cases.</t>
        </is>
      </c>
      <c r="I539" t="n">
        <v>0.0071</v>
      </c>
      <c r="J539" t="n">
        <v>0.2174</v>
      </c>
      <c r="K539" t="n">
        <v>0.2294</v>
      </c>
      <c r="L539" t="inlineStr">
        <is>
          <t>This Java code tests the Hystrix library's request context management using JUnit. It includes assertions to verify that the request context is properly initialized and cleaned up after each test case. The `HystrixRequestContextRule` ensures that the context is reset between tests, preventing interference from one test to another. The code also handles exceptions related to bad requests during testing.</t>
        </is>
      </c>
      <c r="M539" t="n">
        <v>0.0037</v>
      </c>
      <c r="N539" t="n">
        <v>0.0588</v>
      </c>
      <c r="O539" t="n">
        <v>0.1145</v>
      </c>
    </row>
    <row r="540">
      <c r="A540" t="inlineStr">
        <is>
          <t>hystrix</t>
        </is>
      </c>
      <c r="B540" t="inlineStr">
        <is>
          <t>hystrix-core/src/test/java/com/netflix/hystrix/HystrixCommandPropertiesTest.java</t>
        </is>
      </c>
      <c r="C540">
        <f>HYPERLINK("https://github.com/Netflix/Hystrix/blob/master/hystrix-core/src/test/java/com/netflix/hystrix/HystrixCommandPropertiesTest.java")</f>
        <v/>
      </c>
      <c r="D540" t="inlineStr">
        <is>
          <t>The provided code appears to be part of a Java library called Hystrix, which is used for building resilient microservices architectures. The code includes unit tests that verify the correctness of various properties related to command execution isolation strategies in Hystrix commands. Specifically, it checks if setting different isolation strategies results in expected behavior when executing commands. The comments indicate that the implementation focuses on core algorithms for handling retries</t>
        </is>
      </c>
      <c r="E540" t="n">
        <v>0.0026</v>
      </c>
      <c r="F540" t="n">
        <v>0.0513</v>
      </c>
      <c r="G540" t="n">
        <v>0.1056</v>
      </c>
      <c r="H540" t="inlineStr">
        <is>
          <t>Implements core algorithms for backend software components.</t>
        </is>
      </c>
      <c r="I540" t="n">
        <v>0.0341</v>
      </c>
      <c r="J540" t="n">
        <v>0.2667</v>
      </c>
      <c r="K540" t="n">
        <v>0.3235</v>
      </c>
      <c r="L540" t="inlineStr">
        <is>
          <t>The `HystrixCommandPr` class appears to be part of a larger system designed to handle command execution with fallback mechanisms using Hystrix, a library that provides circuit breaker and thread isolation features. The class includes tests that verify the correctness of various configurations related to command execution strategies such as THREAD and SEMAPHORE. The code uses JUnit for testing and relies on configuration properties from Netflix's</t>
        </is>
      </c>
      <c r="M540" t="n">
        <v>0.0028</v>
      </c>
      <c r="N540" t="n">
        <v>0.027</v>
      </c>
      <c r="O540" t="n">
        <v>0.073</v>
      </c>
    </row>
    <row r="541">
      <c r="A541" t="inlineStr">
        <is>
          <t>hystrix</t>
        </is>
      </c>
      <c r="B541" t="inlineStr">
        <is>
          <t>hystrix-core/src/test/java/com/netflix/hystrix/HystrixObservableCollapserTest.java</t>
        </is>
      </c>
      <c r="C541">
        <f>HYPERLINK("https://github.com/Netflix/Hystrix/blob/master/hystrix-core/src/test/java/com/netflix/hystrix/HystrixObservableCollapserTest.java")</f>
        <v/>
      </c>
      <c r="D541" t="inlineStr">
        <is>
          <t>The provided Java code defines a class `Hystrix` within the package `com.netflix.hystrix`. It includes several methods and classes that implement Hystrix circuit breaker pattern for handling failures in microservices architecture. The code uses concurrent data structures like `ConcurrentHashMap`, `ConcurrentLinkedQueue`, and `CountDownLatch` to manage requests efficiently. The comments indicate that it implements core algorithms</t>
        </is>
      </c>
      <c r="E541" t="n">
        <v>0.0081</v>
      </c>
      <c r="F541" t="n">
        <v>0.0635</v>
      </c>
      <c r="G541" t="n">
        <v>0.2525</v>
      </c>
      <c r="H541" t="inlineStr">
        <is>
          <t>This repository contains backend software components implementing core algorithms. The complexity of these implementations is O(N), indicating linear time complexity relative to the size of the input data.</t>
        </is>
      </c>
      <c r="I541" t="n">
        <v>0.008800000000000001</v>
      </c>
      <c r="J541" t="n">
        <v>0.2162</v>
      </c>
      <c r="K541" t="n">
        <v>0.2</v>
      </c>
      <c r="L541" t="inlineStr">
        <is>
          <t>The code implements a Hystrix circuit breaker pattern using Java concurrency utilities such as `ConcurrentHashMap`, `CountDownLatch`, and `ExecutorService`. It provides methods to manage requests, track failures, and handle timeouts, ensuring robustness against service failures in microservices architectures. The implementation includes unit tests driven by JUnit and follows best practices for code organization and documentation.</t>
        </is>
      </c>
      <c r="M541" t="n">
        <v>0.004</v>
      </c>
      <c r="N541" t="n">
        <v>0.0645</v>
      </c>
      <c r="O541" t="n">
        <v>0.119</v>
      </c>
    </row>
    <row r="542">
      <c r="A542" t="inlineStr">
        <is>
          <t>hystrix</t>
        </is>
      </c>
      <c r="B542" t="inlineStr">
        <is>
          <t>hystrix-core/src/test/java/com/netflix/hystrix/HystrixRequestCacheTest.java</t>
        </is>
      </c>
      <c r="C542">
        <f>HYPERLINK("https://github.com/Netflix/Hystrix/blob/master/hystrix-core/src/test/java/com/netflix/hystrix/HystrixRequestCacheTest.java")</f>
        <v/>
      </c>
      <c r="D542" t="inlineStr">
        <is>
          <t>The provided Java code defines a unit test suite for Hystrix concurrency strategy implementation using RxJava. The tests verify that the default concurrency strategy correctly handles various scenarios such as successful execution, failure, and cancellation of tasks. The `HystrixConcurrencyStrategy` class is tested against its default behavior, ensuring it behaves as expected when executing concurrent operations.</t>
        </is>
      </c>
      <c r="E542" t="n">
        <v>0.0033</v>
      </c>
      <c r="F542" t="n">
        <v>0.0635</v>
      </c>
      <c r="G542" t="n">
        <v>0.1181</v>
      </c>
      <c r="H542" t="inlineStr">
        <is>
          <t>The code implements core algorithms for backend software components. It includes tests using RxJava for concurrency strategies and Hystrix concurrency strategy default. The complexity is O(N), indicating linear time operations based on input size.</t>
        </is>
      </c>
      <c r="I542" t="n">
        <v>0.0138</v>
      </c>
      <c r="J542" t="n">
        <v>0.1395</v>
      </c>
      <c r="K542" t="n">
        <v>0.3509</v>
      </c>
      <c r="L542" t="inlineStr">
        <is>
          <t>This Java code defines a unit test suite for Hystrix concurrency strategies using RxJava Observables. The tests check various aspects of Hystrix's concurrency handling, including default strategy implementation and error handling during concurrent execution.</t>
        </is>
      </c>
      <c r="M542" t="n">
        <v>0.0065</v>
      </c>
      <c r="N542" t="n">
        <v>0.1395</v>
      </c>
      <c r="O542" t="n">
        <v>0.1887</v>
      </c>
    </row>
    <row r="543">
      <c r="A543" t="inlineStr">
        <is>
          <t>hystrix</t>
        </is>
      </c>
      <c r="B543" t="inlineStr">
        <is>
          <t>hystrix-core/src/test/java/com/netflix/hystrix/UnsubscribedTasksRequestCacheTest.java</t>
        </is>
      </c>
      <c r="C543">
        <f>HYPERLINK("https://github.com/Netflix/Hystrix/blob/master/hystrix-core/src/test/java/com/netflix/hystrix/UnsubscribedTasksRequestCacheTest.java")</f>
        <v/>
      </c>
      <c r="D543" t="inlineStr">
        <is>
          <t>The provided Java code defines a test suite for Hystrix commands using JUnit. It includes setup and teardown methods for managing request context, as well as a test method that executes a hypothetical command and checks its execution behavior. The comments indicate that the implementation focuses on testing Hystrix's concurrency strategies and execution hooks.</t>
        </is>
      </c>
      <c r="E543" t="n">
        <v>0.0034</v>
      </c>
      <c r="F543" t="n">
        <v>0.0635</v>
      </c>
      <c r="G543" t="n">
        <v>0.119</v>
      </c>
      <c r="H543" t="inlineStr">
        <is>
          <t>This repository contains backend software components that implement core algorithms. The complexity of these implementations is O(N), indicating linear time complexity. The code size is 1000 lines, which suggests it includes multiple classes and methods related to algorithmic operations.</t>
        </is>
      </c>
      <c r="I543" t="n">
        <v>0.0067</v>
      </c>
      <c r="J543" t="n">
        <v>0.2083</v>
      </c>
      <c r="K543" t="n">
        <v>0.2252</v>
      </c>
      <c r="L543" t="inlineStr">
        <is>
          <t>The code implements Hystrix command execution strategies within the Netflix Hystrix library, focusing on managing fallbacks, circuit breakers, and request contexts. It includes unit tests that verify the execution hooks and request context management functionalities. The code size is 1000 lines, with comments indicating implementation of core algorithms.</t>
        </is>
      </c>
      <c r="M543" t="n">
        <v>0.005</v>
      </c>
      <c r="N543" t="n">
        <v>0.07140000000000001</v>
      </c>
      <c r="O543" t="n">
        <v>0.125</v>
      </c>
    </row>
    <row r="544">
      <c r="A544" t="inlineStr">
        <is>
          <t>hystrix</t>
        </is>
      </c>
      <c r="B544" t="inlineStr">
        <is>
          <t>hystrix-core/src/test/java/com/netflix/hystrix/HystrixThreadPoolTest.java</t>
        </is>
      </c>
      <c r="C544">
        <f>HYPERLINK("https://github.com/Netflix/Hystrix/blob/master/hystrix-core/src/test/java/com/netflix/hystrix/HystrixThreadPoolTest.java")</f>
        <v/>
      </c>
      <c r="D544" t="inlineStr">
        <is>
          <t>The provided Java code defines a class `Hystrix` within the package `com.netflix.hystrix`. It includes various methods and assertions related to testing Hystrix thread pools using JUnit. The code appears to be part of a larger system designed to handle circuit breakers and fallbacks in microservices architecture. The complexity is O(N) due to potential operations involving collections or loops that depend</t>
        </is>
      </c>
      <c r="E544" t="n">
        <v>0.003</v>
      </c>
      <c r="F544" t="n">
        <v>0.0282</v>
      </c>
      <c r="G544" t="n">
        <v>0.07580000000000001</v>
      </c>
      <c r="H544" t="inlineStr">
        <is>
          <t>This repository contains backend software components that implement core algorithms. The complexity is O(N), indicating linear time complexity, which means the execution time grows proportionally with the size of the input data. The implementation includes various algorithms designed to process large datasets efficiently.</t>
        </is>
      </c>
      <c r="I544" t="n">
        <v>0.0056</v>
      </c>
      <c r="J544" t="n">
        <v>0.1538</v>
      </c>
      <c r="K544" t="n">
        <v>0.1739</v>
      </c>
      <c r="L544" t="inlineStr">
        <is>
          <t>The provided code appears to be part of a Hystrix library used for circuit breaker pattern implementation in Java applications. It includes unit tests for various aspects of the Hystrix ThreadPool Factory class using JUnit assertions. The code size is 1000 lines, and there are no comments indicating complex logic beyond basic testing. The primary function seems to be verifying the correctness of the thread pool factory</t>
        </is>
      </c>
      <c r="M544" t="n">
        <v>0.0027</v>
      </c>
      <c r="N544" t="n">
        <v>0.08</v>
      </c>
      <c r="O544" t="n">
        <v>0.1079</v>
      </c>
    </row>
    <row r="545">
      <c r="A545" t="inlineStr">
        <is>
          <t>hystrix</t>
        </is>
      </c>
      <c r="B545" t="inlineStr">
        <is>
          <t>hystrix-core/src/test/java/com/netflix/hystrix/HystrixRequestLogTest.java</t>
        </is>
      </c>
      <c r="C545">
        <f>HYPERLINK("https://github.com/Netflix/Hystrix/blob/master/hystrix-core/src/test/java/com/netflix/hystrix/HystrixRequestLogTest.java")</f>
        <v/>
      </c>
      <c r="D545" t="inlineStr">
        <is>
          <t>The provided Java code defines a test case for verifying the logging behavior of `Hystrix` requests using JUnit and RxJava. The test checks if the request log correctly captures digits within square brackets as expected.</t>
        </is>
      </c>
      <c r="E545" t="n">
        <v>0.0053</v>
      </c>
      <c r="F545" t="n">
        <v>0.0465</v>
      </c>
      <c r="G545" t="n">
        <v>0.0935</v>
      </c>
      <c r="H545" t="inlineStr">
        <is>
          <t>The repository contains backend software components that implement core algorithms. The complexity of these implementations is O(N), indicating linear time complexity relative to input size. The code base has been initialized with a single commit.</t>
        </is>
      </c>
      <c r="I545" t="n">
        <v>0.0063</v>
      </c>
      <c r="J545" t="n">
        <v>0.1364</v>
      </c>
      <c r="K545" t="n">
        <v>0.1402</v>
      </c>
      <c r="L545" t="inlineStr">
        <is>
          <t>The `HystrixRequestLogTest` class tests the logging mechanism used by Hystrix to track requests within a single request context. It uses JUnit rules to manage the lifecycle of the Hystrix request context and verifies that logs match expected patterns using regular expressions. The test case checks if the log output matches the specified digit pattern when multiple requests are made within the same context.</t>
        </is>
      </c>
      <c r="M545" t="n">
        <v>0.0029</v>
      </c>
      <c r="N545" t="n">
        <v>0.0282</v>
      </c>
      <c r="O545" t="n">
        <v>0.0741</v>
      </c>
    </row>
    <row r="546">
      <c r="A546" t="inlineStr">
        <is>
          <t>hystrix</t>
        </is>
      </c>
      <c r="B546" t="inlineStr">
        <is>
          <t>hystrix-core/src/test/java/com/netflix/hystrix/HystrixThreadPoolMetricsTest.java</t>
        </is>
      </c>
      <c r="C546">
        <f>HYPERLINK("https://github.com/Netflix/Hystrix/blob/master/hystrix-core/src/test/java/com/netflix/hystrix/HystrixThreadPoolMetricsTest.java")</f>
        <v/>
      </c>
      <c r="D546" t="inlineStr">
        <is>
          <t>The provided Java code defines a test suite for `HystrixThreadPoolMetrics`, which is part of the Netflix Hystrix library used for circuit breaking and fallback mechanisms in microservices architectures. The tests verify that the metrics collected from thread pools are correctly processed and reported. Specifically:
1. **Dependencies**: It imports necessary classes such as `RollingThreadPoolEventCounterStream` and uses JUnit annotations</t>
        </is>
      </c>
      <c r="E546" t="n">
        <v>0.0032</v>
      </c>
      <c r="F546" t="n">
        <v>0.0308</v>
      </c>
      <c r="G546" t="n">
        <v>0.0775</v>
      </c>
      <c r="H546" t="inlineStr">
        <is>
          <t>The repository contains backend software components that implement core algorithms. The complexity is O(N), indicating linear time complexity. Comments describe the implementation as core algorithms. Initial codebase commit was made. The total size of the codebase is 1000 lines.</t>
        </is>
      </c>
      <c r="I546" t="n">
        <v>0.0056</v>
      </c>
      <c r="J546" t="n">
        <v>0.125</v>
      </c>
      <c r="K546" t="n">
        <v>0.1351</v>
      </c>
      <c r="L546" t="inlineStr">
        <is>
          <t>The `HystrixThreadPoolMetrics` test suite verifies the correctness of metrics related to thread pools used by Hystrix commands. It uses JUnit tests to ensure that the rolling thread pool event counter stream functions as expected, comparing actual output against expected results. The code complexity is moderate, and existing comments provide implementation details of core algorithms.</t>
        </is>
      </c>
      <c r="M546" t="n">
        <v>0.004</v>
      </c>
      <c r="N546" t="n">
        <v>0.0645</v>
      </c>
      <c r="O546" t="n">
        <v>0.1587</v>
      </c>
    </row>
    <row r="547">
      <c r="A547" t="inlineStr">
        <is>
          <t>hystrix</t>
        </is>
      </c>
      <c r="B547" t="inlineStr">
        <is>
          <t>hystrix-core/src/test/java/com/netflix/hystrix/collapser/CollapsedRequestSubjectTest.java</t>
        </is>
      </c>
      <c r="C547">
        <f>HYPERLINK("https://github.com/Netflix/Hystrix/blob/master/hystrix-core/src/test/java/com/netflix/hystrix/collapser/CollapsedRequestSubjectTest.java")</f>
        <v/>
      </c>
      <c r="D547" t="inlineStr">
        <is>
          <t>The provided Java code defines a unit test for `CollapsedRequestSubject`, which is part of the Hystrix library used for circuit breaker pattern implementation in microservices architecture. The test checks if setting a response successfully completes without throwing exceptions. It uses JUnit assertions to verify that no exceptions occur during the execution of the test method.</t>
        </is>
      </c>
      <c r="E547" t="n">
        <v>0</v>
      </c>
      <c r="F547" t="n">
        <v>0.0317</v>
      </c>
      <c r="G547" t="n">
        <v>0.07870000000000001</v>
      </c>
      <c r="H547" t="inlineStr">
        <is>
          <t>This repository contains backend software components that implement core algorithms. The complexity is O(N), indicating linear time complexity, which means the performance scales linearly with input size. The comments describe the implementation of these core algorithms. The commits include an initial codebase commit. The total code size is 1000 lines.</t>
        </is>
      </c>
      <c r="I547" t="n">
        <v>0.0048</v>
      </c>
      <c r="J547" t="n">
        <v>0.1356</v>
      </c>
      <c r="K547" t="n">
        <v>0.1639</v>
      </c>
      <c r="L547" t="inlineStr">
        <is>
          <t>The `CollapsedRequestSubject` class tests the functionality of setting responses successfully using RxJava's Observable API. It includes assertions to verify that the response is set correctly without exceptions being thrown during execution. The test method `testSetResponseSuccess` ensures that the subject can handle successful responses efficiently.</t>
        </is>
      </c>
      <c r="M547" t="n">
        <v>0.0042</v>
      </c>
      <c r="N547" t="n">
        <v>0.0377</v>
      </c>
      <c r="O547" t="n">
        <v>0.0431</v>
      </c>
    </row>
    <row r="548">
      <c r="A548" t="inlineStr">
        <is>
          <t>hystrix</t>
        </is>
      </c>
      <c r="B548" t="inlineStr">
        <is>
          <t>hystrix-core/src/test/java/com/netflix/hystrix/metric/HystrixThreadEventStreamTest.java</t>
        </is>
      </c>
      <c r="C548">
        <f>HYPERLINK("https://github.com/Netflix/Hystrix/blob/master/hystrix-core/src/test/java/com/netflix/hystrix/metric/HystrixThreadEventStreamTest.java")</f>
        <v/>
      </c>
      <c r="D548" t="inlineStr">
        <is>
          <t>The provided code appears to be part of a Hystrix library used for circuit breaker pattern implementation in Java applications. It includes classes related to metrics collection and event handling within Hystrix commands and threads. The code defines interfaces and implementations for tracking execution results, events, and thread pools. The comments indicate that it implements core algorithms for monitoring and managing service calls effectively during failures.</t>
        </is>
      </c>
      <c r="E548" t="n">
        <v>0.0065</v>
      </c>
      <c r="F548" t="n">
        <v>0.08110000000000001</v>
      </c>
      <c r="G548" t="n">
        <v>0.2287</v>
      </c>
      <c r="H548" t="inlineStr">
        <is>
          <t>The repository contains backend software components that implement core algorithms. The complexity of the implementation is O(N), indicating linear time complexity. The code size is 1000 lines, which suggests it includes multiple modules and classes.</t>
        </is>
      </c>
      <c r="I548" t="n">
        <v>0.007</v>
      </c>
      <c r="J548" t="n">
        <v>0.1818</v>
      </c>
      <c r="K548" t="n">
        <v>0.2336</v>
      </c>
      <c r="L548" t="inlineStr">
        <is>
          <t>This Java class provides metrics for Hystrix commands and threads, using RxJava for asynchronous event handling. It includes methods to record command execution results, thread pool usage, and other performance metrics. The implementation uses annotations and JUnit tests to ensure correctness and reliability.</t>
        </is>
      </c>
      <c r="M548" t="n">
        <v>0.0051</v>
      </c>
      <c r="N548" t="n">
        <v>0.1176</v>
      </c>
      <c r="O548" t="n">
        <v>0.1739</v>
      </c>
    </row>
    <row r="549">
      <c r="A549" t="inlineStr">
        <is>
          <t>hystrix</t>
        </is>
      </c>
      <c r="B549" t="inlineStr">
        <is>
          <t>hystrix-core/src/test/java/com/netflix/hystrix/metric/CommandStreamTest.java</t>
        </is>
      </c>
      <c r="C549">
        <f>HYPERLINK("https://github.com/Netflix/Hystrix/blob/master/hystrix-core/src/test/java/com/netflix/hystrix/metric/CommandStreamTest.java")</f>
        <v/>
      </c>
      <c r="D549" t="inlineStr">
        <is>
          <t>The provided code is part of a library that implements Hystrix, a circuit breaker pattern designed to protect microservices from cascading failures. The code defines classes and interfaces related to Hystrix commands, collapsers, properties, and keys used in managing service calls efficiently. It includes comments explaining its purpose and implementation details, but lacks actual algorithmic logic due to the comment prefix '//' which</t>
        </is>
      </c>
      <c r="E549" t="n">
        <v>0.0034</v>
      </c>
      <c r="F549" t="n">
        <v>0.0857</v>
      </c>
      <c r="G549" t="n">
        <v>0.1111</v>
      </c>
      <c r="H549" t="inlineStr">
        <is>
          <t>The code implements core algorithms for backend software components. It includes classes such as `HystrixCollapser`, `HystrixCollapserKey`, `HystrixCollapserProperties`, `HystrixCommand`, `HystrixCommandGroupKey`, `HystrixCommandKey`, and `HystrixCommandProperties`. The complexity is O(N), indicating that</t>
        </is>
      </c>
      <c r="I549" t="n">
        <v>0.0169</v>
      </c>
      <c r="J549" t="n">
        <v>0.1622</v>
      </c>
      <c r="K549" t="n">
        <v>0.3156</v>
      </c>
      <c r="L549" t="inlineStr">
        <is>
          <t>The code provides a framework for implementing Hystrix command execution and collapsing multiple requests into a single request using HystrixCollapsers. It includes classes such as `HystrixCommand`, `HystrixCollapser`, and their respective properties, which allow developers to manage circuit breakers, timeouts, and other aspects of command execution efficiently. The implementation complexity is O(N), where</t>
        </is>
      </c>
      <c r="M549" t="n">
        <v>0.0035</v>
      </c>
      <c r="N549" t="n">
        <v>0.06560000000000001</v>
      </c>
      <c r="O549" t="n">
        <v>0.121</v>
      </c>
    </row>
    <row r="550">
      <c r="A550" t="inlineStr">
        <is>
          <t>hystrix</t>
        </is>
      </c>
      <c r="B550" t="inlineStr">
        <is>
          <t>hystrix-core/src/test/java/com/netflix/hystrix/metric/HystrixCommandCompletionStreamTest.java</t>
        </is>
      </c>
      <c r="C550">
        <f>HYPERLINK("https://github.com/Netflix/Hystrix/blob/master/hystrix-core/src/test/java/com/netflix/hystrix/metric/HystrixCommandCompletionStreamTest.java")</f>
        <v/>
      </c>
      <c r="D550" t="inlineStr">
        <is>
          <t>The provided Java code defines a class `HystrixMetric` that appears to be part of a library designed for monitoring Hystrix commands and threads. The class includes methods for tracking execution results, event types, thread pool keys, and testing functionalities using RxJava's Subscriber interface. It also uses JUnit for unit tests and handles exceptions like `IllegalStateException`. The complexity of the implementation is O</t>
        </is>
      </c>
      <c r="E550" t="n">
        <v>0.0029</v>
      </c>
      <c r="F550" t="n">
        <v>0.0563</v>
      </c>
      <c r="G550" t="n">
        <v>0.1119</v>
      </c>
      <c r="H550" t="inlineStr">
        <is>
          <t>This repository contains backend software components that implement core algorithms. The complexity of these implementations is O(N), indicating linear time complexity relative to the input size. The codebase has been initialized with basic structure and includes comments explaining its implementation details.</t>
        </is>
      </c>
      <c r="I550" t="n">
        <v>0.0064</v>
      </c>
      <c r="J550" t="n">
        <v>0.2</v>
      </c>
      <c r="K550" t="n">
        <v>0.2212</v>
      </c>
      <c r="L550" t="inlineStr">
        <is>
          <t>The code provides a test suite for Hystrix metrics using RxJava subscribers. It measures execution results and events related to command keys and thread pool keys, ensuring proper metric collection and reporting during Hystrix command executions.</t>
        </is>
      </c>
      <c r="M550" t="n">
        <v>0.0052</v>
      </c>
      <c r="N550" t="n">
        <v>0.0455</v>
      </c>
      <c r="O550" t="n">
        <v>0.0926</v>
      </c>
    </row>
    <row r="551">
      <c r="A551" t="inlineStr">
        <is>
          <t>hystrix</t>
        </is>
      </c>
      <c r="B551" t="inlineStr">
        <is>
          <t>hystrix-core/src/test/java/com/netflix/hystrix/metric/consumer/HealthCountsStreamTest.java</t>
        </is>
      </c>
      <c r="C551">
        <f>HYPERLINK("https://github.com/Netflix/Hystrix/blob/master/hystrix-core/src/test/java/com/netflix/hystrix/metric/consumer/HealthCountsStreamTest.java")</f>
        <v/>
      </c>
      <c r="D551" t="inlineStr">
        <is>
          <t>The provided Java code defines a class within the `com.netflix.hystrix.metric.consumer` package that handles Hystrix command metrics. It includes methods to retrieve various metrics such as success rate, error count, execution time, and more from individual Hystrix commands. The code uses annotations like `@Override` to indicate method overrides and comments to explain its purpose and functionality. The complexity of the</t>
        </is>
      </c>
      <c r="E551" t="n">
        <v>0.0031</v>
      </c>
      <c r="F551" t="n">
        <v>0.0282</v>
      </c>
      <c r="G551" t="n">
        <v>0.07630000000000001</v>
      </c>
      <c r="H551" t="inlineStr">
        <is>
          <t>The provided code implements core algorithms for backend software components. It includes classes such as `HystrixCommand`, `HystrixCommandGroupKey`, `HystrixCommandKey`, `HystrixCommandMetrics`, `HystrixCommandProperties`, `HystrixEventType`, `HystrixRequestLog`, etc., which handle various aspects of command execution and monitoring within a Hystrix</t>
        </is>
      </c>
      <c r="I551" t="n">
        <v>0.0134</v>
      </c>
      <c r="J551" t="n">
        <v>0.1395</v>
      </c>
      <c r="K551" t="n">
        <v>0.295</v>
      </c>
      <c r="L551" t="inlineStr">
        <is>
          <t>The code provides metrics consumers for Hystrix commands, including command group keys, command keys, command metrics, properties, event types, request log, and more. It includes comments explaining implementation details and is part of a larger backend software component repository. The complexity is O(N), and the code size is 1000 lines.</t>
        </is>
      </c>
      <c r="M551" t="n">
        <v>0.0044</v>
      </c>
      <c r="N551" t="n">
        <v>0.0678</v>
      </c>
      <c r="O551" t="n">
        <v>0.1639</v>
      </c>
    </row>
    <row r="552">
      <c r="A552" t="inlineStr">
        <is>
          <t>hystrix</t>
        </is>
      </c>
      <c r="B552" t="inlineStr">
        <is>
          <t>hystrix-core/src/test/java/com/netflix/hystrix/metric/consumer/RollingCommandLatencyDistributionStreamTest.java</t>
        </is>
      </c>
      <c r="C552">
        <f>HYPERLINK("https://github.com/Netflix/Hystrix/blob/master/hystrix-core/src/test/java/com/netflix/hystrix/metric/consumer/RollingCommandLatencyDistributionStreamTest.java")</f>
        <v/>
      </c>
      <c r="D552" t="inlineStr">
        <is>
          <t>The provided Java code defines a class within the `com.netflix.hystrix.metric.consumer` package that handles metric consumption related to Hystrix commands. It includes methods for processing command events such as success, failure, timeout, and circuit breaker state changes. The class uses various classes from the Hystrix library to access and manipulate metrics data, including histograms and request logs. The complexity of the</t>
        </is>
      </c>
      <c r="E552" t="n">
        <v>0.003</v>
      </c>
      <c r="F552" t="n">
        <v>0.0278</v>
      </c>
      <c r="G552" t="n">
        <v>0.07580000000000001</v>
      </c>
      <c r="H552" t="inlineStr">
        <is>
          <t>Implements core algorithms for backend software components. Complexity is O(N).</t>
        </is>
      </c>
      <c r="I552" t="n">
        <v>0.0251</v>
      </c>
      <c r="J552" t="n">
        <v>0.2105</v>
      </c>
      <c r="K552" t="n">
        <v>0.3117</v>
      </c>
      <c r="L552" t="inlineStr">
        <is>
          <t>The provided code implements a consumer component that processes Hystrix metrics related to command execution. It uses classes from the `com.netflix.hystrix` package to handle command groups, keys, properties, events, request logs, and metric histograms. The code appears to be part of a larger system designed to monitor and analyze Hystrix circuit breaker performance and command execution times.</t>
        </is>
      </c>
      <c r="M552" t="n">
        <v>0.0038</v>
      </c>
      <c r="N552" t="n">
        <v>0.0597</v>
      </c>
      <c r="O552" t="n">
        <v>0.1163</v>
      </c>
    </row>
    <row r="553">
      <c r="A553" t="inlineStr">
        <is>
          <t>hystrix</t>
        </is>
      </c>
      <c r="B553" t="inlineStr">
        <is>
          <t>hystrix-core/src/test/java/com/netflix/hystrix/metric/consumer/RollingThreadPoolEventCounterStreamTest.java</t>
        </is>
      </c>
      <c r="C553">
        <f>HYPERLINK("https://github.com/Netflix/Hystrix/blob/master/hystrix-core/src/test/java/com/netflix/hystrix/metric/consumer/RollingThreadPoolEventCounterStreamTest.java")</f>
        <v/>
      </c>
      <c r="D553" t="inlineStr">
        <is>
          <t>The provided code is part of a Hystrix library used for circuit breaker pattern implementation in Java applications. It includes classes that handle metrics collection and logging for various aspects of Hystrix commands, such as command groups, keys, properties, event types, request log, thread pool keys, and metrics. The complexity is O(N) due to potential processing of large datasets related to these metrics.</t>
        </is>
      </c>
      <c r="E553" t="n">
        <v>0.0029</v>
      </c>
      <c r="F553" t="n">
        <v>0.0556</v>
      </c>
      <c r="G553" t="n">
        <v>0.1111</v>
      </c>
      <c r="H553" t="inlineStr">
        <is>
          <t>Implements core algorithms for backend software components.</t>
        </is>
      </c>
      <c r="I553" t="n">
        <v>0.0341</v>
      </c>
      <c r="J553" t="n">
        <v>0.2667</v>
      </c>
      <c r="K553" t="n">
        <v>0.3235</v>
      </c>
      <c r="L553" t="inlineStr">
        <is>
          <t>This Java class from the Netflix Hystrix library processes metrics related to command execution, including success rates, latency statistics, and error counts. It integrates with various Hystrix components such as `HystrixCommand`, `HystrixCommandGroupKey`, `HystrixCommandKey`, `HystrixCommandProperties`, `HystrixRequestLog`, `HystrixThreadPoolKey`,</t>
        </is>
      </c>
      <c r="M553" t="n">
        <v>0.0061</v>
      </c>
      <c r="N553" t="n">
        <v>0.09089999999999999</v>
      </c>
      <c r="O553" t="n">
        <v>0.0926</v>
      </c>
    </row>
    <row r="554">
      <c r="A554" t="inlineStr">
        <is>
          <t>hystrix</t>
        </is>
      </c>
      <c r="B554" t="inlineStr">
        <is>
          <t>hystrix-core/src/test/java/com/netflix/hystrix/metric/consumer/RollingThreadPoolMaxConcurrencyStreamTest.java</t>
        </is>
      </c>
      <c r="C554">
        <f>HYPERLINK("https://github.com/Netflix/Hystrix/blob/master/hystrix-core/src/test/java/com/netflix/hystrix/metric/consumer/RollingThreadPoolMaxConcurrencyStreamTest.java")</f>
        <v/>
      </c>
      <c r="D554" t="inlineStr">
        <is>
          <t>The provided code is part of a Hystrix library used for circuit breaking and fallback mechanisms in microservices architecture. It includes classes for monitoring command execution metrics such as success rate, latency, and error rates. The `HystrixMetricConsumer` class likely handles the collection and reporting of these metrics to a metric stream, which can be useful for performance analysis and debugging purposes. The complexity of the</t>
        </is>
      </c>
      <c r="E554" t="n">
        <v>0.0028</v>
      </c>
      <c r="F554" t="n">
        <v>0.0274</v>
      </c>
      <c r="G554" t="n">
        <v>0.073</v>
      </c>
      <c r="H554" t="inlineStr">
        <is>
          <t>The provided code implements core algorithms for backend software components. It includes classes such as `HystrixCommandGroupKey`, `HystrixCommandKey`, `HystrixCommandProperties`, `HystrixEventType`, `HystrixRequestLog`, `HystrixThreadPoolKey`, and others related to Hystrix command execution metrics. The complexity is O(N) due to potential processing of</t>
        </is>
      </c>
      <c r="I554" t="n">
        <v>0.0123</v>
      </c>
      <c r="J554" t="n">
        <v>0.1277</v>
      </c>
      <c r="K554" t="n">
        <v>0.2869</v>
      </c>
      <c r="L554" t="inlineStr">
        <is>
          <t>The code provides metrics consumers for Hystrix commands, including command groups, keys, properties, event types, request logs, thread pool keys, and tests related to command streams. It includes comments indicating implementation of core algorithms and initial codebase commit messages. The code size is 1000 lines, focusing on handling various aspects of Hystrix command monitoring and logging.</t>
        </is>
      </c>
      <c r="M554" t="n">
        <v>0.0039</v>
      </c>
      <c r="N554" t="n">
        <v>0.09379999999999999</v>
      </c>
      <c r="O554" t="n">
        <v>0.1172</v>
      </c>
    </row>
    <row r="555">
      <c r="A555" t="inlineStr">
        <is>
          <t>hystrix</t>
        </is>
      </c>
      <c r="B555" t="inlineStr">
        <is>
          <t>hystrix-core/src/test/java/com/netflix/hystrix/metric/consumer/RollingCollapserBatchSizeDistributionStreamTest.java</t>
        </is>
      </c>
      <c r="C555">
        <f>HYPERLINK("https://github.com/Netflix/Hystrix/blob/master/hystrix-core/src/test/java/com/netflix/hystrix/metric/consumer/RollingCollapserBatchSizeDistributionStreamTest.java")</f>
        <v/>
      </c>
      <c r="D555" t="inlineStr">
        <is>
          <t>The provided code appears to be part of a Hystrix library used for circuit breaker pattern implementation in Java applications. It includes tests for the `CachedValuesHistogram` class within the `com.netflix.hystrix.metric.consumer` package. The code uses RxJava for asynchronous event handling and JUnit for testing. The complexity is O(N) due to potential operations involving arrays or collections that scale linearly</t>
        </is>
      </c>
      <c r="E555" t="n">
        <v>0.0031</v>
      </c>
      <c r="F555" t="n">
        <v>0.0563</v>
      </c>
      <c r="G555" t="n">
        <v>0.1154</v>
      </c>
      <c r="H555" t="inlineStr">
        <is>
          <t>The code implements core algorithms for backend software components. It uses RxJava for asynchronous processing and Hystrix for circuit breaker management. The complexity is O(N), indicating linear time complexity based on input size.</t>
        </is>
      </c>
      <c r="I555" t="n">
        <v>0.0142</v>
      </c>
      <c r="J555" t="n">
        <v>0.1429</v>
      </c>
      <c r="K555" t="n">
        <v>0.3543</v>
      </c>
      <c r="L555" t="inlineStr">
        <is>
          <t>This Java code provides a test suite for Hystrix command streams using RxJava. It includes tests for various aspects such as collapsing requests, measuring latency histograms, and handling request contexts. The code uses JUnit annotations for testing and RxJava's `Subscriber` interface to handle asynchronous data processing.</t>
        </is>
      </c>
      <c r="M555" t="n">
        <v>0.0048</v>
      </c>
      <c r="N555" t="n">
        <v>0.0727</v>
      </c>
      <c r="O555" t="n">
        <v>0.1271</v>
      </c>
    </row>
    <row r="556">
      <c r="A556" t="inlineStr">
        <is>
          <t>hystrix</t>
        </is>
      </c>
      <c r="B556" t="inlineStr">
        <is>
          <t>hystrix-core/src/test/java/com/netflix/hystrix/metric/consumer/RollingCommandMaxConcurrencyStreamTest.java</t>
        </is>
      </c>
      <c r="C556">
        <f>HYPERLINK("https://github.com/Netflix/Hystrix/blob/master/hystrix-core/src/test/java/com/netflix/hystrix/metric/consumer/RollingCommandMaxConcurrencyStreamTest.java")</f>
        <v/>
      </c>
      <c r="D556" t="inlineStr">
        <is>
          <t>The provided Java code defines a class within the `com.netflix.hystrix.metric.consumer` package that appears to be part of a Hystrix library used for circuit breaker pattern implementation in microservices architecture. The class likely handles metrics related to command execution events such as success, failure, timeouts, etc., using the Hystrix framework's event logging mechanism (`HystrixRequestLog`). It includes</t>
        </is>
      </c>
      <c r="E556" t="n">
        <v>0</v>
      </c>
      <c r="F556" t="n">
        <v>0.0294</v>
      </c>
      <c r="G556" t="n">
        <v>0.07870000000000001</v>
      </c>
      <c r="H556" t="inlineStr">
        <is>
          <t>Implements core algorithms for backend software components. Complexity is O(N).</t>
        </is>
      </c>
      <c r="I556" t="n">
        <v>0.0251</v>
      </c>
      <c r="J556" t="n">
        <v>0.2105</v>
      </c>
      <c r="K556" t="n">
        <v>0.3117</v>
      </c>
      <c r="L556" t="inlineStr">
        <is>
          <t>This Java class from the Hystrix library processes metrics related to command execution, specifically focusing on request logs and event types such as success, failure, timeout, and circuit breakers tripping. It uses Hystrix's internal APIs to retrieve and analyze these metrics, which can be useful for monitoring and debugging application performance. The class provides methods to filter and aggregate data based on different criteria, making</t>
        </is>
      </c>
      <c r="M556" t="n">
        <v>0.0033</v>
      </c>
      <c r="N556" t="n">
        <v>0.0541</v>
      </c>
      <c r="O556" t="n">
        <v>0.1095</v>
      </c>
    </row>
    <row r="557">
      <c r="A557" t="inlineStr">
        <is>
          <t>hystrix</t>
        </is>
      </c>
      <c r="B557" t="inlineStr">
        <is>
          <t>hystrix-core/src/test/java/com/netflix/hystrix/metric/consumer/HystrixDashboardStreamTest.java</t>
        </is>
      </c>
      <c r="C557">
        <f>HYPERLINK("https://github.com/Netflix/Hystrix/blob/master/hystrix-core/src/test/java/com/netflix/hystrix/metric/consumer/HystrixDashboardStreamTest.java")</f>
        <v/>
      </c>
      <c r="D557" t="inlineStr">
        <is>
          <t>The provided code appears to be part of a Hystrix library used for circuit breaker pattern implementation in Java applications. It includes classes related to monitoring and analyzing metrics from Hystrix commands. The code uses JUnit for testing and follows the Apache License version 2.0. The complexity of the code is O(N), indicating that it involves operations proportional to the size of input data.</t>
        </is>
      </c>
      <c r="E557" t="n">
        <v>0.0028</v>
      </c>
      <c r="F557" t="n">
        <v>0.0541</v>
      </c>
      <c r="G557" t="n">
        <v>0.1103</v>
      </c>
      <c r="H557" t="inlineStr">
        <is>
          <t>The code implements core algorithms for a backend software component. It includes comments explaining its implementation and complexity analysis. The README provides information about the repository's contents and structure.</t>
        </is>
      </c>
      <c r="I557" t="n">
        <v>0.0163</v>
      </c>
      <c r="J557" t="n">
        <v>0.1579</v>
      </c>
      <c r="K557" t="n">
        <v>0.3125</v>
      </c>
      <c r="L557" t="inlineStr">
        <is>
          <t>This Java class provides metrics consumers for Hystrix commands, using JUnit rules for request context management. It includes methods to retrieve command metrics such as success rate, error count, and latency distribution, which can be used for monitoring and debugging purposes within a microservices architecture. The implementation focuses on providing detailed insights into command execution performance and reliability.</t>
        </is>
      </c>
      <c r="M557" t="n">
        <v>0.0037</v>
      </c>
      <c r="N557" t="n">
        <v>0.09089999999999999</v>
      </c>
      <c r="O557" t="n">
        <v>0.1538</v>
      </c>
    </row>
    <row r="558">
      <c r="A558" t="inlineStr">
        <is>
          <t>hystrix</t>
        </is>
      </c>
      <c r="B558" t="inlineStr">
        <is>
          <t>hystrix-core/src/test/java/com/netflix/hystrix/metric/consumer/CumulativeCollapserEventCounterStreamTest.java</t>
        </is>
      </c>
      <c r="C558">
        <f>HYPERLINK("https://github.com/Netflix/Hystrix/blob/master/hystrix-core/src/test/java/com/netflix/hystrix/metric/consumer/CumulativeCollapserEventCounterStreamTest.java")</f>
        <v/>
      </c>
      <c r="D558" t="inlineStr">
        <is>
          <t>The provided Java code defines a class `HystrixCollapserMetricConsumer` within the package `com.netflix.hystrix.metric.consumer`. This class appears to be responsible for consuming metrics related to Hystrix collapser operations. It includes methods to retrieve and process metrics such as event types, request logs, and collapser-specific metrics like execution time and success rates. The code uses</t>
        </is>
      </c>
      <c r="E558" t="n">
        <v>0.0042</v>
      </c>
      <c r="F558" t="n">
        <v>0.0615</v>
      </c>
      <c r="G558" t="n">
        <v>0.121</v>
      </c>
      <c r="H558" t="inlineStr">
        <is>
          <t>The repository contains backend software components implementing core algorithms. Complexity is O(N), indicating linear time complexity. The implementation includes comments explaining the purpose and functionality of each part of the code.</t>
        </is>
      </c>
      <c r="I558" t="n">
        <v>0.008500000000000001</v>
      </c>
      <c r="J558" t="n">
        <v>0.2</v>
      </c>
      <c r="K558" t="n">
        <v>0.2427</v>
      </c>
      <c r="L558" t="inlineStr">
        <is>
          <t>The provided Java code defines a class within the `com.netflix.hystrix.metric.consumer` package that tests Hystrix collapser metrics using JUnit. It includes methods to verify the creation and retrieval of HystrixCollapserMetrics instances, as well as checks for event types like COLLAPSER_REQUESTED and COLLAPSER_EXECUTED. The code uses HystrixRequest</t>
        </is>
      </c>
      <c r="M558" t="n">
        <v>0.0041</v>
      </c>
      <c r="N558" t="n">
        <v>0.0339</v>
      </c>
      <c r="O558" t="n">
        <v>0.08550000000000001</v>
      </c>
    </row>
    <row r="559">
      <c r="A559" t="inlineStr">
        <is>
          <t>hystrix</t>
        </is>
      </c>
      <c r="B559" t="inlineStr">
        <is>
          <t>hystrix-core/src/test/java/com/netflix/hystrix/metric/consumer/RollingCommandEventCounterStreamTest.java</t>
        </is>
      </c>
      <c r="C559">
        <f>HYPERLINK("https://github.com/Netflix/Hystrix/blob/master/hystrix-core/src/test/java/com/netflix/hystrix/metric/consumer/RollingCommandEventCounterStreamTest.java")</f>
        <v/>
      </c>
      <c r="D559" t="inlineStr">
        <is>
          <t>The provided Java code defines a class `HystrixMetricConsumer` within the package `com.netflix.hystrix.metric.consumer`. This class appears to be part of a system designed to monitor and analyze Hystrix command metrics, which are used in microservices architecture to handle failures gracefully using circuit breakers and fallback mechanisms.
### Key Features:
1. **Imports**: The code imports various classes from</t>
        </is>
      </c>
      <c r="E559" t="n">
        <v>0.0039</v>
      </c>
      <c r="F559" t="n">
        <v>0.0597</v>
      </c>
      <c r="G559" t="n">
        <v>0.1172</v>
      </c>
      <c r="H559" t="inlineStr">
        <is>
          <t>The provided code is part of a backend software component that implements core algorithms. It includes comments explaining its implementation and commits detailing the initial creation of the codebase. The complexity is rated as O(N), indicating linear time complexity based on input size.</t>
        </is>
      </c>
      <c r="I559" t="n">
        <v>0.0108</v>
      </c>
      <c r="J559" t="n">
        <v>0.1538</v>
      </c>
      <c r="K559" t="n">
        <v>0.3235</v>
      </c>
      <c r="L559" t="inlineStr">
        <is>
          <t>The code provides metrics consumers for Hystrix commands, including command group keys, command keys, command metrics, properties, event types, request log, and test cases. It includes comments and documentation about licensing and usage. The complexity is O(N), and existing comments indicate implementation of core algorithms.</t>
        </is>
      </c>
      <c r="M559" t="n">
        <v>0.0049</v>
      </c>
      <c r="N559" t="n">
        <v>0.0741</v>
      </c>
      <c r="O559" t="n">
        <v>0.1282</v>
      </c>
    </row>
    <row r="560">
      <c r="A560" t="inlineStr">
        <is>
          <t>hystrix</t>
        </is>
      </c>
      <c r="B560" t="inlineStr">
        <is>
          <t>hystrix-core/src/test/java/com/netflix/hystrix/metric/consumer/RollingCollapserEventCounterStreamTest.java</t>
        </is>
      </c>
      <c r="C560">
        <f>HYPERLINK("https://github.com/Netflix/Hystrix/blob/master/hystrix-core/src/test/java/com/netflix/hystrix/metric/consumer/RollingCollapserEventCounterStreamTest.java")</f>
        <v/>
      </c>
      <c r="D560" t="inlineStr">
        <is>
          <t>The provided Java code defines a class `HystrixCollapserMetricConsumer` within the package `com.netflix.hystrix.metric.consumer`. This class appears to be part of a Hystrix library used for circuit breaker pattern implementation in microservices architecture. The class likely handles metrics related to Hystrix collapsers, which group multiple requests into fewer calls to reduce network overhead. It uses</t>
        </is>
      </c>
      <c r="E560" t="n">
        <v>0.0035</v>
      </c>
      <c r="F560" t="n">
        <v>0.0615</v>
      </c>
      <c r="G560" t="n">
        <v>0.12</v>
      </c>
      <c r="H560" t="inlineStr">
        <is>
          <t>This repository contains backend software components that implement core algorithms. The complexity of these implementations is O(N), indicating linear time complexity relative to the input size. The code base has been initialized with a single commit containing the initial implementation.</t>
        </is>
      </c>
      <c r="I560" t="n">
        <v>0.0061</v>
      </c>
      <c r="J560" t="n">
        <v>0.1633</v>
      </c>
      <c r="K560" t="n">
        <v>0.1786</v>
      </c>
      <c r="L560" t="inlineStr">
        <is>
          <t>The code provides metrics consumers for Hystrix collapsers, handling events such as command execution and request logging. It uses Hystrix's `HystrixCollapserKey`, `HystrixCollapserMetrics`, `HystrixEventType`, and `HystrixRequestLog` classes to track and report on collapsers' performance. The implementation includes methods to process</t>
        </is>
      </c>
      <c r="M560" t="n">
        <v>0.0047</v>
      </c>
      <c r="N560" t="n">
        <v>0.0417</v>
      </c>
      <c r="O560" t="n">
        <v>0.1351</v>
      </c>
    </row>
    <row r="561">
      <c r="A561" t="inlineStr">
        <is>
          <t>hystrix</t>
        </is>
      </c>
      <c r="B561" t="inlineStr">
        <is>
          <t>hystrix-core/src/test/java/com/netflix/hystrix/metric/consumer/CumulativeCommandEventCounterStreamTest.java</t>
        </is>
      </c>
      <c r="C561">
        <f>HYPERLINK("https://github.com/Netflix/Hystrix/blob/master/hystrix-core/src/test/java/com/netflix/hystrix/metric/consumer/CumulativeCommandEventCounterStreamTest.java")</f>
        <v/>
      </c>
      <c r="D561" t="inlineStr">
        <is>
          <t>The provided Java code defines a class `HystrixMetricConsumer` within the package `com.netflix.hystrix.metric.consumer`. This class appears to be part of a larger system designed to monitor and analyze Hystrix command metrics, which are used in microservices architecture to handle circuit breakers and fallbacks. The class likely includes methods to retrieve and process various types of Hystrix metrics such</t>
        </is>
      </c>
      <c r="E561" t="n">
        <v>0.0038</v>
      </c>
      <c r="F561" t="n">
        <v>0.058</v>
      </c>
      <c r="G561" t="n">
        <v>0.1163</v>
      </c>
      <c r="H561" t="inlineStr">
        <is>
          <t>This repository contains backend software components that implement core algorithms. The complexity of the implementation is O(N), indicating linear time complexity. The comments provide details about the implementation's purpose and structure. The commits include an initial codebase commit. The total size of the codebase is 1000 lines.</t>
        </is>
      </c>
      <c r="I561" t="n">
        <v>0.0055</v>
      </c>
      <c r="J561" t="n">
        <v>0.1754</v>
      </c>
      <c r="K561" t="n">
        <v>0.2101</v>
      </c>
      <c r="L561" t="inlineStr">
        <is>
          <t>The provided code implements a consumer component that processes Hystrix command metrics from various groups and keys, logging them using `HystrixRequestLog`. It uses `HystrixCommandMetrics` to retrieve data about command executions, including success rates, latency statistics, and error counts. The code handles different types of events such as command execution start, end, failure, and success, updating the request</t>
        </is>
      </c>
      <c r="M561" t="n">
        <v>0.0038</v>
      </c>
      <c r="N561" t="n">
        <v>0.0615</v>
      </c>
      <c r="O561" t="n">
        <v>0.1163</v>
      </c>
    </row>
    <row r="562">
      <c r="A562" t="inlineStr">
        <is>
          <t>hystrix</t>
        </is>
      </c>
      <c r="B562" t="inlineStr">
        <is>
          <t>hystrix-core/src/test/java/com/netflix/hystrix/metric/consumer/CumulativeThreadPoolEventCounterStreamTest.java</t>
        </is>
      </c>
      <c r="C562">
        <f>HYPERLINK("https://github.com/Netflix/Hystrix/blob/master/hystrix-core/src/test/java/com/netflix/hystrix/metric/consumer/CumulativeThreadPoolEventCounterStreamTest.java")</f>
        <v/>
      </c>
      <c r="D562" t="inlineStr">
        <is>
          <t>The provided code appears to be part of a Hystrix library used for circuit breaking and fallback mechanisms in microservices architecture. It includes classes that handle metrics related to command execution, such as `HystrixMetricConsumer`, which likely processes data from `HystrixRequestLog` to generate various performance metrics. The complexity is O(N), indicating it might involve processing large datasets. The comments suggest</t>
        </is>
      </c>
      <c r="E562" t="n">
        <v>0.0031</v>
      </c>
      <c r="F562" t="n">
        <v>0.0294</v>
      </c>
      <c r="G562" t="n">
        <v>0.07630000000000001</v>
      </c>
      <c r="H562" t="inlineStr">
        <is>
          <t>The code implements core algorithms for a backend system. It includes classes such as `HystrixCommandGroupKey`, `HystrixCommandKey`, `HystrixCommandProperties`, `HystrixEventType`, `HystrixRequestLog`, `HystrixThreadPoolKey`, and `HystrixThreadPoolMetrics`. The complexity is O(N), indicating that it processes data linearly based on</t>
        </is>
      </c>
      <c r="I562" t="n">
        <v>0.0128</v>
      </c>
      <c r="J562" t="n">
        <v>0.1395</v>
      </c>
      <c r="K562" t="n">
        <v>0.2411</v>
      </c>
      <c r="L562" t="inlineStr">
        <is>
          <t>The code provides metrics consumers for Hystrix commands, groups, threads, and request logs, allowing monitoring and analysis of command execution performance and behavior. It includes methods to retrieve various metrics such as success rate, error count, latency distribution, and more. The implementation uses Hystrix's built-in metrics collection mechanisms to provide insights into how commands are performing within a microservices architecture.</t>
        </is>
      </c>
      <c r="M562" t="n">
        <v>0.003</v>
      </c>
      <c r="N562" t="n">
        <v>0.0286</v>
      </c>
      <c r="O562" t="n">
        <v>0.1136</v>
      </c>
    </row>
    <row r="563">
      <c r="A563" t="inlineStr">
        <is>
          <t>hystrix</t>
        </is>
      </c>
      <c r="B563" t="inlineStr">
        <is>
          <t>hystrix-core/src/test/java/com/netflix/hystrix/metric/sample/HystrixUtilizationStreamTest.java</t>
        </is>
      </c>
      <c r="C563">
        <f>HYPERLINK("https://github.com/Netflix/Hystrix/blob/master/hystrix-core/src/test/java/com/netflix/hystrix/metric/sample/HystrixUtilizationStreamTest.java")</f>
        <v/>
      </c>
      <c r="D563" t="inlineStr">
        <is>
          <t>The provided code appears to be part of a Hystrix library used for handling circuit breakers and fallbacks in microservices architectures. It includes a test class `CommandStreamTest` that uses JUnit rules such as `HystrixRequestContextRule` to simulate request contexts and execute Hystrix commands. The tests likely verify the behavior of command streams within the Hystrix framework, possibly</t>
        </is>
      </c>
      <c r="E563" t="n">
        <v>0.0033</v>
      </c>
      <c r="F563" t="n">
        <v>0.0312</v>
      </c>
      <c r="G563" t="n">
        <v>0.0781</v>
      </c>
      <c r="H563" t="inlineStr">
        <is>
          <t>The code implements core algorithms for backend software components. It includes comments explaining its implementation and complexity analysis. The README provides information about the repository's purpose and structure.</t>
        </is>
      </c>
      <c r="I563" t="n">
        <v>0.0169</v>
      </c>
      <c r="J563" t="n">
        <v>0.1622</v>
      </c>
      <c r="K563" t="n">
        <v>0.3156</v>
      </c>
      <c r="L563" t="inlineStr">
        <is>
          <t>This Java code provides a test suite for Hystrix commands using JUnit. It includes tests for various command types such as `HystrixObservableCommand`, `HystrixBlockingCommand`, and `HystrixExecutableCommand`. The tests verify that events like success, failure, timeout, and circuit breaker tripping are correctly recorded and emitted through the `CommandStream`.</t>
        </is>
      </c>
      <c r="M563" t="n">
        <v>0.0048</v>
      </c>
      <c r="N563" t="n">
        <v>0.0741</v>
      </c>
      <c r="O563" t="n">
        <v>0.1271</v>
      </c>
    </row>
    <row r="564">
      <c r="A564" t="inlineStr">
        <is>
          <t>hystrix</t>
        </is>
      </c>
      <c r="B564" t="inlineStr">
        <is>
          <t>hystrix-core/src/test/java/com/netflix/hystrix/config/HystrixConfigurationStreamTest.java</t>
        </is>
      </c>
      <c r="C564">
        <f>HYPERLINK("https://github.com/Netflix/Hystrix/blob/master/hystrix-core/src/test/java/com/netflix/hystrix/config/HystrixConfigurationStreamTest.java")</f>
        <v/>
      </c>
      <c r="D564" t="inlineStr">
        <is>
          <t>The provided code defines a Java class that implements Hystrix configuration settings for managing circuit breakers and fallbacks in microservices using Netflix's Hystrix library. The class includes methods for setting up request context rules, configuring command keys, event types, and handling different aspects of Hystrix configuration streams. It also provides comments explaining its purpose and usage within the larger system architecture described in the README</t>
        </is>
      </c>
      <c r="E564" t="n">
        <v>0.0033</v>
      </c>
      <c r="F564" t="n">
        <v>0.0541</v>
      </c>
      <c r="G564" t="n">
        <v>0.1095</v>
      </c>
      <c r="H564" t="inlineStr">
        <is>
          <t>This repository contains backend software components implementing core algorithms. The complexity is O(N), indicating linear time complexity, and it includes comments explaining the implementation details. The commits indicate that the initial codebase was created. The total size of the codebase is 1000 lines.</t>
        </is>
      </c>
      <c r="I564" t="n">
        <v>0.0061</v>
      </c>
      <c r="J564" t="n">
        <v>0.1923</v>
      </c>
      <c r="K564" t="n">
        <v>0.2174</v>
      </c>
      <c r="L564" t="inlineStr">
        <is>
          <t>This Java package contains configuration classes and utilities related to Hystrix, a library used for building resilient microservices architectures. The code includes classes for managing command groups, keys, event types, and configurations, as well as tools for testing Hystrix commands using JUnit rules. The implementation complexity is O(N), and existing comments indicate that the code implements core algorithms for Hystrix configuration management.</t>
        </is>
      </c>
      <c r="M564" t="n">
        <v>0.0074</v>
      </c>
      <c r="N564" t="n">
        <v>0.08450000000000001</v>
      </c>
      <c r="O564" t="n">
        <v>0.2776</v>
      </c>
    </row>
    <row r="565">
      <c r="A565" t="inlineStr">
        <is>
          <t>hystrix</t>
        </is>
      </c>
      <c r="B565" t="inlineStr">
        <is>
          <t>hystrix-core/src/test/java/com/netflix/hystrix/strategy/HystrixPluginsTest.java</t>
        </is>
      </c>
      <c r="C565">
        <f>HYPERLINK("https://github.com/Netflix/Hystrix/blob/master/hystrix-core/src/test/java/com/netflix/hystrix/strategy/HystrixPluginsTest.java")</f>
        <v/>
      </c>
      <c r="D565" t="inlineStr">
        <is>
          <t>The provided Java code defines a strategy interface `HystrixStrategy` within the package `com.netflix.hystrix.strategy`. It includes several methods that allow customization of Hystrix behavior through various strategies such as circuit breakers, fallbacks, and metrics collection. The code also provides utility methods like `asList`, `assertEquals`, `assertNotNull`, and `assertTrue` from JUnit for testing</t>
        </is>
      </c>
      <c r="E565" t="n">
        <v>0.0037</v>
      </c>
      <c r="F565" t="n">
        <v>0.0328</v>
      </c>
      <c r="G565" t="n">
        <v>0.041</v>
      </c>
      <c r="H565" t="inlineStr">
        <is>
          <t>This repository contains backend software components that implement core algorithms. The complexity of these implementations is O(N), indicating linear time complexity. The code size is 1000 lines, making it relatively large but focused on providing efficient algorithmic solutions.</t>
        </is>
      </c>
      <c r="I565" t="n">
        <v>0.0064</v>
      </c>
      <c r="J565" t="n">
        <v>0.1702</v>
      </c>
      <c r="K565" t="n">
        <v>0.1818</v>
      </c>
      <c r="L565" t="inlineStr">
        <is>
          <t>The code provides utility methods for testing Hystrix strategies using JUnit assertions. It includes methods to load resources from URLs, create mock objects, and verify method calls on those mocks. The code uses reflection to dynamically invoke methods on mocked objects and asserts their expected outcomes.</t>
        </is>
      </c>
      <c r="M565" t="n">
        <v>0.004</v>
      </c>
      <c r="N565" t="n">
        <v>0.037</v>
      </c>
      <c r="O565" t="n">
        <v>0.0847</v>
      </c>
    </row>
    <row r="566">
      <c r="A566" t="inlineStr">
        <is>
          <t>hystrix</t>
        </is>
      </c>
      <c r="B566" t="inlineStr">
        <is>
          <t>hystrix-core/src/test/java/com/netflix/hystrix/strategy/properties/HystrixPropertyTest.java</t>
        </is>
      </c>
      <c r="C566">
        <f>HYPERLINK("https://github.com/Netflix/Hystrix/blob/master/hystrix-core/src/test/java/com/netflix/hystrix/strategy/properties/HystrixPropertyTest.java")</f>
        <v/>
      </c>
      <c r="D566" t="inlineStr">
        <is>
          <t>The code defines a unit test for `HystrixProperty` using JUnit, which checks if the property can be retrieved correctly from its factory method. The complexity of the implementation is O(1) as it involves simple operations like getting the value of a string property.</t>
        </is>
      </c>
      <c r="E566" t="n">
        <v>0</v>
      </c>
      <c r="F566" t="n">
        <v>0.0385</v>
      </c>
      <c r="G566" t="n">
        <v>0.08699999999999999</v>
      </c>
      <c r="H566" t="inlineStr">
        <is>
          <t>The repository contains backend software components implementing core algorithms. The complexity is O(N), indicating linear time operations. Comments describe the implementation details. Initial codebase commit was made. The total size of the codebase is 1000 lines.</t>
        </is>
      </c>
      <c r="I566" t="n">
        <v>0.0061</v>
      </c>
      <c r="J566" t="n">
        <v>0.1333</v>
      </c>
      <c r="K566" t="n">
        <v>0.1389</v>
      </c>
      <c r="L566" t="inlineStr">
        <is>
          <t>The `HystrixProperty` class provides a way to manage configuration properties for Hystrix, a library used for building resilient microservices. The `testNested1` method tests creating nested properties using the `Factory.asProperty` method and verifying that they can be retrieved correctly.</t>
        </is>
      </c>
      <c r="M566" t="n">
        <v>0.0049</v>
      </c>
      <c r="N566" t="n">
        <v>0.0426</v>
      </c>
      <c r="O566" t="n">
        <v>0.09089999999999999</v>
      </c>
    </row>
    <row r="567">
      <c r="A567" t="inlineStr">
        <is>
          <t>hystrix</t>
        </is>
      </c>
      <c r="B567" t="inlineStr">
        <is>
          <t>hystrix-core/src/test/java/com/netflix/hystrix/strategy/properties/HystrixPropertiesChainedArchaiusPropertyTest.java</t>
        </is>
      </c>
      <c r="C567">
        <f>HYPERLINK("https://github.com/Netflix/Hystrix/blob/master/hystrix-core/src/test/java/com/netflix/hystrix/strategy/properties/HystrixPropertiesChainedArchaiusPropertyTest.java")</f>
        <v/>
      </c>
      <c r="D567" t="inlineStr">
        <is>
          <t>The provided Java code defines a test class `HystrixPropertiesTest` that uses JUnit to verify the functionality of properties related to Hystrix, a library used for building resilient systems. The tests check if certain boolean properties can be dynamically set and retrieved using Archaius, a configuration management framework. The code includes assertions to ensure the properties behave as expected when changed from their default values.</t>
        </is>
      </c>
      <c r="E567" t="n">
        <v>0.0034</v>
      </c>
      <c r="F567" t="n">
        <v>0.0556</v>
      </c>
      <c r="G567" t="n">
        <v>0.0735</v>
      </c>
      <c r="H567" t="inlineStr">
        <is>
          <t>This repository contains backend software components implementing core algorithms. The complexity is O(N), indicating linear time operations. It includes comments explaining the implementation details and commits detailing the initial codebase creation. The total size of the codebase is 1000 lines.</t>
        </is>
      </c>
      <c r="I567" t="n">
        <v>0.0065</v>
      </c>
      <c r="J567" t="n">
        <v>0.2041</v>
      </c>
      <c r="K567" t="n">
        <v>0.2232</v>
      </c>
      <c r="L567" t="inlineStr">
        <is>
          <t>The provided Java code defines unit tests for `DynamicBooleanProperty` within the Hystrix framework's properties strategy. It uses JUnit assertions to verify that the property behaves as expected when set to true and false. The code sets up test cases to check if the property returns the correct boolean value based on its configuration settings.</t>
        </is>
      </c>
      <c r="M567" t="n">
        <v>0.0034</v>
      </c>
      <c r="N567" t="n">
        <v>0.0317</v>
      </c>
      <c r="O567" t="n">
        <v>0.0794</v>
      </c>
    </row>
    <row r="568">
      <c r="A568" t="inlineStr">
        <is>
          <t>jabref</t>
        </is>
      </c>
      <c r="B568" t="inlineStr">
        <is>
          <t>build-logic/src/main/kotlin/JDKjsobjectDependencyMetadataRule.kt</t>
        </is>
      </c>
      <c r="C568">
        <f>HYPERLINK("https://github.com/JabRef/jabref/blob/master/build-logic/src/main/kotlin/JDKjsobjectDependencyMetadataRule.kt")</f>
        <v/>
      </c>
      <c r="D568" t="inlineStr">
        <is>
          <t>The provided code defines an abstract rule for adding target platform variants metadata to component dependencies in Gradle. It is based on a similar implementation from another project and uses annotations like `@CacheableRule` and `@Inject`. The rule takes parameters such as a classifier, operating system, architecture, and minimum Java version, and it modifies the component's metadata accordingly. This allows for more specific dependency resolution</t>
        </is>
      </c>
      <c r="E568" t="n">
        <v>0.0034</v>
      </c>
      <c r="F568" t="n">
        <v>0.0548</v>
      </c>
      <c r="G568" t="n">
        <v>0.1471</v>
      </c>
      <c r="H568" t="inlineStr">
        <is>
          <t>This repository contains backend software components with complex implementations of core algorithms. The complexity is measured as O(N), indicating linear time complexity for certain operations.</t>
        </is>
      </c>
      <c r="I568" t="n">
        <v>0.01</v>
      </c>
      <c r="J568" t="n">
        <v>0.2353</v>
      </c>
      <c r="K568" t="n">
        <v>0.2062</v>
      </c>
      <c r="L568" t="inlineStr">
        <is>
          <t>This Gradle plugin rule adds metadata for JDK JavaScript object dependencies based on specified operating system and architecture attributes, ensuring compatibility with the minimum Java version required by these dependencies. The rule is designed to be cacheable and integrates into the dependency resolution process to handle conflicts effectively.</t>
        </is>
      </c>
      <c r="M568" t="n">
        <v>0.0045</v>
      </c>
      <c r="N568" t="n">
        <v>0.07140000000000001</v>
      </c>
      <c r="O568" t="n">
        <v>0.0833</v>
      </c>
    </row>
    <row r="569">
      <c r="A569" t="inlineStr">
        <is>
          <t>jabref</t>
        </is>
      </c>
      <c r="B569" t="inlineStr">
        <is>
          <t>jabsrv/src/main/java/module-info.java</t>
        </is>
      </c>
      <c r="C569">
        <f>HYPERLINK("https://github.com/JabRef/jabref/blob/master/jabsrv/src/main/java/module-info.java")</f>
        <v/>
      </c>
      <c r="D569" t="inlineStr">
        <is>
          <t>The provided Java module `org.jabref.jabsrv` defines several packages for handling HTTP server functionalities in JabRef, including DTOs (Data Transfer Objects), services, resources, and commands. It uses Google Gson for JSON serialization/deserialization and HK2 for dependency injection. The modules are exported to various packages, such as Gson, Jersey, and Jackson, while some packages are opened to</t>
        </is>
      </c>
      <c r="E569" t="n">
        <v>0.004</v>
      </c>
      <c r="F569" t="n">
        <v>0.09089999999999999</v>
      </c>
      <c r="G569" t="n">
        <v>0.1181</v>
      </c>
      <c r="H569" t="inlineStr">
        <is>
          <t>Manages HTTP server components for JabRef, including DTOs, services, and resources. Complexity is high due to extensive inter-component dependencies.</t>
        </is>
      </c>
      <c r="I569" t="n">
        <v>0.0102</v>
      </c>
      <c r="J569" t="n">
        <v>0.07140000000000001</v>
      </c>
      <c r="K569" t="n">
        <v>0.0549</v>
      </c>
      <c r="L569" t="inlineStr">
        <is>
          <t>This Java module defines package exports and opens for various classes related to HTTP server functionalities within JabRef, including DTOs, CayW-related DTOs, Jersey server resources, command services, and more. The module is part of the JabRef project's backend software components.</t>
        </is>
      </c>
      <c r="M569" t="n">
        <v>0.0065</v>
      </c>
      <c r="N569" t="n">
        <v>0.16</v>
      </c>
      <c r="O569" t="n">
        <v>0.2232</v>
      </c>
    </row>
    <row r="570">
      <c r="A570" t="inlineStr">
        <is>
          <t>jabref</t>
        </is>
      </c>
      <c r="B570" t="inlineStr">
        <is>
          <t>jabsrv/src/main/java/org/jabref/http/SrvStateManager.java</t>
        </is>
      </c>
      <c r="C570">
        <f>HYPERLINK("https://github.com/JabRef/jabref/blob/master/jabsrv/src/main/java/org/jabref/http/SrvStateManager.java")</f>
        <v/>
      </c>
      <c r="D570" t="inlineStr">
        <is>
          <t>The `SrvStateManager` interface provides methods to manage various aspects of a JabRef application's state related to databases, entries, and selection tabs. It includes:
- **getSelectedEntries**: Returns an observable list of currently selected BibTeX entries.
- **getActiveDatabase**: Retrieves the current active BibDatabaseContext if one is set.
- **activeDatabaseProperty**: Provides an optional object property for</t>
        </is>
      </c>
      <c r="E570" t="n">
        <v>0.0035</v>
      </c>
      <c r="F570" t="n">
        <v>0.0339</v>
      </c>
      <c r="G570" t="n">
        <v>0.04</v>
      </c>
      <c r="H570" t="inlineStr">
        <is>
          <t>Manages state for JabRef's server-side operations, including selected entries, active databases, open databases, selection tabs, and index managers.</t>
        </is>
      </c>
      <c r="I570" t="n">
        <v>0.0108</v>
      </c>
      <c r="J570" t="n">
        <v>0.07140000000000001</v>
      </c>
      <c r="K570" t="n">
        <v>0.0556</v>
      </c>
      <c r="L570" t="inlineStr">
        <is>
          <t>The `SrvStateManager` interface provides methods for managing selected entries, active databases, open databases, selection tabs, and index managers within a JabRef application. It includes properties and bindings for these functionalities, allowing for dynamic updates and access to relevant data during runtime.</t>
        </is>
      </c>
      <c r="M570" t="n">
        <v>0.0045</v>
      </c>
      <c r="N570" t="n">
        <v>0.08160000000000001</v>
      </c>
      <c r="O570" t="n">
        <v>0.0442</v>
      </c>
    </row>
    <row r="571">
      <c r="A571" t="inlineStr">
        <is>
          <t>jabref</t>
        </is>
      </c>
      <c r="B571" t="inlineStr">
        <is>
          <t>jabsrv/src/main/java/org/jabref/http/JabRefSrvStateManager.java</t>
        </is>
      </c>
      <c r="C571">
        <f>HYPERLINK("https://github.com/JabRef/jabref/blob/master/jabsrv/src/main/java/org/jabref/http/JabRefSrvStateManager.java")</f>
        <v/>
      </c>
      <c r="D571" t="inlineStr">
        <is>
          <t>The `JabRefSrvStateManager` class is part of the JabRef project's HTTP service manager package. It provides implementations for several methods defined in the `SrvStateManager` interface:
- **getOpenDatabases**: Returns an empty observable list of open databases.
- **activeDatabaseProperty**: Returns an empty optional object property representing the currently active database context.
- **getSelectedEntries**:</t>
        </is>
      </c>
      <c r="E571" t="n">
        <v>0</v>
      </c>
      <c r="F571" t="n">
        <v>0.0357</v>
      </c>
      <c r="G571" t="n">
        <v>0.082</v>
      </c>
      <c r="H571" t="inlineStr">
        <is>
          <t>Manages state for JabRef's server-side operations, providing empty lists or properties where necessary. Complexity is O(N) due to potential indexing operations.</t>
        </is>
      </c>
      <c r="I571" t="n">
        <v>0</v>
      </c>
      <c r="J571" t="n">
        <v>0</v>
      </c>
      <c r="K571" t="n">
        <v>0</v>
      </c>
      <c r="L571" t="inlineStr">
        <is>
          <t>The `JabRefSrvStateManager` class provides state management for a JavaFX application using JABREF, focusing on handling open databases, active database selection, selected entries, and index managers. It returns empty observable lists for these functionalities, indicating that no actual data is managed at runtime. The implementation complexity is O(1), as all methods return static values without any processing.</t>
        </is>
      </c>
      <c r="M571" t="n">
        <v>0.0033</v>
      </c>
      <c r="N571" t="n">
        <v>0.0308</v>
      </c>
      <c r="O571" t="n">
        <v>0.1172</v>
      </c>
    </row>
    <row r="572">
      <c r="A572" t="inlineStr">
        <is>
          <t>jabref</t>
        </is>
      </c>
      <c r="B572" t="inlineStr">
        <is>
          <t>jabsrv/src/main/java/org/jabref/http/JabrefMediaType.java</t>
        </is>
      </c>
      <c r="C572">
        <f>HYPERLINK("https://github.com/JabRef/jabref/blob/master/jabsrv/src/main/java/org/jabref/http/JabrefMediaType.java")</f>
        <v/>
      </c>
      <c r="D572" t="inlineStr">
        <is>
          <t>The `JabrefMediaType` class in the `org.jabref.http` package defines two constants representing MIME types used for data interchange in JabRef applications:
- `BIBTEX`: Represents BibTeX format.
- `JSON_CSL_ITEM`: Represents CSL (Citation Style Language) item formatted as JSON.
These constants are useful for specifying content type headers when sending or receiving data between different</t>
        </is>
      </c>
      <c r="E572" t="n">
        <v>0</v>
      </c>
      <c r="F572" t="n">
        <v>0</v>
      </c>
      <c r="G572" t="n">
        <v>0.0403</v>
      </c>
      <c r="H572" t="inlineStr">
        <is>
          <t>Manages MIME types for BibTeX data in JabRef's HTTP package.</t>
        </is>
      </c>
      <c r="I572" t="n">
        <v>0</v>
      </c>
      <c r="J572" t="n">
        <v>0</v>
      </c>
      <c r="K572" t="n">
        <v>0</v>
      </c>
      <c r="L572" t="inlineStr">
        <is>
          <t>This Java class defines constants for MIME types used by JabRef, specifically for BibTeX files (`application/x-bibtex`) and CSL item libraries (`application/x-bibtex-library-csl+json`). The class is part of the `org.jabref.http` package and serves as a utility for handling media types related to JabRef's data formats.</t>
        </is>
      </c>
      <c r="M572" t="n">
        <v>0.0051</v>
      </c>
      <c r="N572" t="n">
        <v>0.06560000000000001</v>
      </c>
      <c r="O572" t="n">
        <v>0.1304</v>
      </c>
    </row>
    <row r="573">
      <c r="A573" t="inlineStr">
        <is>
          <t>jabref</t>
        </is>
      </c>
      <c r="B573" t="inlineStr">
        <is>
          <t>jabsrv/src/main/java/org/jabref/http/manager/package-info.java</t>
        </is>
      </c>
      <c r="C573">
        <f>HYPERLINK("https://github.com/JabRef/jabref/blob/master/jabsrv/src/main/java/org/jabref/http/manager/package-info.java")</f>
        <v/>
      </c>
      <c r="D573" t="inlineStr">
        <is>
          <t>The provided code is part of a JabRef project that implements HTTP manager functionalities for managing remote servers. It includes core algorithm implementations without repeating any existing logic from `org.jabref.logic.remote.server`. The complexity is O(N), indicating linear time operations based on input size N. Comments describe the implementation of core algorithms. The code size is 100 lines long.</t>
        </is>
      </c>
      <c r="E573" t="n">
        <v>0.0038</v>
      </c>
      <c r="F573" t="n">
        <v>0.0857</v>
      </c>
      <c r="G573" t="n">
        <v>0.1163</v>
      </c>
      <c r="H573" t="inlineStr">
        <is>
          <t>The code implements backend software components for JabRef, focusing on core algorithm implementations. Complexity is O(N), indicating linear time complexity in relation to input size. The repository was initialized with the first commit.</t>
        </is>
      </c>
      <c r="I573" t="n">
        <v>0.0074</v>
      </c>
      <c r="J573" t="n">
        <v>0.09520000000000001</v>
      </c>
      <c r="K573" t="n">
        <v>0.1429</v>
      </c>
      <c r="L573" t="inlineStr">
        <is>
          <t>The provided Java code implements a server component for managing JabRef database files over HTTP, following a structure similar to the `org.jabref.logic.remote.server` package. It likely handles requests related to adding, updating, and retrieving entries from a JabRef database, providing a RESTful interface for external applications to interact with the database. The code is designed to be efficient with a time complexity of \(</t>
        </is>
      </c>
      <c r="M573" t="n">
        <v>0.0034</v>
      </c>
      <c r="N573" t="n">
        <v>0.0541</v>
      </c>
      <c r="O573" t="n">
        <v>0.0741</v>
      </c>
    </row>
    <row r="574">
      <c r="A574" t="inlineStr">
        <is>
          <t>jabref</t>
        </is>
      </c>
      <c r="B574" t="inlineStr">
        <is>
          <t>jabsrv/src/main/java/org/jabref/http/manager/HttpServerThread.java</t>
        </is>
      </c>
      <c r="C574">
        <f>HYPERLINK("https://github.com/JabRef/jabref/blob/master/jabsrv/src/main/java/org/jabref/http/manager/HttpServerThread.java")</f>
        <v/>
      </c>
      <c r="D574" t="inlineStr">
        <is>
          <t>The `HttpServerThread` class in the `org.jabref.http.manager` package is designed to manage an HTTP server for JabRef. It encapsulates the logic for starting, stopping, and managing the HTTP server using Grizzly framework. The class handles exceptions related to processing and provides logging capabilities through SLF4J. It also includes fields for the server instance, state manager, URI,</t>
        </is>
      </c>
      <c r="E574" t="n">
        <v>0.0033</v>
      </c>
      <c r="F574" t="n">
        <v>0.0303</v>
      </c>
      <c r="G574" t="n">
        <v>0.07870000000000001</v>
      </c>
      <c r="H574" t="inlineStr">
        <is>
          <t>Manages HTTP servers for JabRef applications using GlassFish Grizzly library. Handles server startup, shutdown, and message handling. Complexity is O(N) due to potential processing exceptions during server operations.</t>
        </is>
      </c>
      <c r="I574" t="n">
        <v>0.0067</v>
      </c>
      <c r="J574" t="n">
        <v>0.0541</v>
      </c>
      <c r="K574" t="n">
        <v>0.1</v>
      </c>
      <c r="L574" t="inlineStr">
        <is>
          <t>This Java class `HttpServerThread` manages a web server for JabRef using Grizzly framework. It initializes and starts the HTTP server at a specified URI, handling incoming requests through a `Server` instance. The server can also receive UI messages from `UiMessageHandler`. If JabRef shuts down, the thread interrupts the running server to ensure proper cleanup.</t>
        </is>
      </c>
      <c r="M574" t="n">
        <v>0.004</v>
      </c>
      <c r="N574" t="n">
        <v>0.0645</v>
      </c>
      <c r="O574" t="n">
        <v>0.119</v>
      </c>
    </row>
    <row r="575">
      <c r="A575" t="inlineStr">
        <is>
          <t>jabref</t>
        </is>
      </c>
      <c r="B575" t="inlineStr">
        <is>
          <t>jabsrv/src/main/java/org/jabref/http/manager/HttpServerManager.java</t>
        </is>
      </c>
      <c r="C575">
        <f>HYPERLINK("https://github.com/JabRef/jabref/blob/master/jabsrv/src/main/java/org/jabref/http/manager/HttpServerManager.java")</f>
        <v/>
      </c>
      <c r="D575" t="inlineStr">
        <is>
          <t>The `HttpServerManager` class manages the lifecycle of an HTTP server thread in JabRef. It provides methods to start the server with optional parameters for CLI preferences, service state manager, UI message handler, and server URI. The class uses synchronization to ensure thread safety when accessing its internal fields.</t>
        </is>
      </c>
      <c r="E575" t="n">
        <v>0.0038</v>
      </c>
      <c r="F575" t="n">
        <v>0.0357</v>
      </c>
      <c r="G575" t="n">
        <v>0.0833</v>
      </c>
      <c r="H575" t="inlineStr">
        <is>
          <t>Manages the HTTP server thread lifecycle with options for starting it based on CLI preferences, service state manager, and UI message handler.</t>
        </is>
      </c>
      <c r="I575" t="n">
        <v>0.008699999999999999</v>
      </c>
      <c r="J575" t="n">
        <v>0.0667</v>
      </c>
      <c r="K575" t="n">
        <v>0.0532</v>
      </c>
      <c r="L575" t="inlineStr">
        <is>
          <t>The `HttpServerManager` class manages the lifecycle of an HTTP server thread using typical life cycle methods. It provides two overloaded `start` methods that accept different parameters, including `CliPreferences`, `SrvStateManager`, and optionally a `UiMessageHandler`. The class uses synchronization to ensure thread safety when starting the server thread.</t>
        </is>
      </c>
      <c r="M575" t="n">
        <v>0.004</v>
      </c>
      <c r="N575" t="n">
        <v>0.037</v>
      </c>
      <c r="O575" t="n">
        <v>0.0847</v>
      </c>
    </row>
    <row r="576">
      <c r="A576" t="inlineStr">
        <is>
          <t>jabref</t>
        </is>
      </c>
      <c r="B576" t="inlineStr">
        <is>
          <t>jabsrv/src/main/java/org/jabref/http/server/Server.java</t>
        </is>
      </c>
      <c r="C576">
        <f>HYPERLINK("https://github.com/JabRef/jabref/blob/master/jabsrv/src/main/java/org/jabref/http/server/Server.java")</f>
        <v/>
      </c>
      <c r="D576" t="inlineStr">
        <is>
          <t>The provided Java code is part of a JabRef HTTP server implementation that serves resources related to managing bibliographic databases. It includes various RESTful endpoints for handling entries, libraries, formats, commands, and more. The code uses Jersey as the framework for building web services and integrates with other parts of the JabRef application such as `JabRefSrvStateManager` and `GsonFactory`. The</t>
        </is>
      </c>
      <c r="E576" t="n">
        <v>0.0031</v>
      </c>
      <c r="F576" t="n">
        <v>0.0597</v>
      </c>
      <c r="G576" t="n">
        <v>0.1145</v>
      </c>
      <c r="H576" t="inlineStr">
        <is>
          <t>Manages JabRef server resources and services.</t>
        </is>
      </c>
      <c r="I576" t="n">
        <v>0.0293</v>
      </c>
      <c r="J576" t="n">
        <v>0.1429</v>
      </c>
      <c r="K576" t="n">
        <v>0.0641</v>
      </c>
      <c r="L576" t="inlineStr">
        <is>
          <t>This Java package provides HTTP server components for JabRef, including resources for managing entries, libraries, maps, and other data structures. It uses Gson for JSON serialization/deserialization, handles SSL contexts, and manages state using SrvStateManager. The code is designed to be modular, with separate classes for each resource type (EntriesResource, EntryResource, LibrariesResource, LibraryResource, MapResource, Root</t>
        </is>
      </c>
      <c r="M576" t="n">
        <v>0.004</v>
      </c>
      <c r="N576" t="n">
        <v>0.0635</v>
      </c>
      <c r="O576" t="n">
        <v>0.119</v>
      </c>
    </row>
    <row r="577">
      <c r="A577" t="inlineStr">
        <is>
          <t>jabref</t>
        </is>
      </c>
      <c r="B577" t="inlineStr">
        <is>
          <t>jabsrv/src/main/java/org/jabref/http/server/CORSFilter.java</t>
        </is>
      </c>
      <c r="C577">
        <f>HYPERLINK("https://github.com/JabRef/jabref/blob/master/jabsrv/src/main/java/org/jabref/http/server/CORSFilter.java")</f>
        <v/>
      </c>
      <c r="D577" t="inlineStr">
        <is>
          <t>The provided Java code defines a `CORSFilter` class that implements the `ContainerResponseFilter` interface from JAX-RS (Java API for RESTful Web Services). This filter is used to add Cross-Origin Resource Sharing (CORS) headers to HTTP responses, allowing requests from any origin (`*`). The filter sets up the following headers:
- `Access-Control-Allow-Origin`: Allows requests from</t>
        </is>
      </c>
      <c r="E577" t="n">
        <v>0.0041</v>
      </c>
      <c r="F577" t="n">
        <v>0.0312</v>
      </c>
      <c r="G577" t="n">
        <v>0.12</v>
      </c>
      <c r="H577" t="inlineStr">
        <is>
          <t>Adds CORS headers to HTTP responses for all requests in the application.</t>
        </is>
      </c>
      <c r="I577" t="n">
        <v>0</v>
      </c>
      <c r="J577" t="n">
        <v>0</v>
      </c>
      <c r="K577" t="n">
        <v>0</v>
      </c>
      <c r="L577" t="inlineStr">
        <is>
          <t>This Java code is a JAX-RS container response filter that sets up Cross-Origin Resource Sharing (CORS) headers for HTTP responses. It allows all origins (`*`), specifies allowed methods as GET, POST, PUT, DELETE, and OPTIONS, includes allowed headers such as origin, content type, and accept, and disables credentials. The filter is applied globally across all responses by annotating it</t>
        </is>
      </c>
      <c r="M577" t="n">
        <v>0.0037</v>
      </c>
      <c r="N577" t="n">
        <v>0.0588</v>
      </c>
      <c r="O577" t="n">
        <v>0.07630000000000001</v>
      </c>
    </row>
    <row r="578">
      <c r="A578" t="inlineStr">
        <is>
          <t>jabref</t>
        </is>
      </c>
      <c r="B578" t="inlineStr">
        <is>
          <t>jabsrv/src/main/java/org/jabref/http/server/command/FocusCommand.java</t>
        </is>
      </c>
      <c r="C578">
        <f>HYPERLINK("https://github.com/JabRef/jabref/blob/master/jabsrv/src/main/java/org/jabref/http/server/command/FocusCommand.java")</f>
        <v/>
      </c>
      <c r="D578" t="inlineStr">
        <is>
          <t>The `FocusCommand` class is a subclass of `Command`. It overrides the `execute()` method to focus on a specific UI element using a `UiCommand.Focus` object. The command uses JSON serialization with Jackson annotations for type naming. The complexity of this implementation is O(1) since it involves a simple operation without iterating over any data structures.</t>
        </is>
      </c>
      <c r="E578" t="n">
        <v>0</v>
      </c>
      <c r="F578" t="n">
        <v>0.0625</v>
      </c>
      <c r="G578" t="n">
        <v>0.119</v>
      </c>
      <c r="H578" t="inlineStr">
        <is>
          <t>The provided Java code defines a `FocusCommand` class within the `org.jabref.http.server.command` package. This class extends the `Command` class and is annotated with `@JsonTypeName("focus")`. The `execute()` method returns a response by calling another `execute(UiCommand.Focus)` method on the superclass. The complexity of this operation is O(N), where N represents the</t>
        </is>
      </c>
      <c r="I578" t="n">
        <v>0.0045</v>
      </c>
      <c r="J578" t="n">
        <v>0.0625</v>
      </c>
      <c r="K578" t="n">
        <v>0.0833</v>
      </c>
      <c r="L578" t="inlineStr">
        <is>
          <t>This Java class `FocusCommand` is part of a JabRef project's HTTP server implementation. It represents a command that focuses on a specific UI element within the application. The method `execute()` sends a focus request using a `UiCommand.Focus` object, which is then processed by the underlying system to bring the specified UI component into view.</t>
        </is>
      </c>
      <c r="M578" t="n">
        <v>0.0034</v>
      </c>
      <c r="N578" t="n">
        <v>0.0625</v>
      </c>
      <c r="O578" t="n">
        <v>0.0794</v>
      </c>
    </row>
    <row r="579">
      <c r="A579" t="inlineStr">
        <is>
          <t>jabref</t>
        </is>
      </c>
      <c r="B579" t="inlineStr">
        <is>
          <t>jabsrv/src/main/java/org/jabref/http/server/command/SelectEntriesCommand.java</t>
        </is>
      </c>
      <c r="C579">
        <f>HYPERLINK("https://github.com/JabRef/jabref/blob/master/jabsrv/src/main/java/org/jabref/http/server/command/SelectEntriesCommand.java")</f>
        <v/>
      </c>
      <c r="D579" t="inlineStr">
        <is>
          <t>The `SelectEntriesCommand` is a RESTful web service command that allows users to select multiple entries from a BibTeX database based on their citation keys. It interacts with the JabRef server state manager (`JabRefSrvStateManager`) to manage the selected entries and performs operations such as adding or removing them from the current selection in the UI. The command uses Jackson annotations for JSON serialization/des</t>
        </is>
      </c>
      <c r="E579" t="n">
        <v>0.0029</v>
      </c>
      <c r="F579" t="n">
        <v>0.0282</v>
      </c>
      <c r="G579" t="n">
        <v>0.0746</v>
      </c>
      <c r="H579" t="inlineStr">
        <is>
          <t>Manages selection of entries in a BibTeX database using JSON requests.</t>
        </is>
      </c>
      <c r="I579" t="n">
        <v>0</v>
      </c>
      <c r="J579" t="n">
        <v>0</v>
      </c>
      <c r="K579" t="n">
        <v>0.0602</v>
      </c>
      <c r="L579" t="inlineStr">
        <is>
          <t>This Java class `SelectEntriesCommand` is part of a JabRef HTTP server component that allows users to select entries from their bibliographic database based on citation keys. It processes incoming requests to update the selection state for specified libraries, ensuring that only relevant entries are displayed in the user interface. The command handles JSON serialization using Jackson annotations and interacts with the JabRef application's state management system through the `</t>
        </is>
      </c>
      <c r="M579" t="n">
        <v>0.0031</v>
      </c>
      <c r="N579" t="n">
        <v>0.0519</v>
      </c>
      <c r="O579" t="n">
        <v>0.1064</v>
      </c>
    </row>
    <row r="580">
      <c r="A580" t="inlineStr">
        <is>
          <t>jabref</t>
        </is>
      </c>
      <c r="B580" t="inlineStr">
        <is>
          <t>jabsrv/src/main/java/org/jabref/http/server/command/OpenLibrariesCommand.java</t>
        </is>
      </c>
      <c r="C580">
        <f>HYPERLINK("https://github.com/JabRef/jabref/blob/master/jabsrv/src/main/java/org/jabref/http/server/command/OpenLibrariesCommand.java")</f>
        <v/>
      </c>
      <c r="D580" t="inlineStr">
        <is>
          <t>The `OpenLibrariesCommand` class is a RESTful command that opens multiple libraries specified by their file paths. It takes a list of strings representing the paths to the library files, converts them into `Path` objects using Java's `Path.of()` method, and then executes an `UiCommand.OpenLibraries` with these paths. The complexity of this operation is O(N), where N is</t>
        </is>
      </c>
      <c r="E580" t="n">
        <v>0.0033</v>
      </c>
      <c r="F580" t="n">
        <v>0.0294</v>
      </c>
      <c r="G580" t="n">
        <v>0.1172</v>
      </c>
      <c r="H580" t="inlineStr">
        <is>
          <t>The provided Java code defines a RESTful web service command for opening multiple libraries in JabRef. It uses Jackson annotations to serialize/deserialize JSON data and handles file paths as input. The `execute` method converts string paths into `Path` objects and then calls another `UiCommand.OpenLibraries` with these paths to open the specified libraries. This implementation is part of a larger system designed to</t>
        </is>
      </c>
      <c r="I580" t="n">
        <v>0.0035</v>
      </c>
      <c r="J580" t="n">
        <v>0.0556</v>
      </c>
      <c r="K580" t="n">
        <v>0.1493</v>
      </c>
      <c r="L580" t="inlineStr">
        <is>
          <t>This Java code defines a RESTful web service command that opens multiple libraries specified by their paths. It uses Jackson annotations for JSON serialization/deserialization and JAX-RS for handling HTTP requests. The `OpenLibrariesCommand` takes a list of library paths as input and converts them into `Path` objects before executing an `UiCommand.OpenLibraries`.</t>
        </is>
      </c>
      <c r="M580" t="n">
        <v>0.0044</v>
      </c>
      <c r="N580" t="n">
        <v>0.06560000000000001</v>
      </c>
      <c r="O580" t="n">
        <v>0.123</v>
      </c>
    </row>
    <row r="581">
      <c r="A581" t="inlineStr">
        <is>
          <t>jabref</t>
        </is>
      </c>
      <c r="B581" t="inlineStr">
        <is>
          <t>jabsrv/src/main/java/org/jabref/http/server/command/Command.java</t>
        </is>
      </c>
      <c r="C581">
        <f>HYPERLINK("https://github.com/JabRef/jabref/blob/master/jabsrv/src/main/java/org/jabref/http/server/command/Command.java")</f>
        <v/>
      </c>
      <c r="D581" t="inlineStr">
        <is>
          <t>The provided Java code defines an abstract base class `Command` for handling HTTP server commands in JabRef, a reference manager application. It uses Jackson annotations to support JSON serialization and deserialization with different command types (`SelectEntriesCommand`, `OpenLibrariesCommand`, `FocusCommand`). The class includes a method to set the service locator, which is necessary for dependency injection within the command handlers. This design</t>
        </is>
      </c>
      <c r="E581" t="n">
        <v>0.0036</v>
      </c>
      <c r="F581" t="n">
        <v>0.0294</v>
      </c>
      <c r="G581" t="n">
        <v>0.1136</v>
      </c>
      <c r="H581" t="inlineStr">
        <is>
          <t>Manages HTTP server commands for JabRef using JSON serialization with subtypes.</t>
        </is>
      </c>
      <c r="I581" t="n">
        <v>0</v>
      </c>
      <c r="J581" t="n">
        <v>0</v>
      </c>
      <c r="K581" t="n">
        <v>0.0602</v>
      </c>
      <c r="L581" t="inlineStr">
        <is>
          <t>This Java package defines an abstract base class for HTTP server commands used by JabRef, a reference manager application. It includes annotations for JSON serialization and deserialization, allowing different command types (e.g., select entries, open libraries, focus) to be identified based on their type names. The class provides a method to set the service locator, which is essential for dependency injection within the commands.</t>
        </is>
      </c>
      <c r="M581" t="n">
        <v>0.0034</v>
      </c>
      <c r="N581" t="n">
        <v>0.0548</v>
      </c>
      <c r="O581" t="n">
        <v>0.1103</v>
      </c>
    </row>
    <row r="582">
      <c r="A582" t="inlineStr">
        <is>
          <t>jabref</t>
        </is>
      </c>
      <c r="B582" t="inlineStr">
        <is>
          <t>jabsrv/src/main/java/org/jabref/http/server/command/CommandResource.java</t>
        </is>
      </c>
      <c r="C582">
        <f>HYPERLINK("https://github.com/JabRef/jabref/blob/master/jabsrv/src/main/java/org/jabref/http/server/command/CommandResource.java")</f>
        <v/>
      </c>
      <c r="D582" t="inlineStr">
        <is>
          <t>The `CommandResource` class in the `org.jabref.http.server.command` package is designed to handle HTTP POST requests for executing commands. It uses Jackson for JSON serialization and deserialization. The method `dispatchCommand` takes a JSON string representing a command, parses it into a `Command` object using the `ObjectMapper`, sets the `ServiceLocator` on the command, and then executes</t>
        </is>
      </c>
      <c r="E582" t="n">
        <v>0.0035</v>
      </c>
      <c r="F582" t="n">
        <v>0.0308</v>
      </c>
      <c r="G582" t="n">
        <v>0.08</v>
      </c>
      <c r="H582" t="inlineStr">
        <is>
          <t>The code is a RESTful API endpoint that handles incoming JSON commands for executing various operations using dependency injection with HK2. It uses Jackson to parse JSON input into `Command` objects, sets the service locator, and then executes the command. If parsing fails, it returns a server error response with the exception message. The complexity is O(N), where N represents the size of the JSON command being processed</t>
        </is>
      </c>
      <c r="I582" t="n">
        <v>0.0027</v>
      </c>
      <c r="J582" t="n">
        <v>0.026</v>
      </c>
      <c r="K582" t="n">
        <v>0.07140000000000001</v>
      </c>
      <c r="L582" t="inlineStr">
        <is>
          <t>The `CommandResource` class handles incoming JSON commands by deserializing them into instances of the `Command` class using Jackson's `ObjectMapper`. It then sets the `ServiceLocator` for these commands and executes them. If there is a parsing error during deserialization, it returns a server error response with the exception message. The resource supports POST requests that accept JSON content.</t>
        </is>
      </c>
      <c r="M582" t="n">
        <v>0.0032</v>
      </c>
      <c r="N582" t="n">
        <v>0.0303</v>
      </c>
      <c r="O582" t="n">
        <v>0.0775</v>
      </c>
    </row>
    <row r="583">
      <c r="A583" t="inlineStr">
        <is>
          <t>jabref</t>
        </is>
      </c>
      <c r="B583" t="inlineStr">
        <is>
          <t>jabsrv/src/main/java/org/jabref/http/server/cayw/CitationProperties.java</t>
        </is>
      </c>
      <c r="C583">
        <f>HYPERLINK("https://github.com/JabRef/jabref/blob/master/jabsrv/src/main/java/org/jabref/http/server/cayw/CitationProperties.java")</f>
        <v/>
      </c>
      <c r="D583" t="inlineStr">
        <is>
          <t>The `CitationProperties` class in the `org.jabref.http.server.cayw` package is designed to manage citation properties for a reference management system. It includes fields for storing various citation details such as locator type, value, prefix, suffix, and whether to omit the author. The class provides methods to set and retrieve these properties, allowing for optional values using Java's `Optional`.</t>
        </is>
      </c>
      <c r="E583" t="n">
        <v>0.0033</v>
      </c>
      <c r="F583" t="n">
        <v>0.029</v>
      </c>
      <c r="G583" t="n">
        <v>0.0781</v>
      </c>
      <c r="H583" t="inlineStr">
        <is>
          <t>Manages citation properties for a reference system, allowing setting and retrieving various attributes such as locator type, value, prefix, suffix, and whether to omit author information. The implementation includes methods for setting and getting these properties, along with optional chaining using `Optional`.</t>
        </is>
      </c>
      <c r="I583" t="n">
        <v>0.0044</v>
      </c>
      <c r="J583" t="n">
        <v>0.08</v>
      </c>
      <c r="K583" t="n">
        <v>0.1316</v>
      </c>
      <c r="L583" t="inlineStr">
        <is>
          <t>The `CitationProperties` class manages citation properties such as locator type, value, prefix, suffix, and whether to omit the author. It provides methods to set and retrieve these properties, allowing for optional values using Java's `Optional`. The class is part of a larger system designed for handling backend software components related to citations.</t>
        </is>
      </c>
      <c r="M583" t="n">
        <v>0.0042</v>
      </c>
      <c r="N583" t="n">
        <v>0.0328</v>
      </c>
      <c r="O583" t="n">
        <v>0.121</v>
      </c>
    </row>
    <row r="584">
      <c r="A584" t="inlineStr">
        <is>
          <t>jabref</t>
        </is>
      </c>
      <c r="B584" t="inlineStr">
        <is>
          <t>jabsrv/src/main/java/org/jabref/http/server/cayw/CAYWQueryParams.java</t>
        </is>
      </c>
      <c r="C584">
        <f>HYPERLINK("https://github.com/JabRef/jabref/blob/master/jabsrv/src/main/java/org/jabref/http/server/cayw/CAYWQueryParams.java")</f>
        <v/>
      </c>
      <c r="D584" t="inlineStr">
        <is>
          <t>The `CAYWQueryParams` class in the `org.jabref.http.server.cayw` package is designed to handle query parameters for interacting with the Better BibTeX plugin's CAYW (Customizable Authoring Workflow) feature. It provides methods to retrieve various parameters such as "probe," "format," "clipboard," "command," "minimize," "texstudio," "</t>
        </is>
      </c>
      <c r="E584" t="n">
        <v>0</v>
      </c>
      <c r="F584" t="n">
        <v>0</v>
      </c>
      <c r="G584" t="n">
        <v>0</v>
      </c>
      <c r="H584" t="inlineStr">
        <is>
          <t>The code is part of a Java web service that handles queries for citation management tools like Zotero Better BibTeX's CAYW (Customizable Automatic Workflow) feature. It includes parameters such as `probe`, `format`, `clipboard`, `command`, `minimize`, `texstudio`, `selected`, `select`, `librarypath`, `libraryid`, and `application`. The complexity is</t>
        </is>
      </c>
      <c r="I584" t="n">
        <v>0.0041</v>
      </c>
      <c r="J584" t="n">
        <v>0.037</v>
      </c>
      <c r="K584" t="n">
        <v>0.08550000000000001</v>
      </c>
      <c r="L584" t="inlineStr">
        <is>
          <t>The `CAYWQueryParams` class is part of a Java web service that handles queries related to citation management tools like Zotero Better BibTeX's CAYW (Customizable Authoring Workflow). It processes various query parameters such as "probe," "format," "clipboard," "command," "minimize," "texstudio," "selected," "select," "librarypath," "library</t>
        </is>
      </c>
      <c r="M584" t="n">
        <v>0</v>
      </c>
      <c r="N584" t="n">
        <v>0</v>
      </c>
      <c r="O584" t="n">
        <v>0.0435</v>
      </c>
    </row>
    <row r="585">
      <c r="A585" t="inlineStr">
        <is>
          <t>jabref</t>
        </is>
      </c>
      <c r="B585" t="inlineStr">
        <is>
          <t>jabsrv/src/main/java/org/jabref/http/server/cayw/CAYWResource.java</t>
        </is>
      </c>
      <c r="C585">
        <f>HYPERLINK("https://github.com/JabRef/jabref/blob/master/jabsrv/src/main/java/org/jabref/http/server/cayw/CAYWResource.java")</f>
        <v/>
      </c>
      <c r="D585" t="inlineStr">
        <is>
          <t>The provided Java code is part of a JabRef project that handles HTTP server functionalities for exporting entries in CAYW (Cite as You Write) format. It includes classes for handling clipboard operations, reading from files, formatting entries using specific rules, managing search dialogs, and interacting with JabRef's state manager. The complexity of the implementation is O(N), where N represents the number of entries being</t>
        </is>
      </c>
      <c r="E585" t="n">
        <v>0.0028</v>
      </c>
      <c r="F585" t="n">
        <v>0.0541</v>
      </c>
      <c r="G585" t="n">
        <v>0.1103</v>
      </c>
      <c r="H585" t="inlineStr">
        <is>
          <t>The code is a Java application that provides backend services for a JabRef library management system using CayW format. It includes functionalities such as clipboard operations, file reading, entry formatting, search dialog, and more. The complexity is high due to its extensive use of concurrent programming and data processing tasks.</t>
        </is>
      </c>
      <c r="I585" t="n">
        <v>0.0037</v>
      </c>
      <c r="J585" t="n">
        <v>0.06900000000000001</v>
      </c>
      <c r="K585" t="n">
        <v>0.082</v>
      </c>
      <c r="L585" t="inlineStr">
        <is>
          <t>This Java package provides server-side functionalities for handling CAYW (Citation Authoring and Writing) entries using JavaFX and AWT libraries. It includes methods for formatting entries, managing search dialogs, and clipboard interactions. The code is designed to be efficient, with a time complexity of O(N), and uses asynchronous programming techniques through CompletableFuture and CountDownLatch for concurrent processing.</t>
        </is>
      </c>
      <c r="M585" t="n">
        <v>0.0039</v>
      </c>
      <c r="N585" t="n">
        <v>0.09089999999999999</v>
      </c>
      <c r="O585" t="n">
        <v>0.1172</v>
      </c>
    </row>
    <row r="586">
      <c r="A586" t="inlineStr">
        <is>
          <t>jabref</t>
        </is>
      </c>
      <c r="B586" t="inlineStr">
        <is>
          <t>jabsrv/src/main/java/org/jabref/http/server/cayw/LocatorType.java</t>
        </is>
      </c>
      <c r="C586">
        <f>HYPERLINK("https://github.com/JabRef/jabref/blob/master/jabsrv/src/main/java/org/jabref/http/server/cayw/LocatorType.java")</f>
        <v/>
      </c>
      <c r="D586" t="inlineStr">
        <is>
          <t>The provided Java code defines an enumeration `LocatorType` in the package `org.jabref.http.server.cayw`. This enumeration represents different types of locators used in various contexts, such as books, articles, chapters, etc., with each type having both a display name and an abbreviation for identification purposes. The constructor initializes these attributes when creating new instances of the enumeration.</t>
        </is>
      </c>
      <c r="E586" t="n">
        <v>0.004</v>
      </c>
      <c r="F586" t="n">
        <v>0.0597</v>
      </c>
      <c r="G586" t="n">
        <v>0.1181</v>
      </c>
      <c r="H586" t="inlineStr">
        <is>
          <t>Manages different types of locators used in literature databases.</t>
        </is>
      </c>
      <c r="I586" t="n">
        <v>0</v>
      </c>
      <c r="J586" t="n">
        <v>0</v>
      </c>
      <c r="K586" t="n">
        <v>0.0617</v>
      </c>
      <c r="L586" t="inlineStr">
        <is>
          <t>The `LocatorType` enum in the `org.jabref.http.server.cayw` package defines various types used for locating elements within documents, such as pages, acts, chapters, figures, etc., providing both human-readable names and abbreviations for each type. The enum is designed to facilitate efficient data retrieval and manipulation when working with document structures.</t>
        </is>
      </c>
      <c r="M586" t="n">
        <v>0.0038</v>
      </c>
      <c r="N586" t="n">
        <v>0.0328</v>
      </c>
      <c r="O586" t="n">
        <v>0.0833</v>
      </c>
    </row>
    <row r="587">
      <c r="A587" t="inlineStr">
        <is>
          <t>jabref</t>
        </is>
      </c>
      <c r="B587" t="inlineStr">
        <is>
          <t>jabsrv/src/main/java/org/jabref/http/server/cayw/format/FormatterService.java</t>
        </is>
      </c>
      <c r="C587">
        <f>HYPERLINK("https://github.com/JabRef/jabref/blob/master/jabsrv/src/main/java/org/jabref/http/server/cayw/format/FormatterService.java")</f>
        <v/>
      </c>
      <c r="D587" t="inlineStr">
        <is>
          <t>The `FormatterService` class in the `org.jabref.http.server.cayw.format` package provides methods to retrieve different types of citation formatters based on query parameters. It uses Java's `switch-case` statement to determine which formatter to instantiate based on the input format string from `CAYWQueryParams`. The service supports formats like "natbib", "latex", "cite",</t>
        </is>
      </c>
      <c r="E587" t="n">
        <v>0</v>
      </c>
      <c r="F587" t="n">
        <v>0</v>
      </c>
      <c r="G587" t="n">
        <v>0.042</v>
      </c>
      <c r="H587" t="inlineStr">
        <is>
          <t>The `FormatterService` class in the `org.jabref.http.server.cayw.format` package provides methods to retrieve formatter objects based on query parameters. It supports various formats such as NATBib, LaTeX, cite, citep, citet, Markdown, Pandoc, JSON, and Typst. The service uses a switch statement to determine which formatter to instantiate based on the input format</t>
        </is>
      </c>
      <c r="I587" t="n">
        <v>0.0037</v>
      </c>
      <c r="J587" t="n">
        <v>0.0317</v>
      </c>
      <c r="K587" t="n">
        <v>0.082</v>
      </c>
      <c r="L587" t="inlineStr">
        <is>
          <t>The `FormatterService` class provides methods for formatting citations based on user input parameters. It uses a `CAYWQueryParams` object to determine the desired citation style and returns an appropriate formatter instance. The service supports formats like "natbib", "latex", "cite", "citep", "citet", "mmd", "pandoc", and "simple-json". If an</t>
        </is>
      </c>
      <c r="M587" t="n">
        <v>0.004</v>
      </c>
      <c r="N587" t="n">
        <v>0.0364</v>
      </c>
      <c r="O587" t="n">
        <v>0.0847</v>
      </c>
    </row>
    <row r="588">
      <c r="A588" t="inlineStr">
        <is>
          <t>jabref</t>
        </is>
      </c>
      <c r="B588" t="inlineStr">
        <is>
          <t>jabsrv/src/main/java/org/jabref/http/server/cayw/format/MMDFormatter.java</t>
        </is>
      </c>
      <c r="C588">
        <f>HYPERLINK("https://github.com/JabRef/jabref/blob/master/jabsrv/src/main/java/org/jabref/http/server/cayw/format/MMDFormatter.java")</f>
        <v/>
      </c>
      <c r="D588" t="inlineStr">
        <is>
          <t>The `MMDFormatter` class is a Java implementation that formats citation entries into Markdown (MMD) text based on the given query parameters and list of citations. It returns the formatted text as a plain MIME type (`text/plain`). The method `format` processes each entry in the list, retrieves its BibTeX key, and uses it to fetch citation properties from the `CAYWEntry`.</t>
        </is>
      </c>
      <c r="E588" t="n">
        <v>0.0031</v>
      </c>
      <c r="F588" t="n">
        <v>0.0588</v>
      </c>
      <c r="G588" t="n">
        <v>0.1145</v>
      </c>
      <c r="H588" t="inlineStr">
        <is>
          <t>This repository contains backend software components that implement core algorithms for processing citation data in BibTeX entries. The complexity is O(N), indicating linear time performance relative to the number of entries processed. The implementation includes parsing BibTeX keys and formatting them according to specified properties.</t>
        </is>
      </c>
      <c r="I588" t="n">
        <v>0.0058</v>
      </c>
      <c r="J588" t="n">
        <v>0.1852</v>
      </c>
      <c r="K588" t="n">
        <v>0.2137</v>
      </c>
      <c r="L588" t="inlineStr">
        <is>
          <t>The `MMDFormatter` class is responsible for formatting citation entries into Markdown (MMD) format based on the query parameters provided by the client. It processes a list of `CAYWEntry` objects and returns a single string containing the formatted citations separated by newlines. The method uses Java Streams to map each entry to its corresponding MMD representation, which may be empty if no valid citation</t>
        </is>
      </c>
      <c r="M588" t="n">
        <v>0.0029</v>
      </c>
      <c r="N588" t="n">
        <v>0.0282</v>
      </c>
      <c r="O588" t="n">
        <v>0.0741</v>
      </c>
    </row>
    <row r="589">
      <c r="A589" t="inlineStr">
        <is>
          <t>jabref</t>
        </is>
      </c>
      <c r="B589" t="inlineStr">
        <is>
          <t>jabsrv/src/main/java/org/jabref/http/server/cayw/format/SimpleJsonFormatter.java</t>
        </is>
      </c>
      <c r="C589">
        <f>HYPERLINK("https://github.com/JabRef/jabref/blob/master/jabsrv/src/main/java/org/jabref/http/server/cayw/format/SimpleJsonFormatter.java")</f>
        <v/>
      </c>
      <c r="D589" t="inlineStr">
        <is>
          <t>The `SimpleJsonFormatter` class is a service that formats a list of `CAYWEntry` objects into JSON using Google's Gson library. It provides a method to convert each `CAYWEntry` into a `SimpleJson` object and then serializes these objects into a JSON string. The formatter supports the application/json media type and can be used in conjunction with other CAYW</t>
        </is>
      </c>
      <c r="E589" t="n">
        <v>0.0033</v>
      </c>
      <c r="F589" t="n">
        <v>0.0303</v>
      </c>
      <c r="G589" t="n">
        <v>0.0781</v>
      </c>
      <c r="H589" t="inlineStr">
        <is>
          <t>This repository contains backend software components that implement core algorithms for processing BibTeX entries into JSON format using JAX-RS and HK2 annotations. The code is written in Java and uses Google's Gson library for JSON serialization. It provides a `SimpleJsonFormatter` service to convert BibTeX entries into JSON responses based on query parameters. Complexity is O(N), where N is the number of BibTeX entries</t>
        </is>
      </c>
      <c r="I589" t="n">
        <v>0.0041</v>
      </c>
      <c r="J589" t="n">
        <v>0.1351</v>
      </c>
      <c r="K589" t="n">
        <v>0.3158</v>
      </c>
      <c r="L589" t="inlineStr">
        <is>
          <t>The `SimpleJsonFormatter` class is responsible for formatting a list of `CAYWEntry` objects into JSON format using Google's Gson library. It supports the application/json media type and processes query parameters from `CAYWQueryParams`. The method `format` converts each BibTeX entry in the list into a `SimpleJson` object and returns them as a JSON string.</t>
        </is>
      </c>
      <c r="M589" t="n">
        <v>0.0035</v>
      </c>
      <c r="N589" t="n">
        <v>0.0323</v>
      </c>
      <c r="O589" t="n">
        <v>0.0806</v>
      </c>
    </row>
    <row r="590">
      <c r="A590" t="inlineStr">
        <is>
          <t>jabref</t>
        </is>
      </c>
      <c r="B590" t="inlineStr">
        <is>
          <t>jabsrv/src/main/java/org/jabref/http/server/cayw/format/BibLatexFormatter.java</t>
        </is>
      </c>
      <c r="C590">
        <f>HYPERLINK("https://github.com/JabRef/jabref/blob/master/jabsrv/src/main/java/org/jabref/http/server/cayw/format/BibLatexFormatter.java")</f>
        <v/>
      </c>
      <c r="D590" t="inlineStr">
        <is>
          <t>The `BibLatexFormatter` class is a service that formats citations in BibTeX format based on user input parameters from the CayW query system. It supports citation commands like 'cite', 'autocite', and 'parencite'. The formatter uses these commands to generate formatted bibliographic entries for each entry in the list provided by the CayW GUI. The method `format` takes</t>
        </is>
      </c>
      <c r="E590" t="n">
        <v>0.0033</v>
      </c>
      <c r="F590" t="n">
        <v>0.0312</v>
      </c>
      <c r="G590" t="n">
        <v>0.0781</v>
      </c>
      <c r="H590" t="inlineStr">
        <is>
          <t>This repository contains backend software components that implement core algorithms for processing and formatting data. The complexity is high due to the large number of lines of code (1000). The comments provide detailed explanations of the implementation, while the commits indicate the initial creation of the codebase.</t>
        </is>
      </c>
      <c r="I590" t="n">
        <v>0.0055</v>
      </c>
      <c r="J590" t="n">
        <v>0.1818</v>
      </c>
      <c r="K590" t="n">
        <v>0.3126</v>
      </c>
      <c r="L590" t="inlineStr">
        <is>
          <t>The `BibLatexFormatter` class is responsible for formatting citations using BibTeX syntax based on user input parameters. It supports various citation commands like "cite," "autocite," and "parencite." The formatter uses these commands to generate formatted bibliographic entries from a list of `CAYWEntry` objects. The method `format` takes `CAYWQueryParams`</t>
        </is>
      </c>
      <c r="M590" t="n">
        <v>0.0039</v>
      </c>
      <c r="N590" t="n">
        <v>0.0364</v>
      </c>
      <c r="O590" t="n">
        <v>0.08400000000000001</v>
      </c>
    </row>
    <row r="591">
      <c r="A591" t="inlineStr">
        <is>
          <t>jabref</t>
        </is>
      </c>
      <c r="B591" t="inlineStr">
        <is>
          <t>jabsrv/src/main/java/org/jabref/http/server/cayw/format/PandocFormatter.java</t>
        </is>
      </c>
      <c r="C591">
        <f>HYPERLINK("https://github.com/JabRef/jabref/blob/master/jabsrv/src/main/java/org/jabref/http/server/cayw/format/PandocFormatter.java")</f>
        <v/>
      </c>
      <c r="D591" t="inlineStr">
        <is>
          <t>The `PandocFormatter` class in the `org.jabref.http.server.cayw.format` package is responsible for formatting citations using the Pandoc library. It takes a list of `CAYWEntry` objects and formats them into a single string that can be used as input to Pandoc for generating formatted documents. The method `format` constructs this string by mapping each `C</t>
        </is>
      </c>
      <c r="E591" t="n">
        <v>0.0035</v>
      </c>
      <c r="F591" t="n">
        <v>0.0308</v>
      </c>
      <c r="G591" t="n">
        <v>0.121</v>
      </c>
      <c r="H591" t="inlineStr">
        <is>
          <t>This repository contains backend software components that implement core algorithms for processing and formatting data. The complexity is O(N), indicating linear time performance in relation to the number of entries or items being processed.</t>
        </is>
      </c>
      <c r="I591" t="n">
        <v>0.0077</v>
      </c>
      <c r="J591" t="n">
        <v>0.2326</v>
      </c>
      <c r="K591" t="n">
        <v>0.3509</v>
      </c>
      <c r="L591" t="inlineStr">
        <is>
          <t>The `PandocFormatter` class is responsible for formatting citations into plain text using Pandoc syntax. It takes a list of `CAYWEntry` objects and their associated query parameters, formats each entry's citation key, and returns them as a single string separated by semicolons. The method uses Java Streams to process the entries efficiently.</t>
        </is>
      </c>
      <c r="M591" t="n">
        <v>0.0036</v>
      </c>
      <c r="N591" t="n">
        <v>0.0333</v>
      </c>
      <c r="O591" t="n">
        <v>0.0813</v>
      </c>
    </row>
    <row r="592">
      <c r="A592" t="inlineStr">
        <is>
          <t>jabref</t>
        </is>
      </c>
      <c r="B592" t="inlineStr">
        <is>
          <t>jabsrv/src/main/java/org/jabref/http/server/cayw/format/CAYWFormatter.java</t>
        </is>
      </c>
      <c r="C592">
        <f>HYPERLINK("https://github.com/JabRef/jabref/blob/master/jabsrv/src/main/java/org/jabref/http/server/cayw/format/CAYWFormatter.java")</f>
        <v/>
      </c>
      <c r="D592" t="inlineStr">
        <is>
          <t>The `CAYWFormatter` interface defines methods for formatting data in response to CayW query parameters and entries. It specifies that the media type used is determined by the implementation, and it formats the data into a string based on these inputs. The complexity is O(N), where N represents the number of entries being formatted.</t>
        </is>
      </c>
      <c r="E592" t="n">
        <v>0.0035</v>
      </c>
      <c r="F592" t="n">
        <v>0.0645</v>
      </c>
      <c r="G592" t="n">
        <v>0.08</v>
      </c>
      <c r="H592" t="inlineStr">
        <is>
          <t>The provided Java code defines an `CAYWFormatter` interface that specifies methods for formatting data based on query parameters and entries. The interface includes methods to retrieve the media type used for output and to format the data into a string representation. This component is part of a larger system designed to handle CayW (Cross-Archive Web) queries and entry formats.</t>
        </is>
      </c>
      <c r="I592" t="n">
        <v>0.0037</v>
      </c>
      <c r="J592" t="n">
        <v>0.0588</v>
      </c>
      <c r="K592" t="n">
        <v>0.1145</v>
      </c>
      <c r="L592" t="inlineStr">
        <is>
          <t>The `CAYWFormatter` interface defines methods for formatting data based on query parameters and entries using the CayW protocol. It specifies that the media type is JSON and provides a method to convert these into formatted strings suitable for HTTP responses.</t>
        </is>
      </c>
      <c r="M592" t="n">
        <v>0.0046</v>
      </c>
      <c r="N592" t="n">
        <v>0.0417</v>
      </c>
      <c r="O592" t="n">
        <v>0.0893</v>
      </c>
    </row>
    <row r="593">
      <c r="A593" t="inlineStr">
        <is>
          <t>jabref</t>
        </is>
      </c>
      <c r="B593" t="inlineStr">
        <is>
          <t>jabsrv/src/main/java/org/jabref/http/server/cayw/format/NatbibFormatter.java</t>
        </is>
      </c>
      <c r="C593">
        <f>HYPERLINK("https://github.com/JabRef/jabref/blob/master/jabsrv/src/main/java/org/jabref/http/server/cayw/format/NatbibFormatter.java")</f>
        <v/>
      </c>
      <c r="D593" t="inlineStr">
        <is>
          <t>The `NatbibFormatter` class is a service that formats citations using the natbib citation style in JabRef. It takes a list of `CAYWEntry` objects and a set of query parameters to generate formatted text based on the specified citation style. The method `format` constructs a command from the query parameters or uses a default if none is provided, then processes each entry in the list</t>
        </is>
      </c>
      <c r="E593" t="n">
        <v>0.0028</v>
      </c>
      <c r="F593" t="n">
        <v>0.0278</v>
      </c>
      <c r="G593" t="n">
        <v>0.0735</v>
      </c>
      <c r="H593" t="inlineStr">
        <is>
          <t>The repository contains backend software components that implement core algorithms for processing queries and formatting citations using the CayW system. The complexity is O(N), indicating linear time performance with respect to the number of entries being processed.</t>
        </is>
      </c>
      <c r="I593" t="n">
        <v>0.0066</v>
      </c>
      <c r="J593" t="n">
        <v>0.1739</v>
      </c>
      <c r="K593" t="n">
        <v>0.3413</v>
      </c>
      <c r="L593" t="inlineStr">
        <is>
          <t>The `NatbibFormatter` class is a service that formats citations using the natbib bibliography style. It takes `CAYWQueryParams` for query parameters and a list of `CAYWEntry` objects. The formatter uses the specified command from the query parameters or defaults to a predefined one if none is provided. It then checks each entry's citation properties to determine if any have additional formatting</t>
        </is>
      </c>
      <c r="M593" t="n">
        <v>0.003</v>
      </c>
      <c r="N593" t="n">
        <v>0.029</v>
      </c>
      <c r="O593" t="n">
        <v>0.07580000000000001</v>
      </c>
    </row>
    <row r="594">
      <c r="A594" t="inlineStr">
        <is>
          <t>jabref</t>
        </is>
      </c>
      <c r="B594" t="inlineStr">
        <is>
          <t>jabsrv/src/main/java/org/jabref/http/server/cayw/format/TypstFormatter.java</t>
        </is>
      </c>
      <c r="C594">
        <f>HYPERLINK("https://github.com/JabRef/jabref/blob/master/jabsrv/src/main/java/org/jabref/http/server/cayw/format/TypstFormatter.java")</f>
        <v/>
      </c>
      <c r="D594" t="inlineStr">
        <is>
          <t>The `TypstFormatter` class is a Java implementation that formats citation entries into plain text using the Typst markup language. It processes a list of `CAYWEntry` objects based on query parameters from `CAYWQueryParams`. The formatter returns a single string containing formatted citations separated by spaces. If any entry does not have a valid citation key, it skips formatting for that entry.</t>
        </is>
      </c>
      <c r="E594" t="n">
        <v>0</v>
      </c>
      <c r="F594" t="n">
        <v>0.0294</v>
      </c>
      <c r="G594" t="n">
        <v>0.07580000000000001</v>
      </c>
      <c r="H594" t="inlineStr">
        <is>
          <t>This repository contains backend software components implementing core algorithms with a time complexity of \(O(N)\). The README provides details about the implementation, including comments explaining the logic and commits detailing the initial creation of the codebase. The total size of the code is 1000 lines.</t>
        </is>
      </c>
      <c r="I594" t="n">
        <v>0.0058</v>
      </c>
      <c r="J594" t="n">
        <v>0.1852</v>
      </c>
      <c r="K594" t="n">
        <v>0.3179</v>
      </c>
      <c r="L594" t="inlineStr">
        <is>
          <t>The `TypstFormatter` class is responsible for formatting citations into plain text using the Typst markup language. It takes a list of `CAYWEntry` objects and their associated query parameters as input, formats each entry's citation key using the `citationProperies`, and returns a single string containing all formatted keys concatenated together. The method uses Java Streams to process the entries efficiently.</t>
        </is>
      </c>
      <c r="M594" t="n">
        <v>0.0031</v>
      </c>
      <c r="N594" t="n">
        <v>0.0294</v>
      </c>
      <c r="O594" t="n">
        <v>0.07630000000000001</v>
      </c>
    </row>
    <row r="595">
      <c r="A595" t="inlineStr">
        <is>
          <t>jabref</t>
        </is>
      </c>
      <c r="B595" t="inlineStr">
        <is>
          <t>jabsrv/src/main/java/org/jabref/http/server/cayw/gui/SelectedItemsContainer.java</t>
        </is>
      </c>
      <c r="C595">
        <f>HYPERLINK("https://github.com/JabRef/jabref/blob/master/jabsrv/src/main/java/org/jabref/http/server/cayw/gui/SelectedItemsContainer.java")</f>
        <v/>
      </c>
      <c r="D595" t="inlineStr">
        <is>
          <t>The `SelectedItemsContainer` class is a JavaFX component that displays a list of selected CAYWEntries in chips format within a flow pane layout. It listens for changes to the observable list of entries and updates the UI accordingly by adding or removing chips as new entries are added or removed from the list. The container uses HGap and VGap properties to set spacing between chips and padding around the</t>
        </is>
      </c>
      <c r="E595" t="n">
        <v>0.0027</v>
      </c>
      <c r="F595" t="n">
        <v>0.0263</v>
      </c>
      <c r="G595" t="n">
        <v>0.07140000000000001</v>
      </c>
      <c r="H595" t="inlineStr">
        <is>
          <t>This repository contains backend software components implementing core algorithms. Complexity is O(N), with comments indicating implementation details. Initial codebase commit was made. The total size of the code is 1000 lines.</t>
        </is>
      </c>
      <c r="I595" t="n">
        <v>0.007900000000000001</v>
      </c>
      <c r="J595" t="n">
        <v>0.2</v>
      </c>
      <c r="K595" t="n">
        <v>0.1942</v>
      </c>
      <c r="L595" t="inlineStr">
        <is>
          <t>This JavaFX component displays selected CAYWEntries using chips arranged horizontally within a FlowPane layout. It updates dynamically as new entries are added or removed from the observable list. The container includes padding for spacing and gaps between chips.</t>
        </is>
      </c>
      <c r="M595" t="n">
        <v>0.0058</v>
      </c>
      <c r="N595" t="n">
        <v>0.08699999999999999</v>
      </c>
      <c r="O595" t="n">
        <v>0.1364</v>
      </c>
    </row>
    <row r="596">
      <c r="A596" t="inlineStr">
        <is>
          <t>jabref</t>
        </is>
      </c>
      <c r="B596" t="inlineStr">
        <is>
          <t>jabsrv/src/main/java/org/jabref/http/server/cayw/gui/SearchDialog.java</t>
        </is>
      </c>
      <c r="C596">
        <f>HYPERLINK("https://github.com/JabRef/jabref/blob/master/jabsrv/src/main/java/org/jabref/http/server/cayw/gui/SearchDialog.java")</f>
        <v/>
      </c>
      <c r="D596" t="inlineStr">
        <is>
          <t>The `SearchDialog` class in the `org.jabref.http.server.cayw.gui` package is designed to provide a graphical user interface (GUI) for searching through data using JavaFX. It includes features such as:
- **Filtering**: Allows users to filter search results based on various criteria.
- **Scollable Content**: Displays a scroll pane that can accommodate large amounts of search</t>
        </is>
      </c>
      <c r="E596" t="n">
        <v>0</v>
      </c>
      <c r="F596" t="n">
        <v>0</v>
      </c>
      <c r="G596" t="n">
        <v>0.04</v>
      </c>
      <c r="H596" t="inlineStr">
        <is>
          <t>This repository contains JavaFX-based GUI components for searching within JabRef database files. It includes functionalities to display search results in a dialog window with filtering capabilities. The complexity is high due to the implementation of core algorithms for handling large datasets efficiently.</t>
        </is>
      </c>
      <c r="I596" t="n">
        <v>0.0052</v>
      </c>
      <c r="J596" t="n">
        <v>0.1176</v>
      </c>
      <c r="K596" t="n">
        <v>0.1754</v>
      </c>
      <c r="L596" t="inlineStr">
        <is>
          <t>The `SearchDialog` class is responsible for displaying a search interface within a JavaFX application. It allows users to input text and filter through a list of items using a scrollable pane. The dialog adjusts its size based on the screen dimensions and provides buttons for closing and applying filters. The implementation uses JavaFX's layout and event handling features to create a user-friendly interface for searching and filtering data.</t>
        </is>
      </c>
      <c r="M596" t="n">
        <v>0.0027</v>
      </c>
      <c r="N596" t="n">
        <v>0.0513</v>
      </c>
      <c r="O596" t="n">
        <v>0.1071</v>
      </c>
    </row>
    <row r="597">
      <c r="A597" t="inlineStr">
        <is>
          <t>jabref</t>
        </is>
      </c>
      <c r="B597" t="inlineStr">
        <is>
          <t>jabsrv/src/main/java/org/jabref/http/server/cayw/gui/SearchResultContainer.java</t>
        </is>
      </c>
      <c r="C597">
        <f>HYPERLINK("https://github.com/JabRef/jabref/blob/master/jabsrv/src/main/java/org/jabref/http/server/cayw/gui/SearchResultContainer.java")</f>
        <v/>
      </c>
      <c r="D597" t="inlineStr">
        <is>
          <t>The `SearchResultContainer` class is a JavaFX component designed to display search results from a CAYW (Citation Authorship Workflow) entry system. It inherits from `ListView&lt;CAYWEntry&gt;` and provides features such as:
- **Max Lines**: Limits the number of lines displayed in each cell to 3.
- **Estimated Characters per Line**: Estimates the maximum characters that can fit</t>
        </is>
      </c>
      <c r="E597" t="n">
        <v>0.0033</v>
      </c>
      <c r="F597" t="n">
        <v>0.0323</v>
      </c>
      <c r="G597" t="n">
        <v>0.0394</v>
      </c>
      <c r="H597" t="inlineStr">
        <is>
          <t>Manages a list of CAYWEntry objects in a JavaFX ListView with support for selecting multiple entries.</t>
        </is>
      </c>
      <c r="I597" t="n">
        <v>0</v>
      </c>
      <c r="J597" t="n">
        <v>0</v>
      </c>
      <c r="K597" t="n">
        <v>0</v>
      </c>
      <c r="L597" t="inlineStr">
        <is>
          <t>This JavaFX component displays search results from a CAYW (Cite While You Write) service within a list view. It allows users to select multiple entries for further processing, providing tooltips that display detailed entry information up to three lines long. The layout is designed to be responsive, adjusting width based on available space.</t>
        </is>
      </c>
      <c r="M597" t="n">
        <v>0.0035</v>
      </c>
      <c r="N597" t="n">
        <v>0.0328</v>
      </c>
      <c r="O597" t="n">
        <v>0.04</v>
      </c>
    </row>
    <row r="598">
      <c r="A598" t="inlineStr">
        <is>
          <t>jabref</t>
        </is>
      </c>
      <c r="B598" t="inlineStr">
        <is>
          <t>jabsrv/src/main/java/org/jabref/http/server/cayw/gui/CAYWEntry.java</t>
        </is>
      </c>
      <c r="C598">
        <f>HYPERLINK("https://github.com/JabRef/jabref/blob/master/jabsrv/src/main/java/org/jabref/http/server/cayw/gui/CAYWEntry.java")</f>
        <v/>
      </c>
      <c r="D598" t="inlineStr">
        <is>
          <t>The provided Java code defines a `CAYWEntry` class that represents a bibliographic entry with associated metadata for use in a citation management system. The class includes fields for:
- A `BibEntry`, which is the actual bibliographic data.
- A `label`, which is used to display the entry in a list or table.
- A `shortLabel`, which is used for displaying</t>
        </is>
      </c>
      <c r="E598" t="n">
        <v>0</v>
      </c>
      <c r="F598" t="n">
        <v>0</v>
      </c>
      <c r="G598" t="n">
        <v>0.0379</v>
      </c>
      <c r="H598" t="inlineStr">
        <is>
          <t>This Java class represents a data structure for storing information about entries from a bibliography database (`BibEntry`) along with additional metadata such as labels, descriptions, and citation properties. It includes methods to compare instances based on their `bibEntry` field. The complexity is linear due to potential operations involving collections or large objects within the `BibEntry`.</t>
        </is>
      </c>
      <c r="I598" t="n">
        <v>0.004</v>
      </c>
      <c r="J598" t="n">
        <v>0.0635</v>
      </c>
      <c r="K598" t="n">
        <v>0.07870000000000001</v>
      </c>
      <c r="L598" t="inlineStr">
        <is>
          <t>This Java class `CAYWEntry` represents a data structure for entries from a bibliography database, encapsulating various properties such as the BibTeX entry itself, labels, descriptions, and citation properties. It includes methods for equality comparison based on the BibTeX entry and overrides the default hash function accordingly. The class is part of a larger system designed to handle citations and provides a structured way to manage bibli</t>
        </is>
      </c>
      <c r="M598" t="n">
        <v>0.0033</v>
      </c>
      <c r="N598" t="n">
        <v>0.08110000000000001</v>
      </c>
      <c r="O598" t="n">
        <v>0.1087</v>
      </c>
    </row>
    <row r="599">
      <c r="A599" t="inlineStr">
        <is>
          <t>jabref</t>
        </is>
      </c>
      <c r="B599" t="inlineStr">
        <is>
          <t>jabsrv/src/main/java/org/jabref/http/server/cayw/gui/SearchField.java</t>
        </is>
      </c>
      <c r="C599">
        <f>HYPERLINK("https://github.com/JabRef/jabref/blob/master/jabsrv/src/main/java/org/jabref/http/server/cayw/gui/SearchField.java")</f>
        <v/>
      </c>
      <c r="D599" t="inlineStr">
        <is>
          <t>The `SearchField` class in the given JavaFX application is designed to provide real-time filtering capabilities for entries based on user input. It uses a `TextField` to capture user queries and applies them dynamically as the user types. The filtering logic involves:
- A `PauseTransition` with a delay of 100 milliseconds to prevent excessive processing when typing.
- An `ObservableList` (`</t>
        </is>
      </c>
      <c r="E599" t="n">
        <v>0.003</v>
      </c>
      <c r="F599" t="n">
        <v>0.0606</v>
      </c>
      <c r="G599" t="n">
        <v>0.07580000000000001</v>
      </c>
      <c r="H599" t="inlineStr">
        <is>
          <t>The `SearchField` class in JavaFX is designed to provide real-time filtering capabilities for a list of entries (`CAYWEntry`). It uses a `TextField` to capture user input and applies a delay (100 milliseconds) before updating the filtered list based on the entered search term. The filtering logic is implemented using a function that takes a string as input and returns a list of matching</t>
        </is>
      </c>
      <c r="I599" t="n">
        <v>0.0029</v>
      </c>
      <c r="J599" t="n">
        <v>0.0833</v>
      </c>
      <c r="K599" t="n">
        <v>0.1111</v>
      </c>
      <c r="L599" t="inlineStr">
        <is>
          <t>The `SearchField` class is a JavaFX component that implements a search feature for a list of CAYW (Citation Authoring and Workflow) entries. It uses a `TextField` to capture user input and applies a delay before filtering the list based on the entered query using a provided function. The filtered results are then displayed in a `FilteredList`.</t>
        </is>
      </c>
      <c r="M599" t="n">
        <v>0.0039</v>
      </c>
      <c r="N599" t="n">
        <v>0.0625</v>
      </c>
      <c r="O599" t="n">
        <v>0.1172</v>
      </c>
    </row>
    <row r="600">
      <c r="A600" t="inlineStr">
        <is>
          <t>jabref</t>
        </is>
      </c>
      <c r="B600" t="inlineStr">
        <is>
          <t>jabsrv/src/main/java/org/jabref/http/server/cayw/gui/CitationPropertiesPopup.java</t>
        </is>
      </c>
      <c r="C600">
        <f>HYPERLINK("https://github.com/JabRef/jabref/blob/master/jabsrv/src/main/java/org/jabref/http/server/cayw/gui/CitationPropertiesPopup.java")</f>
        <v/>
      </c>
      <c r="D600" t="inlineStr">
        <is>
          <t>The `CitationPropertiesPopup` class is a JavaFX popup window used to display citation properties for a given CAYW (Customizable Authoring Workflow) entry in JabRef. It includes fields for title, author, checkboxes for various citation styles, and a dropdown menu for locator types. The popup uses CSS classes "popup-title" and "popup-author" for styling. This component is part</t>
        </is>
      </c>
      <c r="E600" t="n">
        <v>0.004</v>
      </c>
      <c r="F600" t="n">
        <v>0.0308</v>
      </c>
      <c r="G600" t="n">
        <v>0.1181</v>
      </c>
      <c r="H600" t="inlineStr">
        <is>
          <t>This repository contains backend software components implementing core algorithms.</t>
        </is>
      </c>
      <c r="I600" t="n">
        <v>0.0316</v>
      </c>
      <c r="J600" t="n">
        <v>0.4706</v>
      </c>
      <c r="K600" t="n">
        <v>0.3897</v>
      </c>
      <c r="L600" t="inlineStr">
        <is>
          <t>The `CitationPropertiesPopup` class is designed to display citation properties for a given CAYW (Customizable Authoring Wizard) entry within a JavaFX popup window. It includes fields such as title, author, checkboxes for different locator types, and text fields for additional details. The component uses CSS classes for styling and provides localization support through JabRef's L10N framework.</t>
        </is>
      </c>
      <c r="M600" t="n">
        <v>0.0033</v>
      </c>
      <c r="N600" t="n">
        <v>0.0312</v>
      </c>
      <c r="O600" t="n">
        <v>0.07870000000000001</v>
      </c>
    </row>
    <row r="601">
      <c r="A601" t="inlineStr">
        <is>
          <t>jabref</t>
        </is>
      </c>
      <c r="B601" t="inlineStr">
        <is>
          <t>jabsrv/src/main/java/org/jabref/http/server/services/ServerUtils.java</t>
        </is>
      </c>
      <c r="C601">
        <f>HYPERLINK("https://github.com/JabRef/jabref/blob/master/jabsrv/src/main/java/org/jabref/http/server/services/ServerUtils.java")</f>
        <v/>
      </c>
      <c r="D601" t="inlineStr">
        <is>
          <t>The `ServerUtils` class in the `org.jabref.http.server.services` package provides utility methods for handling server operations related to importing BibTeX files into JabRef databases. It includes functionalities such as reading from input streams, managing backup files, and logging errors. The class uses various libraries like SLF4J for logging and JAX-RS annotations for web service interactions.</t>
        </is>
      </c>
      <c r="E601" t="n">
        <v>0.0035</v>
      </c>
      <c r="F601" t="n">
        <v>0.0606</v>
      </c>
      <c r="G601" t="n">
        <v>0.08</v>
      </c>
      <c r="H601" t="inlineStr">
        <is>
          <t>The repository contains backend software components with complexity O(N) for implementation of core algorithms. It includes classes such as `ServerUtils` which handles file operations and database interactions using Java's Jakarta RESTful Web Services (JAX-RS). The README provides details about the project structure and its purpose.</t>
        </is>
      </c>
      <c r="I601" t="n">
        <v>0.0054</v>
      </c>
      <c r="J601" t="n">
        <v>0.1429</v>
      </c>
      <c r="K601" t="n">
        <v>0.2137</v>
      </c>
      <c r="L601" t="inlineStr">
        <is>
          <t>The `ServerUtils` class provides utility methods for handling server-side operations related to importing BibTeX files into JabRef databases. It includes functionalities such as reading from input streams, parsing BibTeX data using the BibtexImporter, managing database contexts, and handling exceptions like NotFound and InternalServerError. The class uses various libraries and classes from the JabRef project to perform these tasks efficiently.</t>
        </is>
      </c>
      <c r="M601" t="n">
        <v>0.0031</v>
      </c>
      <c r="N601" t="n">
        <v>0.0588</v>
      </c>
      <c r="O601" t="n">
        <v>0.07630000000000001</v>
      </c>
    </row>
    <row r="602">
      <c r="A602" t="inlineStr">
        <is>
          <t>jabref</t>
        </is>
      </c>
      <c r="B602" t="inlineStr">
        <is>
          <t>jabsrv/src/main/java/org/jabref/http/server/services/FilesToServe.java</t>
        </is>
      </c>
      <c r="C602">
        <f>HYPERLINK("https://github.com/JabRef/jabref/blob/master/jabsrv/src/main/java/org/jabref/http/server/services/FilesToServe.java")</f>
        <v/>
      </c>
      <c r="D602" t="inlineStr">
        <is>
          <t>The `FilesToServe` class is a singleton service that manages a list of file paths to be served by a web server. It provides methods to set and retrieve these file paths, as well as a method to check if the list is empty. The complexity of operations like setting or retrieving files is O(1), assuming efficient internal data structures are used for managing the list. This class is part</t>
        </is>
      </c>
      <c r="E602" t="n">
        <v>0.0031</v>
      </c>
      <c r="F602" t="n">
        <v>0.0256</v>
      </c>
      <c r="G602" t="n">
        <v>0.1064</v>
      </c>
      <c r="H602" t="inlineStr">
        <is>
          <t>Manages a list of file paths to serve over HTTP. Provides methods to set and retrieve the list of files, as well as check if it is empty. Complexity is linear in terms of the number of files due to operations on lists.</t>
        </is>
      </c>
      <c r="I602" t="n">
        <v>0.0043</v>
      </c>
      <c r="J602" t="n">
        <v>0.0392</v>
      </c>
      <c r="K602" t="n">
        <v>0.0435</v>
      </c>
      <c r="L602" t="inlineStr">
        <is>
          <t>The `FilesToServe` class manages a list of paths representing files that should be served by a server component. It provides methods to set and retrieve these files, as well as check if the list is empty. The class uses dependency injection via the `@Singleton` annotation for managing instances efficiently.</t>
        </is>
      </c>
      <c r="M602" t="n">
        <v>0.0037</v>
      </c>
      <c r="N602" t="n">
        <v>0.0351</v>
      </c>
      <c r="O602" t="n">
        <v>0.08260000000000001</v>
      </c>
    </row>
    <row r="603">
      <c r="A603" t="inlineStr">
        <is>
          <t>jabref</t>
        </is>
      </c>
      <c r="B603" t="inlineStr">
        <is>
          <t>jabsrv/src/main/java/org/jabref/http/server/resources/LibraryResource.java</t>
        </is>
      </c>
      <c r="C603">
        <f>HYPERLINK("https://github.com/JabRef/jabref/blob/master/jabsrv/src/main/java/org/jabref/http/server/resources/LibraryResource.java")</f>
        <v/>
      </c>
      <c r="D603" t="inlineStr">
        <is>
          <t>The provided Java code is part of a JabRef application that serves resources over HTTP. It includes classes for handling BibTeX entries, file serving, and citation style data. The `BibEntriesResource` class provides RESTful endpoints to retrieve BibTeX entry details in JSON format. The code uses Google Gson for JSON serialization/deserialization and JAX-RS annotations to define web service methods. The</t>
        </is>
      </c>
      <c r="E603" t="n">
        <v>0.0031</v>
      </c>
      <c r="F603" t="n">
        <v>0.029</v>
      </c>
      <c r="G603" t="n">
        <v>0.07630000000000001</v>
      </c>
      <c r="H603" t="inlineStr">
        <is>
          <t>The provided Java code is part of a JabRef project that serves as the backend for handling HTTP requests related to BibTeX databases. It includes methods for retrieving BibTeX entries in JSON format based on their IDs or titles. The complexity is high due to its extensive use of dependency injection, Gson for JSON serialization/deserialization, and various database operations. The comments indicate it implements core algorithms for managing Bib</t>
        </is>
      </c>
      <c r="I603" t="n">
        <v>0.0062</v>
      </c>
      <c r="J603" t="n">
        <v>0.0513</v>
      </c>
      <c r="K603" t="n">
        <v>0.2238</v>
      </c>
      <c r="L603" t="inlineStr">
        <is>
          <t>The Java code defines a RESTful web service endpoint that serves BibTeX entries as JSON objects. It retrieves BibTeX files from a specified directory, parses them into `BibEntry` objects using `JabRefItemDataProvider`, converts these entries to `BibEntryDTO` instances, and returns them as JSON responses. The service is designed to be accessed via HTTP GET requests at paths like `/</t>
        </is>
      </c>
      <c r="M603" t="n">
        <v>0.0031</v>
      </c>
      <c r="N603" t="n">
        <v>0.0308</v>
      </c>
      <c r="O603" t="n">
        <v>0.0769</v>
      </c>
    </row>
    <row r="604">
      <c r="A604" t="inlineStr">
        <is>
          <t>jabref</t>
        </is>
      </c>
      <c r="B604" t="inlineStr">
        <is>
          <t>jabsrv/src/main/java/org/jabref/http/server/resources/MapResource.java</t>
        </is>
      </c>
      <c r="C604">
        <f>HYPERLINK("https://github.com/JabRef/jabref/blob/master/jabsrv/src/main/java/org/jabref/http/server/resources/MapResource.java")</f>
        <v/>
      </c>
      <c r="D604" t="inlineStr">
        <is>
          <t>The `MapResource` class is part of a JabRef application's HTTP server component responsible for handling requests related to map resources associated with libraries. It provides endpoints for retrieving and updating map data for specific libraries. Here's a concise summary:
- **Endpoints**:
  - GET `/libraries/{id}/map`: Retrieves the map data for the specified library.
  - PUT `/libraries/{id}/</t>
        </is>
      </c>
      <c r="E604" t="n">
        <v>0.0033</v>
      </c>
      <c r="F604" t="n">
        <v>0.0308</v>
      </c>
      <c r="G604" t="n">
        <v>0.07870000000000001</v>
      </c>
      <c r="H604" t="inlineStr">
        <is>
          <t>Manages map resources for libraries using RESTful endpoints. Reads and serves .jmp files from specified directories. Complexity is O(N) due to potential processing of multiple files.</t>
        </is>
      </c>
      <c r="I604" t="n">
        <v>0.0073</v>
      </c>
      <c r="J604" t="n">
        <v>0.0571</v>
      </c>
      <c r="K604" t="n">
        <v>0.102</v>
      </c>
      <c r="L604" t="inlineStr">
        <is>
          <t>The `MapResource` class provides RESTful endpoints for managing map data associated with libraries in JabRef's HTTP server. It includes methods to retrieve and update the map file (`*.jmp`) for a specific library identified by its ID. The resource is accessed at `/libraries/{id}/map`, where `{id}` corresponds to the name of the BibTeX library. The `GET` method retrieves the</t>
        </is>
      </c>
      <c r="M604" t="n">
        <v>0.0032</v>
      </c>
      <c r="N604" t="n">
        <v>0.0294</v>
      </c>
      <c r="O604" t="n">
        <v>0.0775</v>
      </c>
    </row>
    <row r="605">
      <c r="A605" t="inlineStr">
        <is>
          <t>jabref</t>
        </is>
      </c>
      <c r="B605" t="inlineStr">
        <is>
          <t>jabsrv/src/main/java/org/jabref/http/server/resources/EntriesResource.java</t>
        </is>
      </c>
      <c r="C605">
        <f>HYPERLINK("https://github.com/JabRef/jabref/blob/master/jabsrv/src/main/java/org/jabref/http/server/resources/EntriesResource.java")</f>
        <v/>
      </c>
      <c r="D605" t="inlineStr">
        <is>
          <t>The provided Java code is part of a JabRef application's HTTP server resource package. It handles requests related to linked PDF files in BibTeX entries. The class `LinkedPdfFilesResource` provides methods for managing these links:
- **GET /linkedpdffiles**: Retrieves all linked PDF files associated with a specific entry.
- **POST /linkedpdffiles**: Adds or updates a linked PDF file for</t>
        </is>
      </c>
      <c r="E605" t="n">
        <v>0</v>
      </c>
      <c r="F605" t="n">
        <v>0</v>
      </c>
      <c r="G605" t="n">
        <v>0.0385</v>
      </c>
      <c r="H605" t="inlineStr">
        <is>
          <t>Manages BibTeX database operations and provides RESTful API endpoints for file serving and entry management.</t>
        </is>
      </c>
      <c r="I605" t="n">
        <v>0.0132</v>
      </c>
      <c r="J605" t="n">
        <v>0.08699999999999999</v>
      </c>
      <c r="K605" t="n">
        <v>0.0575</v>
      </c>
      <c r="L605" t="inlineStr">
        <is>
          <t>This Java class handles HTTP requests related to serving linked PDF files for JabRef entries. It processes GET and POST requests to retrieve and update linked PDF files associated with BibEntries in a database context. The class uses Gson for JSON serialization/deserialization, JAX-RS annotations for RESTful web service methods, and various utility classes from JabRef's logic and server packages to manage entry data and preferences</t>
        </is>
      </c>
      <c r="M605" t="n">
        <v>0.0033</v>
      </c>
      <c r="N605" t="n">
        <v>0.0789</v>
      </c>
      <c r="O605" t="n">
        <v>0.1095</v>
      </c>
    </row>
    <row r="606">
      <c r="A606" t="inlineStr">
        <is>
          <t>jabref</t>
        </is>
      </c>
      <c r="B606" t="inlineStr">
        <is>
          <t>jabsrv/src/main/java/org/jabref/http/server/resources/LibrariesResource.java</t>
        </is>
      </c>
      <c r="C606">
        <f>HYPERLINK("https://github.com/JabRef/jabref/blob/master/jabsrv/src/main/java/org/jabref/http/server/resources/LibrariesResource.java")</f>
        <v/>
      </c>
      <c r="D606" t="inlineStr">
        <is>
          <t>The `LibrariesResource` class is a RESTful web service endpoint in Java that handles requests for information about open databases managed by JabRef. It provides a JSON response containing paths to these databases. The method `get()` retrieves this data from either the `FilesToServe` or `SrvStateManager`, depending on whether there are any files being served directly or if the application has opened databases.</t>
        </is>
      </c>
      <c r="E606" t="n">
        <v>0</v>
      </c>
      <c r="F606" t="n">
        <v>0.029</v>
      </c>
      <c r="G606" t="n">
        <v>0.0376</v>
      </c>
      <c r="H606" t="inlineStr">
        <is>
          <t>Manages libraries by providing JSON responses for open databases.</t>
        </is>
      </c>
      <c r="I606" t="n">
        <v>0</v>
      </c>
      <c r="J606" t="n">
        <v>0</v>
      </c>
      <c r="K606" t="n">
        <v>0</v>
      </c>
      <c r="L606" t="inlineStr">
        <is>
          <t>This Java RESTful resource handles requests for library data by retrieving paths from `FilesToServe` if available, otherwise using open databases managed by `SrvStateManager`. It returns these paths as JSON formatted strings. The implementation is designed to be efficient with a time complexity of O(N), where N is the number of files being served or opened.</t>
        </is>
      </c>
      <c r="M606" t="n">
        <v>0.0033</v>
      </c>
      <c r="N606" t="n">
        <v>0.0625</v>
      </c>
      <c r="O606" t="n">
        <v>0.1181</v>
      </c>
    </row>
    <row r="607">
      <c r="A607" t="inlineStr">
        <is>
          <t>jabref</t>
        </is>
      </c>
      <c r="B607" t="inlineStr">
        <is>
          <t>jabsrv/src/main/java/org/jabref/http/server/resources/RootResource.java</t>
        </is>
      </c>
      <c r="C607">
        <f>HYPERLINK("https://github.com/JabRef/jabref/blob/master/jabsrv/src/main/java/org/jabref/http/server/resources/RootResource.java")</f>
        <v/>
      </c>
      <c r="D607" t="inlineStr">
        <is>
          <t>The `RootResource` class in the `org.jabref.http.server.resources` package is a RESTful web service endpoint that serves as the root resource for the JabRef HTTP server. It provides a simple HTML page with a link to access the libraries section of the API. The method `get()` returns this HTML content when accessed via a GET request at the root path (`/`). This resource</t>
        </is>
      </c>
      <c r="E607" t="n">
        <v>0.003</v>
      </c>
      <c r="F607" t="n">
        <v>0.0278</v>
      </c>
      <c r="G607" t="n">
        <v>0.0376</v>
      </c>
      <c r="H607" t="inlineStr">
        <is>
          <t>Provides a RESTful web service that serves a basic HTML page indicating that the JabRef HTTP API is running and provides links to other resources like libraries.</t>
        </is>
      </c>
      <c r="I607" t="n">
        <v>0.007</v>
      </c>
      <c r="J607" t="n">
        <v>0.0571</v>
      </c>
      <c r="K607" t="n">
        <v>0.1894</v>
      </c>
      <c r="L607" t="inlineStr">
        <is>
          <t>The `RootResource` class provides a simple web service endpoint at the root path (`/`) that returns an HTML page welcoming users to the JabRef HTTP API. The response includes a link to access library-related resources.</t>
        </is>
      </c>
      <c r="M607" t="n">
        <v>0</v>
      </c>
      <c r="N607" t="n">
        <v>0</v>
      </c>
      <c r="O607" t="n">
        <v>0</v>
      </c>
    </row>
    <row r="608">
      <c r="A608" t="inlineStr">
        <is>
          <t>jabref</t>
        </is>
      </c>
      <c r="B608" t="inlineStr">
        <is>
          <t>jabsrv/src/main/java/org/jabref/http/server/resources/EntryResource.java</t>
        </is>
      </c>
      <c r="C608">
        <f>HYPERLINK("https://github.com/JabRef/jabref/blob/master/jabsrv/src/main/java/org/jabref/http/server/resources/EntryResource.java")</f>
        <v/>
      </c>
      <c r="D608" t="inlineStr">
        <is>
          <t>The provided Java code is part of a JabRef application's HTTP server resource package. It handles file serving operations for linked files in BibTeX entries. The class `LinkedFilesResource` provides RESTful endpoints to manage these linked files:
- **GET /linked-files/{entryKey}/{fileIndex}**: Retrieves a specific linked file by entry key and file index.
- **POST /linked-files/{</t>
        </is>
      </c>
      <c r="E608" t="n">
        <v>0.0035</v>
      </c>
      <c r="F608" t="n">
        <v>0.0312</v>
      </c>
      <c r="G608" t="n">
        <v>0.08</v>
      </c>
      <c r="H608" t="inlineStr">
        <is>
          <t>Manages BibTeX database operations and file handling for JabRef's HTTP server. Handles GET and POST requests to manage entries and linked files in the database. Complexity is high due to extensive data processing and file I/O operations.</t>
        </is>
      </c>
      <c r="I608" t="n">
        <v>0.005</v>
      </c>
      <c r="J608" t="n">
        <v>0.0426</v>
      </c>
      <c r="K608" t="n">
        <v>0.0459</v>
      </c>
      <c r="L608" t="inlineStr">
        <is>
          <t>This Java package provides RESTful endpoints for serving files related to BibTeX entries stored in JabRef databases. It includes methods for retrieving linked files associated with entries, handling POST requests to add new linked files, and managing server state. The code is designed to be efficient and handle large datasets by using NIO for file operations and leveraging dependency injection for better modularity.</t>
        </is>
      </c>
      <c r="M608" t="n">
        <v>0.0034</v>
      </c>
      <c r="N608" t="n">
        <v>0.0563</v>
      </c>
      <c r="O608" t="n">
        <v>0.1111</v>
      </c>
    </row>
    <row r="609">
      <c r="A609" t="inlineStr">
        <is>
          <t>jabref</t>
        </is>
      </c>
      <c r="B609" t="inlineStr">
        <is>
          <t>jabsrv/src/main/java/org/jabref/http/dto/BibEntryDTO.java</t>
        </is>
      </c>
      <c r="C609">
        <f>HYPERLINK("https://github.com/JabRef/jabref/blob/master/jabsrv/src/main/java/org/jabref/http/dto/BibEntryDTO.java")</f>
        <v/>
      </c>
      <c r="D609" t="inlineStr">
        <is>
          <t>The provided Java class `BibEntryDTO` is a data transfer object (DTO) designed to encapsulate essential information about a BibTeX entry in a structured format suitable for communication between different parts of a JabRef application or system. It includes fields such as:
- `sharingMetadata`: Data used for sharing purposes.
- `userComments`: Comments associated with the BibTeX entry.
- `citation</t>
        </is>
      </c>
      <c r="E609" t="n">
        <v>0</v>
      </c>
      <c r="F609" t="n">
        <v>0</v>
      </c>
      <c r="G609" t="n">
        <v>0.0385</v>
      </c>
      <c r="H609" t="inlineStr">
        <is>
          <t>The provided Java code defines a `BibEntryDTO` class within the `org.jabref.http.dto` package. It represents a data transfer object for a BibEntry, encapsulating various properties such as shared metadata, user comments, citation keys, and BibTeX strings. This DTO is designed to facilitate communication between different parts of a JabRef application or service.</t>
        </is>
      </c>
      <c r="I609" t="n">
        <v>0.0043</v>
      </c>
      <c r="J609" t="n">
        <v>0.0323</v>
      </c>
      <c r="K609" t="n">
        <v>0.122</v>
      </c>
      <c r="L609" t="inlineStr">
        <is>
          <t>This Java class `BibEntryDTO` serves as a data transfer object (DTO) for representing a BibEntry, encapsulating essential fields such as sharing metadata, user comments, citation key, and BibTeX representation. It is part of the JabRef project's HTTP DTO package and is designed to facilitate communication between different parts of the application, ensuring that BibEntry data can be easily serialized and des</t>
        </is>
      </c>
      <c r="M609" t="n">
        <v>0.0036</v>
      </c>
      <c r="N609" t="n">
        <v>0.0571</v>
      </c>
      <c r="O609" t="n">
        <v>0.1128</v>
      </c>
    </row>
    <row r="610">
      <c r="A610" t="inlineStr">
        <is>
          <t>jabref</t>
        </is>
      </c>
      <c r="B610" t="inlineStr">
        <is>
          <t>jabsrv/src/main/java/org/jabref/http/dto/LinkedPdfFileDTO.java</t>
        </is>
      </c>
      <c r="C610">
        <f>HYPERLINK("https://github.com/JabRef/jabref/blob/master/jabsrv/src/main/java/org/jabref/http/dto/LinkedPdfFileDTO.java")</f>
        <v/>
      </c>
      <c r="D610" t="inlineStr">
        <is>
          <t>The `LinkedPdfFileDTO` class in the `org.jabref.http.dto` package is designed to encapsulate information about linked PDF files within BibTeX entries. It provides methods to retrieve the file name, parent citation key, and full path of the linked PDF. The constructor initializes these fields based on the given `BibEntry` and `LinkedFile`. This DTO facilitates data transfer between</t>
        </is>
      </c>
      <c r="E610" t="n">
        <v>0.004</v>
      </c>
      <c r="F610" t="n">
        <v>0.0303</v>
      </c>
      <c r="G610" t="n">
        <v>0.07870000000000001</v>
      </c>
      <c r="H610" t="inlineStr">
        <is>
          <t>The code defines a `LinkedPdfFileDTO` class in Java that represents a linked PDF file associated with a BibTeX entry. It includes fields for the file name, parent citation key, and path to the PDF. The constructor initializes these fields based on the given BibTeX entry and linked file objects. The class provides getter methods to access each field's value. Complexity is O(N), where N</t>
        </is>
      </c>
      <c r="I610" t="n">
        <v>0.0028</v>
      </c>
      <c r="J610" t="n">
        <v>0.027</v>
      </c>
      <c r="K610" t="n">
        <v>0.0368</v>
      </c>
      <c r="L610" t="inlineStr">
        <is>
          <t>The `LinkedPdfFileDTO` class is designed to encapsulate metadata about linked PDF files within BibTeX entries. It takes a `BibEntry` object as input, which represents the entry containing the linked PDF, and a `LinkedFile` object representing the actual PDF link. The constructor initializes fields such as the filename, parent citation key, and full path of the PDF. The getter methods</t>
        </is>
      </c>
      <c r="M610" t="n">
        <v>0.0031</v>
      </c>
      <c r="N610" t="n">
        <v>0.0299</v>
      </c>
      <c r="O610" t="n">
        <v>0.0382</v>
      </c>
    </row>
    <row r="611">
      <c r="A611" t="inlineStr">
        <is>
          <t>jabref</t>
        </is>
      </c>
      <c r="B611" t="inlineStr">
        <is>
          <t>jabsrv/src/main/java/org/jabref/http/dto/GlobalExceptionMapper.java</t>
        </is>
      </c>
      <c r="C611">
        <f>HYPERLINK("https://github.com/JabRef/jabref/blob/master/jabsrv/src/main/java/org/jabref/http/dto/GlobalExceptionMapper.java")</f>
        <v/>
      </c>
      <c r="D611" t="inlineStr">
        <is>
          <t>The provided Java code defines a global exception mapper for handling exceptions in a RESTful API using JAX-RS. It logs unhandled exceptions and returns a generic "Internal Server Error" response with a status code of 500. The `GlobalExceptionMapper` is annotated as a provider to be automatically registered by JAX-RS. If the caught exception is an instance of `WebApplication</t>
        </is>
      </c>
      <c r="E611" t="n">
        <v>0.0031</v>
      </c>
      <c r="F611" t="n">
        <v>0.0294</v>
      </c>
      <c r="G611" t="n">
        <v>0.0769</v>
      </c>
      <c r="H611" t="inlineStr">
        <is>
          <t>Manages global exceptions in RESTful services by converting them into HTTP responses or logging them as errors.</t>
        </is>
      </c>
      <c r="I611" t="n">
        <v>0</v>
      </c>
      <c r="J611" t="n">
        <v>0</v>
      </c>
      <c r="K611" t="n">
        <v>0</v>
      </c>
      <c r="L611" t="inlineStr">
        <is>
          <t>This Java code defines a global exception mapper for RESTful services using JAX-RS. It logs unhandled exceptions and returns a generic "Internal Server Error" response when no specific `WebApplicationException` is caught. The logger uses SLF4J for logging purposes.</t>
        </is>
      </c>
      <c r="M611" t="n">
        <v>0.0058</v>
      </c>
      <c r="N611" t="n">
        <v>0.0851</v>
      </c>
      <c r="O611" t="n">
        <v>0.1364</v>
      </c>
    </row>
    <row r="612">
      <c r="A612" t="inlineStr">
        <is>
          <t>jabref</t>
        </is>
      </c>
      <c r="B612" t="inlineStr">
        <is>
          <t>jabsrv/src/main/java/org/jabref/http/dto/GsonFactory.java</t>
        </is>
      </c>
      <c r="C612">
        <f>HYPERLINK("https://github.com/JabRef/jabref/blob/master/jabsrv/src/main/java/org/jabref/http/dto/GsonFactory.java")</f>
        <v/>
      </c>
      <c r="D612" t="inlineStr">
        <is>
          <t>The provided Java code defines a `GsonFactory` class that implements the `Factory&lt;Gson&gt;` interface from HK2 (Habitat for Java EE). This factory is responsible for creating instances of the Google Gson library, which is used for JSON serialization and deserialization in Java applications. The `provide()` method initializes a `GsonBuilder`, sets it to pretty-print JSON output, and then</t>
        </is>
      </c>
      <c r="E612" t="n">
        <v>0.0043</v>
      </c>
      <c r="F612" t="n">
        <v>0.0606</v>
      </c>
      <c r="G612" t="n">
        <v>0.1563</v>
      </c>
      <c r="H612" t="inlineStr">
        <is>
          <t>Provides a `Gson` factory for JSON serialization in Java using Google's Gson library.</t>
        </is>
      </c>
      <c r="I612" t="n">
        <v>0</v>
      </c>
      <c r="J612" t="n">
        <v>0</v>
      </c>
      <c r="K612" t="n">
        <v>0.0588</v>
      </c>
      <c r="L612" t="inlineStr">
        <is>
          <t>This Java class `GsonFactory` is part of a backend software component that provides a factory for creating instances of the Google Gson library. It uses the GsonBuilder to configure Gson to output pretty-printed JSON by default. The `provide()` method returns a new Gson object configured as specified, while the `dispose()` method is empty since there's no need to clean up resources when disposing of Gson</t>
        </is>
      </c>
      <c r="M612" t="n">
        <v>0.0033</v>
      </c>
      <c r="N612" t="n">
        <v>0.0533</v>
      </c>
      <c r="O612" t="n">
        <v>0.1095</v>
      </c>
    </row>
    <row r="613">
      <c r="A613" t="inlineStr">
        <is>
          <t>jabref</t>
        </is>
      </c>
      <c r="B613" t="inlineStr">
        <is>
          <t>jabsrv/src/main/java/org/jabref/http/dto/cayw/SimpleJson.java</t>
        </is>
      </c>
      <c r="C613">
        <f>HYPERLINK("https://github.com/JabRef/jabref/blob/master/jabsrv/src/main/java/org/jabref/http/dto/cayw/SimpleJson.java")</f>
        <v/>
      </c>
      <c r="D613" t="inlineStr">
        <is>
          <t>The `SimpleJson` class is a data transfer object used to represent simplified JSON representations of BibTeX entries for use in web services or APIs. It includes fields such as `id`, `citationKey`, `locator`, `prefix`, `suffix`, and `suppressAuthor`. The constructor initializes these fields based on information from a `BibEntry` object and a `CitationProperties` instance.</t>
        </is>
      </c>
      <c r="E613" t="n">
        <v>0.0035</v>
      </c>
      <c r="F613" t="n">
        <v>0.0333</v>
      </c>
      <c r="G613" t="n">
        <v>0.0806</v>
      </c>
      <c r="H613" t="inlineStr">
        <is>
          <t>This repository contains backend software components implementing core algorithms. The complexity is O(N), indicating linear time performance in relation to input size N. The comments describe the implementation of these algorithms. Initial codebase commits were made. The total code size is 1000 lines.</t>
        </is>
      </c>
      <c r="I613" t="n">
        <v>0.0056</v>
      </c>
      <c r="J613" t="n">
        <v>0.1538</v>
      </c>
      <c r="K613" t="n">
        <v>0.1739</v>
      </c>
      <c r="L613" t="inlineStr">
        <is>
          <t>The `SimpleJson` class records basic bibliographic data for citations, including ID, citation key, locator, prefix, suffix, and suppression status. It provides a method to convert a `BibEntry` into a `SimpleJson` object, handling cases where the BibEntry lacks a citation key by logging a warning and returning default values. The class uses SLF4J for logging and is</t>
        </is>
      </c>
      <c r="M613" t="n">
        <v>0.0033</v>
      </c>
      <c r="N613" t="n">
        <v>0.0312</v>
      </c>
      <c r="O613" t="n">
        <v>0.0781</v>
      </c>
    </row>
    <row r="614">
      <c r="A614" t="inlineStr">
        <is>
          <t>jabref</t>
        </is>
      </c>
      <c r="B614" t="inlineStr">
        <is>
          <t>jabsrv/src/test/java/org/jabref/http/server/ServerTest.java</t>
        </is>
      </c>
      <c r="C614">
        <f>HYPERLINK("https://github.com/JabRef/jabref/blob/master/jabsrv/src/test/java/org/jabref/http/server/ServerTest.java")</f>
        <v/>
      </c>
      <c r="D614" t="inlineStr">
        <is>
          <t>The provided Java code is part of a JabRef HTTP server implementation that uses Jersey for web service creation. The main functionalities include:
- **Resource Configuration**: Sets up the Jersey application with various services such as `FormatterService`, `FilesToServe`, and exception mappers.
- **Dependency Injection**: Uses HK2 to bind different preferences classes like `FilePreferences`, `FieldPreferences`, etc., to</t>
        </is>
      </c>
      <c r="E614" t="n">
        <v>0.0033</v>
      </c>
      <c r="F614" t="n">
        <v>0.0968</v>
      </c>
      <c r="G614" t="n">
        <v>0.1172</v>
      </c>
      <c r="H614" t="inlineStr">
        <is>
          <t>Manages JabRef server resources and configurations using Jersey framework for RESTful services. Includes Gson for JSON serialization/deserialization, EnumSet for handling preferences, and various service classes for file serving, formatter operations, and more. Complexity is high due to extensive configuration management and resource integration.</t>
        </is>
      </c>
      <c r="I614" t="n">
        <v>0.0043</v>
      </c>
      <c r="J614" t="n">
        <v>0.0385</v>
      </c>
      <c r="K614" t="n">
        <v>0.08699999999999999</v>
      </c>
      <c r="L614" t="inlineStr">
        <is>
          <t>The Java code is part of a JabRef server implementation that sets up Jersey resources for handling HTTP requests related to various JabRef functionalities such as importing/exporting files, managing BibTeX entries, and preferences. It uses Gson for JSON serialization/deserialization, JAXB for XML parsing, and GlassFish's HK2 dependency injection framework. The code initializes various services like `FormatterService`, `FileToServe</t>
        </is>
      </c>
      <c r="M614" t="n">
        <v>0.0032</v>
      </c>
      <c r="N614" t="n">
        <v>0.0882</v>
      </c>
      <c r="O614" t="n">
        <v>0.1163</v>
      </c>
    </row>
    <row r="615">
      <c r="A615" t="inlineStr">
        <is>
          <t>jabref</t>
        </is>
      </c>
      <c r="B615" t="inlineStr">
        <is>
          <t>jabsrv/src/test/java/org/jabref/http/server/LibrariesResourceTest.java</t>
        </is>
      </c>
      <c r="C615">
        <f>HYPERLINK("https://github.com/JabRef/jabref/blob/master/jabsrv/src/test/java/org/jabref/http/server/LibrariesResourceTest.java")</f>
        <v/>
      </c>
      <c r="D615" t="inlineStr">
        <is>
          <t>The `LibrariesResourceTest` class is part of a Java application that uses Jersey for building RESTful web services. It tests the `LibrariesResource`, which likely handles requests related to libraries or collections in a JabRef application. The test checks if the default one test library returns the expected JSON response containing IDs and names.</t>
        </is>
      </c>
      <c r="E615" t="n">
        <v>0.0035</v>
      </c>
      <c r="F615" t="n">
        <v>0.0333</v>
      </c>
      <c r="G615" t="n">
        <v>0.0806</v>
      </c>
      <c r="H615" t="inlineStr">
        <is>
          <t>The provided Java code is part of a RESTful web service for managing libraries in JabRef, a reference management application. It includes classes such as `LibrariesResource` which handles HTTP requests related to library resources. The code uses Jersey for building the JAX-RS (Java API for RESTful Web Services) application and provides tests for the `LibrariesResource`. The complexity is high due to</t>
        </is>
      </c>
      <c r="I615" t="n">
        <v>0.003</v>
      </c>
      <c r="J615" t="n">
        <v>0.0286</v>
      </c>
      <c r="K615" t="n">
        <v>0.0752</v>
      </c>
      <c r="L615" t="inlineStr">
        <is>
          <t>The `LibrariesResource` class is part of a RESTful server application that serves resources related to libraries. It uses Jersey as the framework for handling HTTP requests. The test case `defaultOneTestLibrary` verifies that the library list includes specific IDs and names based on predefined constants from `TestBibFile`.</t>
        </is>
      </c>
      <c r="M615" t="n">
        <v>0.004</v>
      </c>
      <c r="N615" t="n">
        <v>0.037</v>
      </c>
      <c r="O615" t="n">
        <v>0.0847</v>
      </c>
    </row>
    <row r="616">
      <c r="A616" t="inlineStr">
        <is>
          <t>jabref</t>
        </is>
      </c>
      <c r="B616" t="inlineStr">
        <is>
          <t>jabsrv/src/test/java/org/jabref/http/server/TestBibFile.java</t>
        </is>
      </c>
      <c r="C616">
        <f>HYPERLINK("https://github.com/JabRef/jabref/blob/master/jabsrv/src/test/java/org/jabref/http/server/TestBibFile.java")</f>
        <v/>
      </c>
      <c r="D616" t="inlineStr">
        <is>
          <t>The `TestBibFile` enum in the `org.jabref.http.server` package holds paths to test `.bib` files used for server testing purposes. It uses dynamic file creation based on the operating system's current working directory to ensure consistent paths across different environments. The enum provides constants for two specific test files: "general-server-test.bib" located in the source resources and "ch</t>
        </is>
      </c>
      <c r="E616" t="n">
        <v>0.0033</v>
      </c>
      <c r="F616" t="n">
        <v>0.0286</v>
      </c>
      <c r="G616" t="n">
        <v>0.07870000000000001</v>
      </c>
      <c r="H616" t="inlineStr">
        <is>
          <t>The code defines an `enum` called `TestBibFile` that holds paths to test `.bib` files used in the JabRef HTTP server project. Each entry in the enum represents a specific test file with its corresponding absolute path and a unique ID generated using the `BackupFileUtil`. This setup allows for dynamic handling of file locations across different operating systems. The README provides context about the repository</t>
        </is>
      </c>
      <c r="I616" t="n">
        <v>0.0034</v>
      </c>
      <c r="J616" t="n">
        <v>0.0278</v>
      </c>
      <c r="K616" t="n">
        <v>0.1103</v>
      </c>
      <c r="L616" t="inlineStr">
        <is>
          <t>The `TestBibFile` enum holds paths to test `.bib` files used in the JabRef HTTP server project. It uses dynamic creation for the path based on the operating system and includes a unique backup prefix for each file. The enum provides constants for different types of test files, facilitating easy access to their locations within the project structure.</t>
        </is>
      </c>
      <c r="M616" t="n">
        <v>0.0032</v>
      </c>
      <c r="N616" t="n">
        <v>0.0308</v>
      </c>
      <c r="O616" t="n">
        <v>0.0775</v>
      </c>
    </row>
    <row r="617">
      <c r="A617" t="inlineStr">
        <is>
          <t>jabref</t>
        </is>
      </c>
      <c r="B617" t="inlineStr">
        <is>
          <t>jabsrv/src/test/java/org/jabref/http/server/LibraryResourceTest.java</t>
        </is>
      </c>
      <c r="C617">
        <f>HYPERLINK("https://github.com/JabRef/jabref/blob/master/jabsrv/src/test/java/org/jabref/http/server/LibraryResourceTest.java")</f>
        <v/>
      </c>
      <c r="D617" t="inlineStr">
        <is>
          <t>The provided Java code defines a test class `LibraryResourceTest` that extends another class named `ServerTest`. The purpose of this class is to test the functionality of the `LibraryResource` class within the `org.jabref.http.server` package. Specifically, it tests the `getJson()` method of the `LibraryResource` class.
### Key Points:
1. **Class Structure**:</t>
        </is>
      </c>
      <c r="E617" t="n">
        <v>0.0037</v>
      </c>
      <c r="F617" t="n">
        <v>0.0678</v>
      </c>
      <c r="G617" t="n">
        <v>0.08260000000000001</v>
      </c>
      <c r="H617" t="inlineStr">
        <is>
          <t>The provided Java code is part of a RESTful web service for managing libraries in JabRef, a reference management application. It includes classes for handling library resources and serving files to clients. The `LibraryResource` class is responsible for processing requests related to individual libraries, while `LibrariesResource` handles operations on multiple libraries. The code uses Jersey as the JAX-RS framework and provides test cases</t>
        </is>
      </c>
      <c r="I617" t="n">
        <v>0.0029</v>
      </c>
      <c r="J617" t="n">
        <v>0.0278</v>
      </c>
      <c r="K617" t="n">
        <v>0.0741</v>
      </c>
      <c r="L617" t="inlineStr">
        <is>
          <t>The `LibraryResource` class is part of a server-side application that handles requests for library resources. It uses Jersey as the framework to define RESTful endpoints. The class includes two subclasses: `LibraryResource` and `LibrariesResource`. The `configure()` method sets up the Jersey configuration by adding various resources such as libraries and preferences. The `getJson()` test checks if the JSON response from</t>
        </is>
      </c>
      <c r="M617" t="n">
        <v>0.0031</v>
      </c>
      <c r="N617" t="n">
        <v>0.0294</v>
      </c>
      <c r="O617" t="n">
        <v>0.07630000000000001</v>
      </c>
    </row>
    <row r="618">
      <c r="A618" t="inlineStr">
        <is>
          <t>jabref</t>
        </is>
      </c>
      <c r="B618" t="inlineStr">
        <is>
          <t>jabsrv/src/test/java/org/jabref/http/server/command/FocusCommandTest.java</t>
        </is>
      </c>
      <c r="C618">
        <f>HYPERLINK("https://github.com/JabRef/jabref/blob/master/jabsrv/src/test/java/org/jabref/http/server/command/FocusCommandTest.java")</f>
        <v/>
      </c>
      <c r="D618" t="inlineStr">
        <is>
          <t>The `FocusCommandTest` class in the `org.jabref.http.server.command` package is a JUnit test for the `FocusCommand`. It tests whether sending a JSON request to the `/commands` endpoint with the command `"focus"` returns a server error status (500). The method constructs a JSON payload, sends it as POST data to the specified URL using Jersey client, and</t>
        </is>
      </c>
      <c r="E618" t="n">
        <v>0.0034</v>
      </c>
      <c r="F618" t="n">
        <v>0.0303</v>
      </c>
      <c r="G618" t="n">
        <v>0.0794</v>
      </c>
      <c r="H618" t="inlineStr">
        <is>
          <t>Manages server-side commands for JabRef using Jersey framework, testing focus command to ensure it returns a server error when called via HTTP POST request with JSON payload containing the command "focus".</t>
        </is>
      </c>
      <c r="I618" t="n">
        <v>0</v>
      </c>
      <c r="J618" t="n">
        <v>0</v>
      </c>
      <c r="K618" t="n">
        <v>0.0485</v>
      </c>
      <c r="L618" t="inlineStr">
        <is>
          <t>The `FocusCommandTest` class tests the `/commands` endpoint for handling the "focus" command by sending a JSON request and verifying that it returns a server error status. The test uses JUnit Jupiter annotations and Jersey client libraries to interact with the RESTful API.</t>
        </is>
      </c>
      <c r="M618" t="n">
        <v>0.0044</v>
      </c>
      <c r="N618" t="n">
        <v>0.04</v>
      </c>
      <c r="O618" t="n">
        <v>0.0877</v>
      </c>
    </row>
    <row r="619">
      <c r="A619" t="inlineStr">
        <is>
          <t>jabref</t>
        </is>
      </c>
      <c r="B619" t="inlineStr">
        <is>
          <t>jabsrv/src/test/java/org/jabref/http/server/cayw/CAYWResourceTest.java</t>
        </is>
      </c>
      <c r="C619">
        <f>HYPERLINK("https://github.com/JabRef/jabref/blob/master/jabsrv/src/test/java/org/jabref/http/server/cayw/CAYWResourceTest.java")</f>
        <v/>
      </c>
      <c r="D619" t="inlineStr">
        <is>
          <t>The `CAYWResourceTest` class is a JUnit test for the `CAYWResource` class in the `org.jabref.http.server.cayw` package. It uses Mockito to mock dependencies such as `SrvStateManager`, `ServerTest`, and `BibEntry`. The test configures a Jersey application with resources from `CAYWResource` and verifies that</t>
        </is>
      </c>
      <c r="E619" t="n">
        <v>0.0046</v>
      </c>
      <c r="F619" t="n">
        <v>0.0385</v>
      </c>
      <c r="G619" t="n">
        <v>0.0893</v>
      </c>
      <c r="H619" t="inlineStr">
        <is>
          <t>The repository contains backend software components that implement core algorithms. The complexity is O(N), indicating linear time complexity for certain operations. The comments describe the implementation of these algorithms. The commits include an initial codebase commit. The total size of the codebase is 1000 lines.</t>
        </is>
      </c>
      <c r="I619" t="n">
        <v>0.0049</v>
      </c>
      <c r="J619" t="n">
        <v>0.1111</v>
      </c>
      <c r="K619" t="n">
        <v>0.1282</v>
      </c>
      <c r="L619" t="inlineStr">
        <is>
          <t>The `CAYWResourceTest` class is a JUnit test for the `CAYWResource` class within the `org.jabref.http.server.cayw` package. It uses Mockito to mock dependencies such as `SrvStateManager`, `BibEntry`, and other services. The test checks that the `CAYWResource` correctly handles HTTP requests by comparing expected responses with</t>
        </is>
      </c>
      <c r="M619" t="n">
        <v>0.0043</v>
      </c>
      <c r="N619" t="n">
        <v>0.0364</v>
      </c>
      <c r="O619" t="n">
        <v>0.08699999999999999</v>
      </c>
    </row>
    <row r="620">
      <c r="A620" t="inlineStr">
        <is>
          <t>jabref</t>
        </is>
      </c>
      <c r="B620" t="inlineStr">
        <is>
          <t>jabsrv/src/test/java/org/jabref/http/server/cayw/CitationPropertiesTest.java</t>
        </is>
      </c>
      <c r="C620">
        <f>HYPERLINK("https://github.com/JabRef/jabref/blob/master/jabsrv/src/test/java/org/jabref/http/server/cayw/CitationPropertiesTest.java")</f>
        <v/>
      </c>
      <c r="D620" t="inlineStr">
        <is>
          <t>The `CitationProperties` class in the `org.jabref.http.server.cayw` package is designed to manage citation properties for documents. It includes methods to set and retrieve locator types and values, which can be formatted into strings representing different parts of a citation (e.g., page numbers or chapter titles). The `FormattedLocatorTest` nested class contains tests that verify the correct formatting of</t>
        </is>
      </c>
      <c r="E620" t="n">
        <v>0.0033</v>
      </c>
      <c r="F620" t="n">
        <v>0.029</v>
      </c>
      <c r="G620" t="n">
        <v>0.0781</v>
      </c>
      <c r="H620" t="inlineStr">
        <is>
          <t>The repository contains backend software components that implement core algorithms. The complexity is O(N), indicating linear time complexity for certain operations. The implementation includes comments explaining the purpose of each part of the code.</t>
        </is>
      </c>
      <c r="I620" t="n">
        <v>0.0065</v>
      </c>
      <c r="J620" t="n">
        <v>0.1395</v>
      </c>
      <c r="K620" t="n">
        <v>0.1887</v>
      </c>
      <c r="L620" t="inlineStr">
        <is>
          <t>The `CitationProperties` class is part of a backend software component that handles citation properties for various types of references. It includes tests for formatting locators based on different locator types (page number or chapter). The `FormattedLocatorTest` nested class contains test cases to verify that the formatted locator is correctly generated according to the specified locator type and value.</t>
        </is>
      </c>
      <c r="M620" t="n">
        <v>0.0037</v>
      </c>
      <c r="N620" t="n">
        <v>0.0606</v>
      </c>
      <c r="O620" t="n">
        <v>0.1154</v>
      </c>
    </row>
    <row r="621">
      <c r="A621" t="inlineStr">
        <is>
          <t>jabref</t>
        </is>
      </c>
      <c r="B621" t="inlineStr">
        <is>
          <t>jabsrv/src/test/java/org/jabref/http/server/cayw/format/CAYWFormattersTest.java</t>
        </is>
      </c>
      <c r="C621">
        <f>HYPERLINK("https://github.com/JabRef/jabref/blob/master/jabsrv/src/test/java/org/jabref/http/server/cayw/format/CAYWFormattersTest.java")</f>
        <v/>
      </c>
      <c r="D621" t="inlineStr">
        <is>
          <t>The `CAYWFormatters` class in the `org.jabref.http.server.cayw.format` package provides methods to format citation data for use with the CayW service. It includes:
- A method `caywEntries` that takes a list of keys and returns a list of `CAYWEntry` objects.
- A nested test class `CAYWFormatters</t>
        </is>
      </c>
      <c r="E621" t="n">
        <v>0.0042</v>
      </c>
      <c r="F621" t="n">
        <v>0.0364</v>
      </c>
      <c r="G621" t="n">
        <v>0.0862</v>
      </c>
      <c r="H621" t="inlineStr">
        <is>
          <t>This repository contains backend software components that implement core algorithms for processing bibliographic data using Java and JAX-RS. The complexity is O(N), indicating linear time complexity in relation to input size. Comments describe the implementation details, while commits document the initial creation of the codebase. The total code size is 1000 lines.</t>
        </is>
      </c>
      <c r="I621" t="n">
        <v>0.005</v>
      </c>
      <c r="J621" t="n">
        <v>0.1613</v>
      </c>
      <c r="K621" t="n">
        <v>0.2419</v>
      </c>
      <c r="L621" t="inlineStr">
        <is>
          <t>The `CAYWFormatters` class is responsible for formatting citation entries into specific formats based on user queries. It processes input parameters from the CayW query string, retrieves relevant entries, and generates formatted output using mock data. The method `caywEntries` constructs a list of `CAYWEntry` objects, each representing a bibliographic entry with associated metadata. The `@Nested</t>
        </is>
      </c>
      <c r="M621" t="n">
        <v>0.0034</v>
      </c>
      <c r="N621" t="n">
        <v>0.0323</v>
      </c>
      <c r="O621" t="n">
        <v>0.0794</v>
      </c>
    </row>
    <row r="622">
      <c r="A622" t="inlineStr">
        <is>
          <t>jabref</t>
        </is>
      </c>
      <c r="B622" t="inlineStr">
        <is>
          <t>jabsrv-cli/src/main/java/module-info.java</t>
        </is>
      </c>
      <c r="C622">
        <f>HYPERLINK("https://github.com/JabRef/jabref/blob/master/jabsrv-cli/src/main/java/module-info.java")</f>
        <v/>
      </c>
      <c r="D622" t="inlineStr">
        <is>
          <t>The provided Java module `org.jabref.jabsrv.cli` is designed for command-line interface (CLI) operations related to JabRef, a popular bibliography management tool. It includes dependencies on various libraries such as Picocli for parsing command line arguments, JabLib for handling bibliographic data, and Afterburner.FX for view binding in JavaFX applications. The module also utilizes SLF</t>
        </is>
      </c>
      <c r="E622" t="n">
        <v>0.0042</v>
      </c>
      <c r="F622" t="n">
        <v>0.0615</v>
      </c>
      <c r="G622" t="n">
        <v>0.0806</v>
      </c>
      <c r="H622" t="inlineStr">
        <is>
          <t>Manages JabRef's HTTP server CLI module dependencies.</t>
        </is>
      </c>
      <c r="I622" t="n">
        <v>0.0286</v>
      </c>
      <c r="J622" t="n">
        <v>0.125</v>
      </c>
      <c r="K622" t="n">
        <v>0.0633</v>
      </c>
      <c r="L622" t="inlineStr">
        <is>
          <t>This Java module defines a command-line interface (CLI) for JabRef's HTTP server component. It includes dependencies such as `org.jabref.jablib`, `org.jabref.jabsrv`, `org.slf4j`, `jul.to.slf4j`, `jakarta.annotation`, `afterburner.fx`, `javafx.base`, `info.picocli`, and `</t>
        </is>
      </c>
      <c r="M622" t="n">
        <v>0.008800000000000001</v>
      </c>
      <c r="N622" t="n">
        <v>0.125</v>
      </c>
      <c r="O622" t="n">
        <v>0.15</v>
      </c>
    </row>
    <row r="623">
      <c r="A623" t="inlineStr">
        <is>
          <t>jabref</t>
        </is>
      </c>
      <c r="B623" t="inlineStr">
        <is>
          <t>jabsrv-cli/src/main/java/org/jabref/http/cli/JabRefResourceLocator.java</t>
        </is>
      </c>
      <c r="C623">
        <f>HYPERLINK("https://github.com/JabRef/jabref/blob/master/jabsrv-cli/src/main/java/org/jabref/http/cli/JabRefResourceLocator.java")</f>
        <v/>
      </c>
      <c r="D623" t="inlineStr">
        <is>
          <t>The `JabRefResourceLocator` class is a simple implementation of the `ResourceLocator` interface in Java. It provides a method to retrieve resource bundles using the `Localization` class from the `org.jabref.logic.l10n` package. This class is designed to handle localization resources without depending on the GUI module, which allows it to be used independently by other parts of the application</t>
        </is>
      </c>
      <c r="E623" t="n">
        <v>0.0033</v>
      </c>
      <c r="F623" t="n">
        <v>0.0597</v>
      </c>
      <c r="G623" t="n">
        <v>0.1172</v>
      </c>
      <c r="H623" t="inlineStr">
        <is>
          <t>The `JabRefResourceLocator` class provides a resource bundle implementation that retrieves messages from the localization library (`Localization`). It logs debug information when requesting a bundle and returns the application's message resources. This component is part of the backend software components in the repository.</t>
        </is>
      </c>
      <c r="I623" t="n">
        <v>0.0058</v>
      </c>
      <c r="J623" t="n">
        <v>0.0784</v>
      </c>
      <c r="K623" t="n">
        <v>0.2193</v>
      </c>
      <c r="L623" t="inlineStr">
        <is>
          <t>This Java class `JabRefResourceLocator` is part of the backend software components in the JabRef project. It provides a resource locator implementation that retrieves localization messages from the JabRef application using the `Localization` class from the `org.jabref.logic.l10n` package. The method `getResourceBundle` takes a string parameter representing the name of the resource bundle and returns the corresponding</t>
        </is>
      </c>
      <c r="M623" t="n">
        <v>0.0044</v>
      </c>
      <c r="N623" t="n">
        <v>0.1212</v>
      </c>
      <c r="O623" t="n">
        <v>0.1969</v>
      </c>
    </row>
    <row r="624">
      <c r="A624" t="inlineStr">
        <is>
          <t>jabref</t>
        </is>
      </c>
      <c r="B624" t="inlineStr">
        <is>
          <t>jabsrv-cli/src/main/java/org/jabref/http/server/cli/ServerCli.java</t>
        </is>
      </c>
      <c r="C624">
        <f>HYPERLINK("https://github.com/JabRef/jabref/blob/master/jabsrv-cli/src/main/java/org/jabref/http/server/cli/ServerCli.java")</f>
        <v/>
      </c>
      <c r="D624" t="inlineStr">
        <is>
          <t>The `ServerCli` class is a command-line interface (CLI) tool for starting a JabRef HTTP server. It uses Picocli for parsing command line arguments and Grizzly for handling HTTP requests. The class sets up logging using SLF4J with a bridge handler for standard streams compatibility. When executed, it starts the JabRef server on the specified port or defaults to 808</t>
        </is>
      </c>
      <c r="E624" t="n">
        <v>0.0031</v>
      </c>
      <c r="F624" t="n">
        <v>0.0294</v>
      </c>
      <c r="G624" t="n">
        <v>0.07630000000000001</v>
      </c>
      <c r="H624" t="inlineStr">
        <is>
          <t>Manages the JabRef HTTP server using command-line arguments.</t>
        </is>
      </c>
      <c r="I624" t="n">
        <v>0</v>
      </c>
      <c r="J624" t="n">
        <v>0</v>
      </c>
      <c r="K624" t="n">
        <v>0.0625</v>
      </c>
      <c r="L624" t="inlineStr">
        <is>
          <t>The `ServerCli` class is a command-line interface (CLI) tool for starting a JabRef HTTP server. It uses Picocli for parsing command-line arguments and Grizzly for handling HTTP requests. The server listens on a specified URI and serves resources from a given directory. The class initializes logging using SLF4J and handles standard input/output streams appropriately.</t>
        </is>
      </c>
      <c r="M624" t="n">
        <v>0.0034</v>
      </c>
      <c r="N624" t="n">
        <v>0.0308</v>
      </c>
      <c r="O624" t="n">
        <v>0.0794</v>
      </c>
    </row>
    <row r="625">
      <c r="A625" t="inlineStr">
        <is>
          <t>jabref</t>
        </is>
      </c>
      <c r="B625" t="inlineStr">
        <is>
          <t>jabls-cli/src/main/java/module-info.java</t>
        </is>
      </c>
      <c r="C625">
        <f>HYPERLINK("https://github.com/JabRef/jabref/blob/master/jabls-cli/src/main/java/module-info.java")</f>
        <v/>
      </c>
      <c r="D625" t="inlineStr">
        <is>
          <t>The provided Java module `org.jabref.jabls.cli` is designed for command-line interface (CLI) operations related to JabRef's language server capabilities. It includes dependencies on various libraries such as Picocli for parsing command-line arguments, JabLib and JabLS for core functionalities, Afterburner.FX for UI components, SLF4J for logging, JUL-to-SLF4</t>
        </is>
      </c>
      <c r="E625" t="n">
        <v>0.0054</v>
      </c>
      <c r="F625" t="n">
        <v>0.0968</v>
      </c>
      <c r="G625" t="n">
        <v>0.1282</v>
      </c>
      <c r="H625" t="inlineStr">
        <is>
          <t>Manages dependencies for JabRef's command-line interface (CLI) module.</t>
        </is>
      </c>
      <c r="I625" t="n">
        <v>0</v>
      </c>
      <c r="J625" t="n">
        <v>0.1111</v>
      </c>
      <c r="K625" t="n">
        <v>0</v>
      </c>
      <c r="L625" t="inlineStr">
        <is>
          <t>This module defines the CLI (Command Line Interface) for JabRef's Language Server, opening necessary packages and dependencies required for running the server. It includes the JabLib and JabLS libraries, as well as Afterburner.FX for UI components. The project uses SLF4J for logging and TinyLog for runtime logging.</t>
        </is>
      </c>
      <c r="M625" t="n">
        <v>0.0051</v>
      </c>
      <c r="N625" t="n">
        <v>0.1053</v>
      </c>
      <c r="O625" t="n">
        <v>0.1681</v>
      </c>
    </row>
    <row r="626">
      <c r="A626" t="inlineStr">
        <is>
          <t>jabref</t>
        </is>
      </c>
      <c r="B626" t="inlineStr">
        <is>
          <t>jabls-cli/src/main/java/org/jabref/languageserver/cli/ServerCli.java</t>
        </is>
      </c>
      <c r="C626">
        <f>HYPERLINK("https://github.com/JabRef/jabref/blob/master/jabls-cli/src/main/java/org/jabref/languageserver/cli/ServerCli.java")</f>
        <v/>
      </c>
      <c r="D626" t="inlineStr">
        <is>
          <t>The `ServerCli` class is a command-line interface (CLI) tool for launching a language server that supports JabRef, a reference management program. The tool allows users to specify a port number through command line arguments. When executed, it initializes a `LspLauncher` with the specified port and starts the language server process. The class uses SLF4J logging for output and handles standard input</t>
        </is>
      </c>
      <c r="E626" t="n">
        <v>0.003</v>
      </c>
      <c r="F626" t="n">
        <v>0.0286</v>
      </c>
      <c r="G626" t="n">
        <v>0.0752</v>
      </c>
      <c r="H626" t="inlineStr">
        <is>
          <t>The code provides a command-line interface (CLI) for launching a language server named JabLS, which supports JabRef's document management features. The server listens on a specified port and handles requests from clients using Protocol Buffers.</t>
        </is>
      </c>
      <c r="I626" t="n">
        <v>0.0053</v>
      </c>
      <c r="J626" t="n">
        <v>0.0444</v>
      </c>
      <c r="K626" t="n">
        <v>0.0935</v>
      </c>
      <c r="L626" t="inlineStr">
        <is>
          <t>The `ServerCli` class is a command-line interface (CLI) tool for starting a JabRef Language Server (JabLS). It allows users to specify a port number through which the server will listen for incoming connections. The class uses Picocli annotations to define command-line options and handles the startup process by launching the LspLauncher with the specified port. The code is designed to run as</t>
        </is>
      </c>
      <c r="M626" t="n">
        <v>0.0029</v>
      </c>
      <c r="N626" t="n">
        <v>0.0278</v>
      </c>
      <c r="O626" t="n">
        <v>0.0746</v>
      </c>
    </row>
    <row r="627">
      <c r="A627" t="inlineStr">
        <is>
          <t>jabref</t>
        </is>
      </c>
      <c r="B627" t="inlineStr">
        <is>
          <t>jabls-cli/src/main/java/org/jabref/languageserver/cli/JabRefResourceLocator.java</t>
        </is>
      </c>
      <c r="C627">
        <f>HYPERLINK("https://github.com/JabRef/jabref/blob/master/jabls-cli/src/main/java/org/jabref/languageserver/cli/JabRefResourceLocator.java")</f>
        <v/>
      </c>
      <c r="D627" t="inlineStr">
        <is>
          <t>The `JabRefResourceLocator` class is a simple implementation of the `ResourceLocator` interface in Java, which is used to locate resource bundles. It provides a method `getResourceBundle` that returns the `Localization.getMessages()` resource bundle, which contains localized strings for various parts of the application. This class is designed to work independently of the GUI module by using the `Localization` class from</t>
        </is>
      </c>
      <c r="E627" t="n">
        <v>0.0037</v>
      </c>
      <c r="F627" t="n">
        <v>0.0597</v>
      </c>
      <c r="G627" t="n">
        <v>0.1538</v>
      </c>
      <c r="H627" t="inlineStr">
        <is>
          <t>Provides a resource locator implementation that uses `Localization` to retrieve message bundles. This is used in the JABREF language server CLI component.</t>
        </is>
      </c>
      <c r="I627" t="n">
        <v>0.008699999999999999</v>
      </c>
      <c r="J627" t="n">
        <v>0.0667</v>
      </c>
      <c r="K627" t="n">
        <v>0.1596</v>
      </c>
      <c r="L627" t="inlineStr">
        <is>
          <t>This Java class `JabRefResourceLocator` is designed to provide resource bundles for localization purposes in the context of the JABREF project's command-line interface (CLI). It overrides the `getResourceBundle` method from the `ResourceLocator` interface to delegate requests to the `Localization.getMessages()` method, which handles localization within the application. This implementation ensures that the CLI can access localized resources without</t>
        </is>
      </c>
      <c r="M627" t="n">
        <v>0.0033</v>
      </c>
      <c r="N627" t="n">
        <v>0.0597</v>
      </c>
      <c r="O627" t="n">
        <v>0.0781</v>
      </c>
    </row>
    <row r="628">
      <c r="A628" t="inlineStr">
        <is>
          <t>jabref</t>
        </is>
      </c>
      <c r="B628" t="inlineStr">
        <is>
          <t>.jbang/CloneJabRef.java</t>
        </is>
      </c>
      <c r="C628">
        <f>HYPERLINK("https://github.com/JabRef/jabref/blob/master/.jbang/CloneJabRef.java")</f>
        <v/>
      </c>
      <c r="D628" t="inlineStr">
        <is>
          <t>The provided Java program clones the JabRef source code from GitHub into a specified directory or a temporary directory if no argument is provided. It uses JGit to perform the cloning operation with recursive submodules support. The program checks for existing directories and prints a message if it finds one before proceeding with the clone. Finally, it outputs the path where the cloned code can be found.</t>
        </is>
      </c>
      <c r="E628" t="n">
        <v>0.0027</v>
      </c>
      <c r="F628" t="n">
        <v>0.0267</v>
      </c>
      <c r="G628" t="n">
        <v>0.07190000000000001</v>
      </c>
      <c r="H628" t="inlineStr">
        <is>
          <t>Clones the JabRef source code from GitHub to a specified directory or a temporary directory if no argument is provided. Uses JGit for cloning with recursive submodules support.</t>
        </is>
      </c>
      <c r="I628" t="n">
        <v>0</v>
      </c>
      <c r="J628" t="n">
        <v>0</v>
      </c>
      <c r="K628" t="n">
        <v>0.05</v>
      </c>
      <c r="L628" t="inlineStr">
        <is>
          <t>The `CloneJabRef` Java application clones the JabRef project from GitHub into a specified directory using JGit. It handles both user-specified directories and temporary directories if no path is provided. If the target directory already exists, it prints a message and exits. The application uses JGit's command-line interface (`Main`) to perform the cloning operation recursively. Finally, it confirms that the Jab</t>
        </is>
      </c>
      <c r="M628" t="n">
        <v>0.003</v>
      </c>
      <c r="N628" t="n">
        <v>0.0282</v>
      </c>
      <c r="O628" t="n">
        <v>0.07580000000000001</v>
      </c>
    </row>
    <row r="629">
      <c r="A629" t="inlineStr">
        <is>
          <t>jabref</t>
        </is>
      </c>
      <c r="B629" t="inlineStr">
        <is>
          <t>.jbang/JabKitLauncher.java</t>
        </is>
      </c>
      <c r="C629">
        <f>HYPERLINK("https://github.com/JabRef/jabref/blob/master/.jbang/JabKitLauncher.java")</f>
        <v/>
      </c>
      <c r="D629" t="inlineStr">
        <is>
          <t>The provided Java script defines a JBang application named `jabkit` that manages BibTeX files using JabRef. It includes dependencies on various libraries such as `jablib`, `e-adr`, `picocli`, and sources from the `jabkit` project. The script specifies runtime options and repositories for dependency resolution. The complexity is O(N), indicating linear time complexity in relation to input</t>
        </is>
      </c>
      <c r="E629" t="n">
        <v>0.0033</v>
      </c>
      <c r="F629" t="n">
        <v>0.0308</v>
      </c>
      <c r="G629" t="n">
        <v>0.07870000000000001</v>
      </c>
      <c r="H629" t="inlineStr">
        <is>
          <t>Manages BibTeX files using JabRef with various dependencies and source files included. Complexity is O(N), indicating linear time complexity in relation to input size. The project includes core algorithms and requires specific runtime options and repositories.</t>
        </is>
      </c>
      <c r="I629" t="n">
        <v>0.0061</v>
      </c>
      <c r="J629" t="n">
        <v>0.08890000000000001</v>
      </c>
      <c r="K629" t="n">
        <v>0.1389</v>
      </c>
      <c r="L629" t="inlineStr">
        <is>
          <t>The provided Java script initializes a JBang environment and sets up dependencies for managing BibTeX files using JabRef. It includes various converters and sources related to JabRef's toolkit and project requirements. The script is designed to run as a standalone tool that can handle BibTeX conversions and manipulations.</t>
        </is>
      </c>
      <c r="M629" t="n">
        <v>0.0038</v>
      </c>
      <c r="N629" t="n">
        <v>0.0351</v>
      </c>
      <c r="O629" t="n">
        <v>0.0833</v>
      </c>
    </row>
    <row r="630">
      <c r="A630" t="inlineStr">
        <is>
          <t>jabref</t>
        </is>
      </c>
      <c r="B630" t="inlineStr">
        <is>
          <t>.jbang/JabSrvLauncher.java</t>
        </is>
      </c>
      <c r="C630">
        <f>HYPERLINK("https://github.com/JabRef/jabref/blob/master/.jbang/JabSrvLauncher.java")</f>
        <v/>
      </c>
      <c r="D630" t="inlineStr">
        <is>
          <t>The provided Java application `jabsrv` serves BibTeX files using JabRef. It uses various dependencies such as `jablib`, `picocli`, Jackson annotations, Caffeine cache, Guava libraries, Unirest modules Gson, CiteProc-Java, Picocli, Servlet API, Jakarta WS RS API, Jakarta Validation API, AppDirs, and Commons libraries to handle</t>
        </is>
      </c>
      <c r="E630" t="n">
        <v>0.0042</v>
      </c>
      <c r="F630" t="n">
        <v>0.0755</v>
      </c>
      <c r="G630" t="n">
        <v>0.1293</v>
      </c>
      <c r="H630" t="inlineStr">
        <is>
          <t>Manages BibTeX file serving with JabRef using Java and various dependencies. Complexity is high due to extensive library integration.</t>
        </is>
      </c>
      <c r="I630" t="n">
        <v>0.0102</v>
      </c>
      <c r="J630" t="n">
        <v>0.0741</v>
      </c>
      <c r="K630" t="n">
        <v>0.1099</v>
      </c>
      <c r="L630" t="inlineStr">
        <is>
          <t>The provided Java code defines a command-line tool `jabsrv` that serves BibTeX files using JabRef. It uses various libraries such as Picocli for parsing command-line arguments, Jackson annotations for JSON processing, Caffeine for caching, Guava for utility functions, Unirest for HTTP requests, CiteProc-Java for citation formatting, Servlet API for web server functionality, Jakarta</t>
        </is>
      </c>
      <c r="M630" t="n">
        <v>0</v>
      </c>
      <c r="N630" t="n">
        <v>0.0312</v>
      </c>
      <c r="O630" t="n">
        <v>0.04</v>
      </c>
    </row>
    <row r="631">
      <c r="A631" t="inlineStr">
        <is>
          <t>jabref</t>
        </is>
      </c>
      <c r="B631" t="inlineStr">
        <is>
          <t>.jbang/CheckoutPR.java</t>
        </is>
      </c>
      <c r="C631">
        <f>HYPERLINK("https://github.com/JabRef/jabref/blob/master/.jbang/CheckoutPR.java")</f>
        <v/>
      </c>
      <c r="D631" t="inlineStr">
        <is>
          <t>The provided Java code is a script that uses JGit to clone a Git repository from GitHub and then checks out all pull requests for that repository. It utilizes the `GitHub` API by Kohsuke Kawaguchi's library to interact with GitHub repositories. The script retrieves all open pull requests in descending order based on their creation date and clones each one into a separate directory within the current working directory.</t>
        </is>
      </c>
      <c r="E631" t="n">
        <v>0.0026</v>
      </c>
      <c r="F631" t="n">
        <v>0.0256</v>
      </c>
      <c r="G631" t="n">
        <v>0.0709</v>
      </c>
      <c r="H631" t="inlineStr">
        <is>
          <t>The repository contains backend software components with complexity O(N), implementing core algorithms. The code size is 1000 lines.</t>
        </is>
      </c>
      <c r="I631" t="n">
        <v>0.0128</v>
      </c>
      <c r="J631" t="n">
        <v>0.2222</v>
      </c>
      <c r="K631" t="n">
        <v>0.284</v>
      </c>
      <c r="L631" t="inlineStr">
        <is>
          <t>The `CheckoutPR` Java application uses the GitHub API to fetch pull requests from a specified repository and checks out the latest changes for each open pull request. It leverages JGit for Git operations and processes issues based on their state. The application is designed to be run as a standalone script using JBang, which handles dependencies and execution environment setup.</t>
        </is>
      </c>
      <c r="M631" t="n">
        <v>0.003</v>
      </c>
      <c r="N631" t="n">
        <v>0.0294</v>
      </c>
      <c r="O631" t="n">
        <v>0.07580000000000001</v>
      </c>
    </row>
    <row r="632">
      <c r="A632" t="inlineStr">
        <is>
          <t>jabref</t>
        </is>
      </c>
      <c r="B632" t="inlineStr">
        <is>
          <t>.jbang/JabLsLauncher.java</t>
        </is>
      </c>
      <c r="C632">
        <f>HYPERLINK("https://github.com/JabRef/jabref/blob/master/.jbang/JabLsLauncher.java")</f>
        <v/>
      </c>
      <c r="D632" t="inlineStr">
        <is>
          <t>The provided code is a JBang script that starts a Bibtex Language Server (LSP). It includes dependencies on various Java libraries such as JabLib, Picocli, Jackson Annotations, Apache Commons Lang3, Log4j to SLF4J, Eclipse LSP4J, SLF4J API, TinyLog, and more. The script also specifies runtime options and repositories for</t>
        </is>
      </c>
      <c r="E632" t="n">
        <v>0.0037</v>
      </c>
      <c r="F632" t="n">
        <v>0.0351</v>
      </c>
      <c r="G632" t="n">
        <v>0.0413</v>
      </c>
      <c r="H632" t="inlineStr">
        <is>
          <t>Manages and processes BibTeX files using Java libraries. Complexity is O(N) due to processing large datasets. Comments explain implementation details. Initial codebase commit. Code size is 1000 lines.</t>
        </is>
      </c>
      <c r="I632" t="n">
        <v>0.0067</v>
      </c>
      <c r="J632" t="n">
        <v>0.0541</v>
      </c>
      <c r="K632" t="n">
        <v>0.15</v>
      </c>
      <c r="L632" t="inlineStr">
        <is>
          <t>The code initializes a BibTeX Language Server (BLS), which provides features like syntax highlighting, autocompletion, and documentation lookup for BibTeX files using Java and related libraries. It leverages JabLib, Picocli, Jackson annotations, Apache Commons Lang3, Log4j, LSP4J, SLF4J, and TinyLog for various functionalities. The server supports real-time</t>
        </is>
      </c>
      <c r="M632" t="n">
        <v>0.0039</v>
      </c>
      <c r="N632" t="n">
        <v>0.0357</v>
      </c>
      <c r="O632" t="n">
        <v>0.08400000000000001</v>
      </c>
    </row>
    <row r="633">
      <c r="A633" t="inlineStr">
        <is>
          <t>jabref</t>
        </is>
      </c>
      <c r="B633" t="inlineStr">
        <is>
          <t>jablib/src/jmh/java/org/jabref/benchmarks/Benchmarks.java</t>
        </is>
      </c>
      <c r="C633">
        <f>HYPERLINK("https://github.com/JabRef/jabref/blob/master/jablib/src/jmh/java/org/jabref/benchmarks/Benchmarks.java")</f>
        <v/>
      </c>
      <c r="D633" t="inlineStr">
        <is>
          <t>The provided Java code is part of a JabRef project, which is a popular bibliographic reference manager for managing academic literature. The code appears to be related to benchmarking or performance testing within the JabRef application. It includes classes such as `BibDatabaseWriter`, `BibWriter`, and various preferences settings like `FilePreferences` and `CitationKeyPatternPreferences`. The complexity is O</t>
        </is>
      </c>
      <c r="E633" t="n">
        <v>0.0033</v>
      </c>
      <c r="F633" t="n">
        <v>0.0317</v>
      </c>
      <c r="G633" t="n">
        <v>0.07870000000000001</v>
      </c>
      <c r="H633" t="inlineStr">
        <is>
          <t>The code in this package is part of a backend system for JabRef, which handles various file operations, parsing BibTeX files, formatting citations, and managing preferences. The complexity is high due to its extensive functionality, with multiple classes and methods involved in different aspects of the application.</t>
        </is>
      </c>
      <c r="I633" t="n">
        <v>0.0039</v>
      </c>
      <c r="J633" t="n">
        <v>0.1091</v>
      </c>
      <c r="K633" t="n">
        <v>0.1261</v>
      </c>
      <c r="L633" t="inlineStr">
        <is>
          <t>This Java package contains benchmarking tools for JabRef's BibTeX export and import functionalities. It includes methods for parsing BibTeX files, formatting fields like HTML to LaTeX, and writing databases in various formats. The code is designed to measure performance and ensure compatibility across different operating systems and preferences settings.</t>
        </is>
      </c>
      <c r="M633" t="n">
        <v>0.0045</v>
      </c>
      <c r="N633" t="n">
        <v>0.1034</v>
      </c>
      <c r="O633" t="n">
        <v>0.08260000000000001</v>
      </c>
    </row>
    <row r="634">
      <c r="A634" t="inlineStr">
        <is>
          <t>jabref</t>
        </is>
      </c>
      <c r="B634" t="inlineStr">
        <is>
          <t>jablib/src/main/java/module-info.java</t>
        </is>
      </c>
      <c r="C634">
        <f>HYPERLINK("https://github.com/JabRef/jabref/blob/master/jablib/src/main/java/module-info.java")</f>
        <v/>
      </c>
      <c r="D634" t="inlineStr">
        <is>
          <t>The provided Java code defines a module named `org.jabref.jablib` that exports various classes related to JabRef's model, logic, search functionalities, entry fields, preferences, importers, exporters, file formats, journals, localization, networking, operating system utilities, citation key patterns, quality checks, shared preferences, utility functions, I/O operations, and XMP handling for managing bibli</t>
        </is>
      </c>
      <c r="E634" t="n">
        <v>0.0044</v>
      </c>
      <c r="F634" t="n">
        <v>0.0968</v>
      </c>
      <c r="G634" t="n">
        <v>0.082</v>
      </c>
      <c r="H634" t="inlineStr">
        <is>
          <t>Manages JabRef's internal data structures and logic for managing bibliographic databases. Complexity is high due to extensive handling of various entry types and search functionalities.</t>
        </is>
      </c>
      <c r="I634" t="n">
        <v>0.0076</v>
      </c>
      <c r="J634" t="n">
        <v>0.1176</v>
      </c>
      <c r="K634" t="n">
        <v>0.0515</v>
      </c>
      <c r="L634" t="inlineStr">
        <is>
          <t>The provided Java code defines a module named `org.jabref.jablib` that exports several packages related to JabRef's model, logic, search, entry fields, preferences, importers, exporters, journals, localization, networking, operating system utilities, citation consistency checks, shared preferences, utility functions, I/O operations, XMP handling, and database management. The code is designed to support</t>
        </is>
      </c>
      <c r="M634" t="n">
        <v>0.0044</v>
      </c>
      <c r="N634" t="n">
        <v>0.0968</v>
      </c>
      <c r="O634" t="n">
        <v>0.082</v>
      </c>
    </row>
    <row r="635">
      <c r="A635" t="inlineStr">
        <is>
          <t>jabref</t>
        </is>
      </c>
      <c r="B635" t="inlineStr">
        <is>
          <t>jablib/src/main/java/org/jabref/logic/FilePreferences.java</t>
        </is>
      </c>
      <c r="C635">
        <f>HYPERLINK("https://github.com/JabRef/jabref/blob/master/jablib/src/main/java/org/jabref/logic/FilePreferences.java")</f>
        <v/>
      </c>
      <c r="D635" t="inlineStr">
        <is>
          <t>The `FilePreferences` class in the `org.jabref.logic` package manages preferences related to file handling in JabRef, such as storing files relative to the BibTeX file, renaming files automatically on changes, and specifying default filename patterns. It uses JavaFX properties for managing these settings and provides methods to get and set their values. The class is part of the larger JabRef application designed for</t>
        </is>
      </c>
      <c r="E635" t="n">
        <v>0.0029</v>
      </c>
      <c r="F635" t="n">
        <v>0.0278</v>
      </c>
      <c r="G635" t="n">
        <v>0.0746</v>
      </c>
      <c r="H635" t="inlineStr">
        <is>
          <t>Manages file preferences for JabRef, including user/host information, main file directory, options to store relative paths, automatic renaming on changes, and filename patterns.</t>
        </is>
      </c>
      <c r="I635" t="n">
        <v>0.0083</v>
      </c>
      <c r="J635" t="n">
        <v>0.0625</v>
      </c>
      <c r="K635" t="n">
        <v>0.0526</v>
      </c>
      <c r="L635" t="inlineStr">
        <is>
          <t>The `FilePreferences` class manages preferences related to handling linked files in JabRef, including storing them relative to the BibTeX file, automatically renaming files when they change, and specifying default filename patterns. It uses JavaFX properties to manage these settings and provides methods to access and modify them. The class is part of the backend software components repository and has a complexity of O(1).</t>
        </is>
      </c>
      <c r="M635" t="n">
        <v>0.0034</v>
      </c>
      <c r="N635" t="n">
        <v>0.0556</v>
      </c>
      <c r="O635" t="n">
        <v>0.1111</v>
      </c>
    </row>
    <row r="636">
      <c r="A636" t="inlineStr">
        <is>
          <t>jabref</t>
        </is>
      </c>
      <c r="B636" t="inlineStr">
        <is>
          <t>jablib/src/main/java/org/jabref/logic/UiCommand.java</t>
        </is>
      </c>
      <c r="C636">
        <f>HYPERLINK("https://github.com/JabRef/jabref/blob/master/jablib/src/main/java/org/jabref/logic/UiCommand.java")</f>
        <v/>
      </c>
      <c r="D636" t="inlineStr">
        <is>
          <t>The provided Java code defines a `UiCommand` interface with several concrete command implementations for interacting with JabRef's user interface (UI). These commands include actions like creating a blank workspace, selecting entries by keys, opening libraries, appending files or streams to the current library, focusing on the UI, and deprecated methods related to importing files via a stream. The code is marked as null-marked using JS</t>
        </is>
      </c>
      <c r="E636" t="n">
        <v>0.0028</v>
      </c>
      <c r="F636" t="n">
        <v>0.0533</v>
      </c>
      <c r="G636" t="n">
        <v>0.1095</v>
      </c>
      <c r="H636" t="inlineStr">
        <is>
          <t>The provided Java code defines an interface `UiCommand` within the `org.jabref.logic` package that represents various user commands for managing bibliographic databases. The interface includes several concrete command classes such as `BlankWorkspace`, `SelectEntryKeys`, `OpenLibraries`, `AppendFilesToCurrentLibrary`, `AppendStreamToCurrentLibrary`, `AppendBibTeXToCurrentLibrary`, and `</t>
        </is>
      </c>
      <c r="I636" t="n">
        <v>0.0049</v>
      </c>
      <c r="J636" t="n">
        <v>0.0426</v>
      </c>
      <c r="K636" t="n">
        <v>0.0455</v>
      </c>
      <c r="L636" t="inlineStr">
        <is>
          <t>The `UiCommand` interface defines a set of commands that can be executed within a JabRef application's user interface. It includes various types of commands such as creating a blank workspace, selecting entry keys, opening libraries, appending files or streams to the current library, focusing on the UI, and deprecated methods for appending BibTeX content. The implementation complexity is O(N), where N represents the number of</t>
        </is>
      </c>
      <c r="M636" t="n">
        <v>0.0028</v>
      </c>
      <c r="N636" t="n">
        <v>0.0267</v>
      </c>
      <c r="O636" t="n">
        <v>0.073</v>
      </c>
    </row>
    <row r="637">
      <c r="A637" t="inlineStr">
        <is>
          <t>jabref</t>
        </is>
      </c>
      <c r="B637" t="inlineStr">
        <is>
          <t>jablib/src/main/java/org/jabref/logic/JabRefException.java</t>
        </is>
      </c>
      <c r="C637">
        <f>HYPERLINK("https://github.com/JabRef/jabref/blob/master/jablib/src/main/java/org/jabref/logic/JabRefException.java")</f>
        <v/>
      </c>
      <c r="D637" t="inlineStr">
        <is>
          <t>The `JabRefException` class is a custom exception in the JabRef project that extends Java's built-in `Exception`. It provides additional functionality by allowing for localization of error messages through the `localizedMessage` field. The class includes several constructors to handle different scenarios, such as providing both a default message and a localized message, or including a cause throwable. The `getLocalizedMessage()` method returns</t>
        </is>
      </c>
      <c r="E637" t="n">
        <v>0.0036</v>
      </c>
      <c r="F637" t="n">
        <v>0.0571</v>
      </c>
      <c r="G637" t="n">
        <v>0.07580000000000001</v>
      </c>
      <c r="H637" t="inlineStr">
        <is>
          <t>Manages exceptions in JabRef applications with logging capabilities.</t>
        </is>
      </c>
      <c r="I637" t="n">
        <v>0</v>
      </c>
      <c r="J637" t="n">
        <v>0</v>
      </c>
      <c r="K637" t="n">
        <v>0</v>
      </c>
      <c r="L637" t="inlineStr">
        <is>
          <t>This Java class `JabRefException` is a custom exception type designed for use within the JabRef application. It extends the standard `java.lang.Exception` class and provides additional functionality by allowing for localization messages. The constructor overloads allow setting both a generic error message and a localized version of that message, which can be useful for internationalization support. The class includes logging for debugging purposes using SL</t>
        </is>
      </c>
      <c r="M637" t="n">
        <v>0.0037</v>
      </c>
      <c r="N637" t="n">
        <v>0.08110000000000001</v>
      </c>
      <c r="O637" t="n">
        <v>0.1103</v>
      </c>
    </row>
    <row r="638">
      <c r="A638" t="inlineStr">
        <is>
          <t>jabref</t>
        </is>
      </c>
      <c r="B638" t="inlineStr">
        <is>
          <t>jablib/src/main/java/org/jabref/logic/InternalPreferences.java</t>
        </is>
      </c>
      <c r="C638">
        <f>HYPERLINK("https://github.com/JabRef/jabref/blob/master/jablib/src/main/java/org/jabref/logic/InternalPreferences.java")</f>
        <v/>
      </c>
      <c r="D638" t="inlineStr">
        <is>
          <t>The `InternalPreferences` class in the `org.jabref.logic` package manages various preferences for JabRef, including ignored versions, version check status, last exported path, user/host information, and memory stick mode. It uses JavaFX properties to encapsulate these settings and provides methods to get and set their values. The complexity is O(1) as it involves simple property operations.</t>
        </is>
      </c>
      <c r="E638" t="n">
        <v>0.0034</v>
      </c>
      <c r="F638" t="n">
        <v>0.0303</v>
      </c>
      <c r="G638" t="n">
        <v>0.0794</v>
      </c>
      <c r="H638" t="inlineStr">
        <is>
          <t>Manages JabRef's internal preferences, including ignored versions, version check status, last exported path, user/host information, and memory stick mode.</t>
        </is>
      </c>
      <c r="I638" t="n">
        <v>0.0102</v>
      </c>
      <c r="J638" t="n">
        <v>0.06900000000000001</v>
      </c>
      <c r="K638" t="n">
        <v>0.0549</v>
      </c>
      <c r="L638" t="inlineStr">
        <is>
          <t>The `InternalPreferences` class manages various settings for JabRef's internal preferences, including ignoring specific versions, enabling/disabling version checks, specifying the last exported preferences path, storing the user and host information, and setting memory stick mode. It uses JavaFX properties to encapsulate these settings and provides methods to access and modify them. The class is part of the backend software components in the JabRef project</t>
        </is>
      </c>
      <c r="M638" t="n">
        <v>0.0034</v>
      </c>
      <c r="N638" t="n">
        <v>0.0274</v>
      </c>
      <c r="O638" t="n">
        <v>0.1111</v>
      </c>
    </row>
    <row r="639">
      <c r="A639" t="inlineStr">
        <is>
          <t>jabref</t>
        </is>
      </c>
      <c r="B639" t="inlineStr">
        <is>
          <t>jablib/src/main/java/org/jabref/logic/LibraryPreferences.java</t>
        </is>
      </c>
      <c r="C639">
        <f>HYPERLINK("https://github.com/JabRef/jabref/blob/master/jablib/src/main/java/org/jabref/logic/LibraryPreferences.java")</f>
        <v/>
      </c>
      <c r="D639" t="inlineStr">
        <is>
          <t>The `LibraryPreferences` class in the `org.jabref.logic` package manages various preferences for JabRef, such as the default BibTeX database mode, whether to reformat on save, automatic saving, adding imported entries, and grouping them under a specific name. It uses JavaFX properties to encapsulate these settings, allowing for easy access and modification through getter methods. The constructor initializes these properties</t>
        </is>
      </c>
      <c r="E639" t="n">
        <v>0.0031</v>
      </c>
      <c r="F639" t="n">
        <v>0.0294</v>
      </c>
      <c r="G639" t="n">
        <v>0.0769</v>
      </c>
      <c r="H639" t="inlineStr">
        <is>
          <t>Manages library preferences for BibTeX databases, including settings for database mode, reformatting on save, automatic saving, adding imported entries, and group name for added entries.</t>
        </is>
      </c>
      <c r="I639" t="n">
        <v>0.0076</v>
      </c>
      <c r="J639" t="n">
        <v>0.0606</v>
      </c>
      <c r="K639" t="n">
        <v>0.0515</v>
      </c>
      <c r="L639" t="inlineStr">
        <is>
          <t>The `LibraryPreferences` class manages various preferences for JabRef's library management system, including the default BibTeX database mode, whether to automatically reformat entries upon saving, whether to enable automatic saves, whether to add imported entries to the current library, and the group name for added imported entries. The class uses JavaFX properties to encapsulate these settings and provides methods to get and set their values.</t>
        </is>
      </c>
      <c r="M639" t="n">
        <v>0.0028</v>
      </c>
      <c r="N639" t="n">
        <v>0.0274</v>
      </c>
      <c r="O639" t="n">
        <v>0.0735</v>
      </c>
    </row>
    <row r="640">
      <c r="A640" t="inlineStr">
        <is>
          <t>jabref</t>
        </is>
      </c>
      <c r="B640" t="inlineStr">
        <is>
          <t>jablib/src/main/java/org/jabref/logic/UiMessageHandler.java</t>
        </is>
      </c>
      <c r="C640">
        <f>HYPERLINK("https://github.com/JabRef/jabref/blob/master/jablib/src/main/java/org/jabref/logic/UiMessageHandler.java")</f>
        <v/>
      </c>
      <c r="D640" t="inlineStr">
        <is>
          <t>The `UiMessageHandler` interface in the JabRef project defines a method for processing UI-related commands. It takes a list of `UiCommand` objects as input and is intended to be used by both CLI (command-line interface) and remote systems to communicate with the user interface. The complexity of this implementation is O(N), where N represents the number of commands being processed.</t>
        </is>
      </c>
      <c r="E640" t="n">
        <v>0.0031</v>
      </c>
      <c r="F640" t="n">
        <v>0.0571</v>
      </c>
      <c r="G640" t="n">
        <v>0.1527</v>
      </c>
      <c r="H640" t="inlineStr">
        <is>
          <t>The `UiMessageHandler` interface in the specified Java package is designed to manage and execute UI-related commands from both CLI (command line interface) and remote sources. It provides a method `handleUiCommands` that takes a list of `UiCommand` objects as input and processes them accordingly. This interface serves as a central point for handling user interactions within the JabRef application's backend logic.</t>
        </is>
      </c>
      <c r="I640" t="n">
        <v>0.004</v>
      </c>
      <c r="J640" t="n">
        <v>0.0571</v>
      </c>
      <c r="K640" t="n">
        <v>0.1136</v>
      </c>
      <c r="L640" t="inlineStr">
        <is>
          <t>The `UiMessageHandler` interface defines a contract for processing UI-related commands, whether they come from the command line (CLI) or remotely via a server. It provides a method `handleUiCommands` that takes a list of `UiCommand` objects as input and processes them accordingly. The implementation details are handled by other classes like `RemoteMessageHandler`.</t>
        </is>
      </c>
      <c r="M640" t="n">
        <v>0.0036</v>
      </c>
      <c r="N640" t="n">
        <v>0.0333</v>
      </c>
      <c r="O640" t="n">
        <v>0.0813</v>
      </c>
    </row>
    <row r="641">
      <c r="A641" t="inlineStr">
        <is>
          <t>jabref</t>
        </is>
      </c>
      <c r="B641" t="inlineStr">
        <is>
          <t>jablib/src/main/java/org/jabref/logic/WatchServiceUnavailableException.java</t>
        </is>
      </c>
      <c r="C641">
        <f>HYPERLINK("https://github.com/JabRef/jabref/blob/master/jablib/src/main/java/org/jabref/logic/WatchServiceUnavailableException.java")</f>
        <v/>
      </c>
      <c r="D641" t="inlineStr">
        <is>
          <t>The `WatchServiceUnavailableException` is a custom exception class in the `org.jabref.logic` package that extends the base `JabRefException`. It provides constructors to initialize exceptions with messages, localized messages, and causes. The complexity of this implementation is O(1), as it involves basic constructor initialization without any loops or recursive operations. This class is used to handle specific exceptions related to</t>
        </is>
      </c>
      <c r="E641" t="n">
        <v>0.0038</v>
      </c>
      <c r="F641" t="n">
        <v>0.0588</v>
      </c>
      <c r="G641" t="n">
        <v>0.155</v>
      </c>
      <c r="H641" t="inlineStr">
        <is>
          <t>This Java package contains a custom exception class `WatchServiceUnavailableException` that extends `JabRefException`. It is used to handle exceptions related to unavailable watch services in the JabRef application. The complexity is linear (O(N)) due to potential nested structures or loops within the implementation.</t>
        </is>
      </c>
      <c r="I641" t="n">
        <v>0.0044</v>
      </c>
      <c r="J641" t="n">
        <v>0.0784</v>
      </c>
      <c r="K641" t="n">
        <v>0.0877</v>
      </c>
      <c r="L641" t="inlineStr">
        <is>
          <t>This Java class `WatchServiceUnavailableException` is a custom exception specifically designed for handling situations where the system's watch service is unavailable during operation. It inherits from the base `JabRefException`, which suggests that it may be part of a larger application framework related to reference management tools like JabRef. The constructor allows for initialization with a detailed error message, a localized version of the message, and</t>
        </is>
      </c>
      <c r="M641" t="n">
        <v>0.0034</v>
      </c>
      <c r="N641" t="n">
        <v>0.0548</v>
      </c>
      <c r="O641" t="n">
        <v>0.1103</v>
      </c>
    </row>
    <row r="642">
      <c r="A642" t="inlineStr">
        <is>
          <t>jabref</t>
        </is>
      </c>
      <c r="B642" t="inlineStr">
        <is>
          <t>jablib/src/main/java/org/jabref/logic/citation/SearchCitationsRelationsService.java</t>
        </is>
      </c>
      <c r="C642">
        <f>HYPERLINK("https://github.com/JabRef/jabref/blob/master/jablib/src/main/java/org/jabref/logic/citation/SearchCitationsRelationsService.java")</f>
        <v/>
      </c>
      <c r="D642" t="inlineStr">
        <is>
          <t>The provided Java code is part of a JabRef project, which is a reference manager for BibTeX files. The code defines classes related to citation management in JabRef. It includes:
- `BibEntryCitationsAndReferencesRepository` and its shell implementation.
- A class for fetching citation counts using different types of fetchers (e.g., Google Scholar).
- Preferences for AI services, field</t>
        </is>
      </c>
      <c r="E642" t="n">
        <v>0.0032</v>
      </c>
      <c r="F642" t="n">
        <v>0.0317</v>
      </c>
      <c r="G642" t="n">
        <v>0.0775</v>
      </c>
      <c r="H642" t="inlineStr">
        <is>
          <t>Manages citation-related operations in JabRef using JavaFX properties, AI services, BibTeX field preferences, import format preferences, importer preferences, citation count fetchers, and citation key pattern preferences. Complexity is O(N) due to potential processing of large datasets.</t>
        </is>
      </c>
      <c r="I642" t="n">
        <v>0.0052</v>
      </c>
      <c r="J642" t="n">
        <v>0.0435</v>
      </c>
      <c r="K642" t="n">
        <v>0.0926</v>
      </c>
      <c r="L642" t="inlineStr">
        <is>
          <t>The code is part of a JabRef application that provides citation management functionalities. It includes classes for handling citations and references, fetching citation counts using various fetchers, and managing preferences related to citation keys and import formats. The code uses JavaFX properties for dynamic updates and integrates AI services for enhanced citation analysis capabilities.</t>
        </is>
      </c>
      <c r="M642" t="n">
        <v>0.0034</v>
      </c>
      <c r="N642" t="n">
        <v>0.0645</v>
      </c>
      <c r="O642" t="n">
        <v>0.0794</v>
      </c>
    </row>
    <row r="643">
      <c r="A643" t="inlineStr">
        <is>
          <t>jabref</t>
        </is>
      </c>
      <c r="B643" t="inlineStr">
        <is>
          <t>jablib/src/main/java/org/jabref/logic/citation/repository/MVStoreBibEntryRelationRepository.java</t>
        </is>
      </c>
      <c r="C643">
        <f>HYPERLINK("https://github.com/JabRef/jabref/blob/master/jablib/src/main/java/org/jabref/logic/citation/repository/MVStoreBibEntryRelationRepository.java")</f>
        <v/>
      </c>
      <c r="D643" t="inlineStr">
        <is>
          <t>The `MVStoreBibEntryRelationRepository` class in the `org.jabref.logic.citation.repository` package provides functionality for managing relationships between BibEntry objects using an MVStore database. The class includes methods for adding, removing, and querying these relationships. It utilizes JavaFX properties for data binding and employs Google Guava's `VisibleForTesting` annotation for testing purposes. The implementation lever</t>
        </is>
      </c>
      <c r="E643" t="n">
        <v>0.0045</v>
      </c>
      <c r="F643" t="n">
        <v>0.0645</v>
      </c>
      <c r="G643" t="n">
        <v>0.124</v>
      </c>
      <c r="H643" t="inlineStr">
        <is>
          <t>Manages BibEntry relationships using an MVStore database.</t>
        </is>
      </c>
      <c r="I643" t="n">
        <v>0</v>
      </c>
      <c r="J643" t="n">
        <v>0</v>
      </c>
      <c r="K643" t="n">
        <v>0.0633</v>
      </c>
      <c r="L643" t="inlineStr">
        <is>
          <t>The `MVStoreBibEntryRelationRepository` class manages relationships between BibEntry objects using an MVStore database. It provides methods to add, retrieve, and delete these relationships efficiently. The class includes features such as automatic storage of relation types and timestamps, ensuring data integrity and performance through use of MVStore's efficient storage capabilities.</t>
        </is>
      </c>
      <c r="M643" t="n">
        <v>0.0038</v>
      </c>
      <c r="N643" t="n">
        <v>0.0351</v>
      </c>
      <c r="O643" t="n">
        <v>0.0833</v>
      </c>
    </row>
    <row r="644">
      <c r="A644" t="inlineStr">
        <is>
          <t>jabref</t>
        </is>
      </c>
      <c r="B644" t="inlineStr">
        <is>
          <t>jablib/src/main/java/org/jabref/logic/citation/repository/BibEntryCitationsAndReferencesRepository.java</t>
        </is>
      </c>
      <c r="C644">
        <f>HYPERLINK("https://github.com/JabRef/jabref/blob/master/jablib/src/main/java/org/jabref/logic/citation/repository/BibEntryCitationsAndReferencesRepository.java")</f>
        <v/>
      </c>
      <c r="D644" t="inlineStr">
        <is>
          <t>The `BibEntryCitationsAndReferencesRepository` interface provides methods for managing citation relationships between bibliographic entries in JabRef. It includes operations to add citations (entries that cite another), retrieve citations, check if there are citations, determine if citations can be updated, manage references (entries cited by another), retrieve references, check if there are references, determine if references can be updated, and close</t>
        </is>
      </c>
      <c r="E644" t="n">
        <v>0.0031</v>
      </c>
      <c r="F644" t="n">
        <v>0.0303</v>
      </c>
      <c r="G644" t="n">
        <v>0.0385</v>
      </c>
      <c r="H644" t="inlineStr">
        <is>
          <t>Manages citation relationships between BibEntries in JabRef. Provides methods to insert and retrieve cited entries for each entry, check if citations exist or can be updated, and manage references similarly. Includes a `close` method to finalize operations. Complexity is O(N) due to potential list operations.</t>
        </is>
      </c>
      <c r="I644" t="n">
        <v>0.0041</v>
      </c>
      <c r="J644" t="n">
        <v>0.037</v>
      </c>
      <c r="K644" t="n">
        <v>0.0427</v>
      </c>
      <c r="L644" t="inlineStr">
        <is>
          <t>The `BibEntryCitationsAndReferencesRepository` interface provides methods for managing citation relationships between bibliographic entries in JabRef. It includes functionalities such as adding and retrieving cited and citing references, checking if these relationships exist, determining updateability, and closing the repository. The implementation complexity is O(N), where N represents the number of entries involved in the operations.</t>
        </is>
      </c>
      <c r="M644" t="n">
        <v>0.0035</v>
      </c>
      <c r="N644" t="n">
        <v>0.0645</v>
      </c>
      <c r="O644" t="n">
        <v>0.12</v>
      </c>
    </row>
    <row r="645">
      <c r="A645" t="inlineStr">
        <is>
          <t>jabref</t>
        </is>
      </c>
      <c r="B645" t="inlineStr">
        <is>
          <t>jablib/src/main/java/org/jabref/logic/citation/repository/BibEntryHashSetSerializer.java</t>
        </is>
      </c>
      <c r="C645">
        <f>HYPERLINK("https://github.com/JabRef/jabref/blob/master/jablib/src/main/java/org/jabref/logic/citation/repository/BibEntryHashSetSerializer.java")</f>
        <v/>
      </c>
      <c r="D645" t="inlineStr">
        <is>
          <t>The `BibEntryHashSetSerializer` class is a custom data type in Java that serializes and deserializes `LinkedHashSet&lt;BibEntry&gt;` objects using H2's MVStore library. It uses another serializer (`BibEntrySerializer`) to handle individual `BibEntry` objects within the set. The complexity of serialization/deserialization operations is O(N), where N is the number of</t>
        </is>
      </c>
      <c r="E645" t="n">
        <v>0.004</v>
      </c>
      <c r="F645" t="n">
        <v>0.0345</v>
      </c>
      <c r="G645" t="n">
        <v>0.0847</v>
      </c>
      <c r="H645" t="inlineStr">
        <is>
          <t>Manages serialization and deserialization of `LinkedHashSet` objects containing `BibEntry` instances using H2 MVStore data types.</t>
        </is>
      </c>
      <c r="I645" t="n">
        <v>0.0132</v>
      </c>
      <c r="J645" t="n">
        <v>0.08699999999999999</v>
      </c>
      <c r="K645" t="n">
        <v>0.1149</v>
      </c>
      <c r="L645" t="inlineStr">
        <is>
          <t>The `BibEntryHashSetSerializer` class is designed to serialize and deserialize `LinkedHashSet&lt;BibEntry&gt;` objects using H2's MVStore framework. It utilizes a custom `BasicDataType` for handling individual `BibEntry` objects within the set. The constructor takes parameters related to BibTeX entry types, import format preferences, and field preferences to configure the serialization process. This allows for efficient</t>
        </is>
      </c>
      <c r="M645" t="n">
        <v>0.0042</v>
      </c>
      <c r="N645" t="n">
        <v>0.0323</v>
      </c>
      <c r="O645" t="n">
        <v>0.121</v>
      </c>
    </row>
    <row r="646">
      <c r="A646" t="inlineStr">
        <is>
          <t>jabref</t>
        </is>
      </c>
      <c r="B646" t="inlineStr">
        <is>
          <t>jablib/src/main/java/org/jabref/logic/citation/repository/BibEntryCitationsAndReferencesRepositoryShell.java</t>
        </is>
      </c>
      <c r="C646">
        <f>HYPERLINK("https://github.com/JabRef/jabref/blob/master/jablib/src/main/java/org/jabref/logic/citation/repository/BibEntryCitationsAndReferencesRepositoryShell.java")</f>
        <v/>
      </c>
      <c r="D646" t="inlineStr">
        <is>
          <t>The `BibEntryCitationsAndReferencesRepositoryShell` class is a Java implementation that uses the MVStore library to manage citation and reference data for BibTeX entries in JabRef. It provides methods to fetch citations and references based on various citation types (e.g., Web of Science, PubMed) using the specified import format preferences and field preferences. The class also includes properties for managing these preferences and</t>
        </is>
      </c>
      <c r="E646" t="n">
        <v>0.003</v>
      </c>
      <c r="F646" t="n">
        <v>0.058</v>
      </c>
      <c r="G646" t="n">
        <v>0.1136</v>
      </c>
      <c r="H646" t="inlineStr">
        <is>
          <t>Manages citation and reference data for BibTeX entries using MVStore technology. Complexity is O(N) due to potential operations on large datasets. Contains backend logic for handling citations and references in JabRef applications.</t>
        </is>
      </c>
      <c r="I646" t="n">
        <v>0.0058</v>
      </c>
      <c r="J646" t="n">
        <v>0.09760000000000001</v>
      </c>
      <c r="K646" t="n">
        <v>0.09619999999999999</v>
      </c>
      <c r="L646" t="inlineStr">
        <is>
          <t>This Java class is part of a JabRef application's backend that manages citation and reference data for bibliographic entries. It uses the MVStore library for efficient storage and retrieval of citation and reference relationships between BibEntries. The class provides methods to fetch citations and references based on different citation types and formats, using preferences from `FieldPreferences` and `ImportFormatPreferences`. It also includes logging and notification services</t>
        </is>
      </c>
      <c r="M646" t="n">
        <v>0.0033</v>
      </c>
      <c r="N646" t="n">
        <v>0.0541</v>
      </c>
      <c r="O646" t="n">
        <v>0.1095</v>
      </c>
    </row>
    <row r="647">
      <c r="A647" t="inlineStr">
        <is>
          <t>jabref</t>
        </is>
      </c>
      <c r="B647" t="inlineStr">
        <is>
          <t>jablib/src/main/java/org/jabref/logic/citation/repository/BibEntrySerializer.java</t>
        </is>
      </c>
      <c r="C647">
        <f>HYPERLINK("https://github.com/JabRef/jabref/blob/master/jablib/src/main/java/org/jabref/logic/citation/repository/BibEntrySerializer.java")</f>
        <v/>
      </c>
      <c r="D647" t="inlineStr">
        <is>
          <t>The `BibEntrySerializer` class is part of the JabRef project's citation repository module. It provides serialization capabilities for BibTeX entries using H2 database storage. The class implements the `BasicDataType&lt;BibEntry&gt;` interface from the H2 library to handle data types in the database. The implementation includes methods for writing BibTeX entries to a ByteBuffer and reading them back into BibEntry objects.</t>
        </is>
      </c>
      <c r="E647" t="n">
        <v>0.0037</v>
      </c>
      <c r="F647" t="n">
        <v>0.0882</v>
      </c>
      <c r="G647" t="n">
        <v>0.1154</v>
      </c>
      <c r="H647" t="inlineStr">
        <is>
          <t>This repository contains backend software components for handling BibTeX entries using H2 database technology. It includes classes for serializing BibEntries to and from disk, as well as parsing BibTeX files. The complexity is high due to the implementation of core algorithms and data structures.</t>
        </is>
      </c>
      <c r="I647" t="n">
        <v>0.0059</v>
      </c>
      <c r="J647" t="n">
        <v>0.1923</v>
      </c>
      <c r="K647" t="n">
        <v>0.2586</v>
      </c>
      <c r="L647" t="inlineStr">
        <is>
          <t>The `BibEntrySerializer` class is a part of the JabRef project's backend system, specifically designed for serializing BibTeX entries into various formats. It leverages H2 database storage capabilities to efficiently handle large datasets of bibliographic references. The class includes methods for parsing BibTeX files, writing entries to different formats, and managing entry comparisons. The implementation complexity is O(N), where N</t>
        </is>
      </c>
      <c r="M647" t="n">
        <v>0.0031</v>
      </c>
      <c r="N647" t="n">
        <v>0.029</v>
      </c>
      <c r="O647" t="n">
        <v>0.1145</v>
      </c>
    </row>
    <row r="648">
      <c r="A648" t="inlineStr">
        <is>
          <t>jabref</t>
        </is>
      </c>
      <c r="B648" t="inlineStr">
        <is>
          <t>jablib/src/main/java/org/jabref/logic/citation/repository/BibEntryRelationRepository.java</t>
        </is>
      </c>
      <c r="C648">
        <f>HYPERLINK("https://github.com/JabRef/jabref/blob/master/jablib/src/main/java/org/jabref/logic/citation/repository/BibEntryRelationRepository.java")</f>
        <v/>
      </c>
      <c r="D648" t="inlineStr">
        <is>
          <t>The `BibEntryRelationRepository` is an interface designed to manage relationships between BibEntries in JabRef. It provides methods to retrieve, add, check for the existence of entries, and determine if updates should be made based on certain criteria. The implementation complexity is O(N), indicating linear time operations relative to the number of entries involved.</t>
        </is>
      </c>
      <c r="E648" t="n">
        <v>0.0035</v>
      </c>
      <c r="F648" t="n">
        <v>0.0328</v>
      </c>
      <c r="G648" t="n">
        <v>0.0806</v>
      </c>
      <c r="H648" t="inlineStr">
        <is>
          <t>Provides a generic interface for managing relationships between BibEntries in JabRef's citation management tool. It includes methods to retrieve, add, check for existence, and determine if updates are needed for entries. Complexity is O(N), where N represents the number of entries involved.</t>
        </is>
      </c>
      <c r="I648" t="n">
        <v>0.0044</v>
      </c>
      <c r="J648" t="n">
        <v>0.0385</v>
      </c>
      <c r="K648" t="n">
        <v>0.0439</v>
      </c>
      <c r="L648" t="inlineStr">
        <is>
          <t>This Java interface defines a generic repository for managing relationships between `BibEntry` objects. It provides methods to retrieve all relations associated with a given entry, add new relations to an entry, check if a specific relation exists, and determine whether updates should be performed based on certain criteria. The implementation complexity is O(N), where N represents the number of entries involved.</t>
        </is>
      </c>
      <c r="M648" t="n">
        <v>0.0036</v>
      </c>
      <c r="N648" t="n">
        <v>0.0571</v>
      </c>
      <c r="O648" t="n">
        <v>0.1128</v>
      </c>
    </row>
    <row r="649">
      <c r="A649" t="inlineStr">
        <is>
          <t>jabref</t>
        </is>
      </c>
      <c r="B649" t="inlineStr">
        <is>
          <t>jablib/src/main/java/org/jabref/logic/l10n/LocalizationKey.java</t>
        </is>
      </c>
      <c r="C649">
        <f>HYPERLINK("https://github.com/JabRef/jabref/blob/master/jablib/src/main/java/org/jabref/logic/l10n/LocalizationKey.java")</f>
        <v/>
      </c>
      <c r="D649" t="inlineStr">
        <is>
          <t>The `LocalizationKey` class in the `org.jabref.logic.l10n` package serves as a model for translating strings into different languages. It includes a constructor that takes a plain string key and escapes certain characters (space, #, !, =, :) to ensure compatibility with property files used by Java applications. This ensures that special characters do not interfere with how these keys are interpreted</t>
        </is>
      </c>
      <c r="E649" t="n">
        <v>0.0036</v>
      </c>
      <c r="F649" t="n">
        <v>0.0299</v>
      </c>
      <c r="G649" t="n">
        <v>0.1136</v>
      </c>
      <c r="H649" t="inlineStr">
        <is>
          <t>Manages localization keys by escaping special characters that cannot be used in property files.</t>
        </is>
      </c>
      <c r="I649" t="n">
        <v>0</v>
      </c>
      <c r="J649" t="n">
        <v>0</v>
      </c>
      <c r="K649" t="n">
        <v>0.0581</v>
      </c>
      <c r="L649" t="inlineStr">
        <is>
          <t>The `LocalizationKey` class models a localization key used for translating text into different languages. It ensures that the key can be safely used as a property key by escaping certain characters that might cause issues in property files. The constructor takes a plain key without any escaping and constructs an escaped version suitable for use in property files.</t>
        </is>
      </c>
      <c r="M649" t="n">
        <v>0.0031</v>
      </c>
      <c r="N649" t="n">
        <v>0.0303</v>
      </c>
      <c r="O649" t="n">
        <v>0.0769</v>
      </c>
    </row>
    <row r="650">
      <c r="A650" t="inlineStr">
        <is>
          <t>jabref</t>
        </is>
      </c>
      <c r="B650" t="inlineStr">
        <is>
          <t>jablib/src/main/java/org/jabref/logic/l10n/LocalizationKeyParams.java</t>
        </is>
      </c>
      <c r="C650">
        <f>HYPERLINK("https://github.com/JabRef/jabref/blob/master/jablib/src/main/java/org/jabref/logic/l10n/LocalizationKeyParams.java")</f>
        <v/>
      </c>
      <c r="D650" t="inlineStr">
        <is>
          <t>The `LocalizationKeyParams` class in the `org.jabref.logic.l10n` package is designed to handle localization keys with optional parameters. It includes:
- A constructor that takes a `key` string and variable-length parameter array (`params`). The key is converted from a string using `LocalizationKey.fromKey`, and the parameters are stored as a list.
- An exception is thrown</t>
        </is>
      </c>
      <c r="E650" t="n">
        <v>0.0035</v>
      </c>
      <c r="F650" t="n">
        <v>0.0312</v>
      </c>
      <c r="G650" t="n">
        <v>0.08</v>
      </c>
      <c r="H650" t="inlineStr">
        <is>
          <t>Manages localization keys with up to ten parameters and replaces placeholders in translations.</t>
        </is>
      </c>
      <c r="I650" t="n">
        <v>0.0155</v>
      </c>
      <c r="J650" t="n">
        <v>0.09520000000000001</v>
      </c>
      <c r="K650" t="n">
        <v>0.0588</v>
      </c>
      <c r="L650" t="inlineStr">
        <is>
          <t>The `LocalizationKeyParams` class manages localization keys and their associated parameters. It initializes with a key and any number of string parameters up to ten. The `replacePlaceholders` method replaces placeholders in the key's text with corresponding parameter values using regular expressions.</t>
        </is>
      </c>
      <c r="M650" t="n">
        <v>0.0046</v>
      </c>
      <c r="N650" t="n">
        <v>0.0408</v>
      </c>
      <c r="O650" t="n">
        <v>0.0893</v>
      </c>
    </row>
    <row r="651">
      <c r="A651" t="inlineStr">
        <is>
          <t>jabref</t>
        </is>
      </c>
      <c r="B651" t="inlineStr">
        <is>
          <t>jablib/src/main/java/org/jabref/logic/l10n/Localization.java</t>
        </is>
      </c>
      <c r="C651">
        <f>HYPERLINK("https://github.com/JabRef/jabref/blob/master/jablib/src/main/java/org/jabref/logic/l10n/Localization.java")</f>
        <v/>
      </c>
      <c r="D651" t="inlineStr">
        <is>
          <t>The provided Java code defines a class `L10NProvider` within the package `org.jabref.logic.l10n`. It handles localization (i.e., translating text into different languages) for messages and menu entries in JabRef, a reference management application. The class uses Java's ResourceBundle system to load translations from property files based on the user's locale settings. Messages are typically stored</t>
        </is>
      </c>
      <c r="E651" t="n">
        <v>0.0034</v>
      </c>
      <c r="F651" t="n">
        <v>0.0294</v>
      </c>
      <c r="G651" t="n">
        <v>0.0794</v>
      </c>
      <c r="H651" t="inlineStr">
        <is>
          <t>Manages localization resources for JabRef applications by providing methods to handle messages and menu entries based on the user's preferred language.</t>
        </is>
      </c>
      <c r="I651" t="n">
        <v>0.0091</v>
      </c>
      <c r="J651" t="n">
        <v>0.0667</v>
      </c>
      <c r="K651" t="n">
        <v>0.0538</v>
      </c>
      <c r="L651" t="inlineStr">
        <is>
          <t>The code provides localization support for messages and menu entries in JabRef by managing translations from various languages using Java's ResourceBundle class. It includes methods for loading resource bundles based on the user's locale, retrieving localized strings, and formatting them with optional parameters. The implementation uses escape sequences within property keys to store messages and handles parameter substitution when accessing these resources.</t>
        </is>
      </c>
      <c r="M651" t="n">
        <v>0.0029</v>
      </c>
      <c r="N651" t="n">
        <v>0.0556</v>
      </c>
      <c r="O651" t="n">
        <v>0.1119</v>
      </c>
    </row>
    <row r="652">
      <c r="A652" t="inlineStr">
        <is>
          <t>jabref</t>
        </is>
      </c>
      <c r="B652" t="inlineStr">
        <is>
          <t>jablib/src/main/java/org/jabref/logic/l10n/Language.java</t>
        </is>
      </c>
      <c r="C652">
        <f>HYPERLINK("https://github.com/JabRef/jabref/blob/master/jablib/src/main/java/org/jabref/logic/l10n/Language.java")</f>
        <v/>
      </c>
      <c r="D652" t="inlineStr">
        <is>
          <t>The `Language` enum in the `org.jabref.logic.l10n` package defines a list of supported languages with their names and ISO 639-1 codes. It includes methods to retrieve language information based on locale or name, compare languages by name, and provide sorted lists of languages. The complexity is O(1) for accessing individual elements but O(n log n)</t>
        </is>
      </c>
      <c r="E652" t="n">
        <v>0.0034</v>
      </c>
      <c r="F652" t="n">
        <v>0.0294</v>
      </c>
      <c r="G652" t="n">
        <v>0.0397</v>
      </c>
      <c r="H652" t="inlineStr">
        <is>
          <t>Manages language support for JabRef, providing enumeration of supported languages with their names and codes.</t>
        </is>
      </c>
      <c r="I652" t="n">
        <v>0.0132</v>
      </c>
      <c r="J652" t="n">
        <v>0.08699999999999999</v>
      </c>
      <c r="K652" t="n">
        <v>0.0575</v>
      </c>
      <c r="L652" t="inlineStr">
        <is>
          <t>The `Language` enum in the `org.jabref.logic.l10n` package defines a list of supported languages for JabRef, including their names and ISO codes. It provides methods to retrieve language details by name or locale, as well as utilities for sorting and filtering languages based on various criteria. The implementation is efficient, leveraging Java Streams for processing lists of languages.</t>
        </is>
      </c>
      <c r="M652" t="n">
        <v>0.0032</v>
      </c>
      <c r="N652" t="n">
        <v>0.0294</v>
      </c>
      <c r="O652" t="n">
        <v>0.0775</v>
      </c>
    </row>
    <row r="653">
      <c r="A653" t="inlineStr">
        <is>
          <t>jabref</t>
        </is>
      </c>
      <c r="B653" t="inlineStr">
        <is>
          <t>jablib/src/main/java/org/jabref/logic/icore/ConferenceUtils.java</t>
        </is>
      </c>
      <c r="C653">
        <f>HYPERLINK("https://github.com/JabRef/jabref/blob/master/jablib/src/main/java/org/jabref/logic/icore/ConferenceUtils.java")</f>
        <v/>
      </c>
      <c r="D653" t="inlineStr">
        <is>
          <t>The `ConferenceUtils` class provides utility methods for processing conference-related data, including extracting specific information such as year ranges from strings using regular expressions. The class includes:
- A regex pattern to find the content inside the first deepest pair of parentheses.
- A regex pattern to identify year formats like "19XX" or "20XX".
- Methods to parse and validate ordinal numbers (e.g</t>
        </is>
      </c>
      <c r="E653" t="n">
        <v>0.0029</v>
      </c>
      <c r="F653" t="n">
        <v>0.029</v>
      </c>
      <c r="G653" t="n">
        <v>0.0746</v>
      </c>
      <c r="H653" t="inlineStr">
        <is>
          <t>The `ConferenceUtils` class provides utility methods for processing conference-related data, including extracting strings from nested parentheses and matching years using regular expressions. The complexity is O(N), where N is the length of the input text being processed.</t>
        </is>
      </c>
      <c r="I653" t="n">
        <v>0.005</v>
      </c>
      <c r="J653" t="n">
        <v>0.0426</v>
      </c>
      <c r="K653" t="n">
        <v>0.0917</v>
      </c>
      <c r="L653" t="inlineStr">
        <is>
          <t>The `ConferenceUtils` class provides utility methods for processing conference-related data, including extracting strings from nested parentheses, matching year patterns, and identifying ordinal numbers. It uses regular expressions to parse input strings according to specific formats and returns results based on these patterns. The class is designed to be used in conjunction with other backend software components related to conferences.</t>
        </is>
      </c>
      <c r="M653" t="n">
        <v>0.0037</v>
      </c>
      <c r="N653" t="n">
        <v>0.0294</v>
      </c>
      <c r="O653" t="n">
        <v>0.1145</v>
      </c>
    </row>
    <row r="654">
      <c r="A654" t="inlineStr">
        <is>
          <t>jabref</t>
        </is>
      </c>
      <c r="B654" t="inlineStr">
        <is>
          <t>jablib/src/main/java/org/jabref/logic/icore/ConferenceRepository.java</t>
        </is>
      </c>
      <c r="C654">
        <f>HYPERLINK("https://github.com/JabRef/jabref/blob/master/jablib/src/main/java/org/jabref/logic/icore/ConferenceRepository.java")</f>
        <v/>
      </c>
      <c r="D654" t="inlineStr">
        <is>
          <t>The `ConferenceRankingRepository` class in the `org.jabref.logic.icore` package provides functionality for loading and storing the latest ICORE Conference Ranking Data. It uses Apache Commons CSV to parse the data from a CSV file downloaded from the ICORE Conference Ranking Portal. The class supports looking up conferences by their acronym or title using string similarity measures. If no exact match is found, it</t>
        </is>
      </c>
      <c r="E654" t="n">
        <v>0.0036</v>
      </c>
      <c r="F654" t="n">
        <v>0.0556</v>
      </c>
      <c r="G654" t="n">
        <v>0.0752</v>
      </c>
      <c r="H654" t="inlineStr">
        <is>
          <t>Manages loading and storing the latest ICORE Conference Ranking Data, allowing lookups by conference acronym or title. Uses Apache Commons CSV for parsing the data and SLF4J for logging.</t>
        </is>
      </c>
      <c r="I654" t="n">
        <v>0.0065</v>
      </c>
      <c r="J654" t="n">
        <v>0.0541</v>
      </c>
      <c r="K654" t="n">
        <v>0.099</v>
      </c>
      <c r="L654" t="inlineStr">
        <is>
          <t>This Java class, `ConferenceRankingRepository`, serves as a repository for loading and storing the latest ICORE Conference Ranking Data. It provides methods to load the data from a CSV file, retrieve conferences by their acronym or title, and handle any exceptions that may occur during these processes. The class uses Apache Commons CSV for parsing the CSV file and handles string similarity checks to find matching entries based on either</t>
        </is>
      </c>
      <c r="M654" t="n">
        <v>0.0031</v>
      </c>
      <c r="N654" t="n">
        <v>0.0519</v>
      </c>
      <c r="O654" t="n">
        <v>0.1064</v>
      </c>
    </row>
    <row r="655">
      <c r="A655" t="inlineStr">
        <is>
          <t>jabref</t>
        </is>
      </c>
      <c r="B655" t="inlineStr">
        <is>
          <t>jablib/src/main/java/org/jabref/logic/texparser/TexBibEntriesResolver.java</t>
        </is>
      </c>
      <c r="C655">
        <f>HYPERLINK("https://github.com/JabRef/jabref/blob/master/jablib/src/main/java/org/jabref/logic/texparser/TexBibEntriesResolver.java")</f>
        <v/>
      </c>
      <c r="D655" t="inlineStr">
        <is>
          <t>The `TexBibEntriesResolver` class is responsible for resolving LaTeX bibliography entries into JabRef database entries. It takes a master database, import format preferences, and a file update monitor as input. The class uses these inputs to parse LaTeX files and resolve their references to create or update entries in the JabRef database. The resolver processes each entry in the parsed results, updating the master database accordingly.</t>
        </is>
      </c>
      <c r="E655" t="n">
        <v>0.0028</v>
      </c>
      <c r="F655" t="n">
        <v>0.0274</v>
      </c>
      <c r="G655" t="n">
        <v>0.073</v>
      </c>
      <c r="H655" t="inlineStr">
        <is>
          <t>This repository contains backend software components that implement core algorithms for processing LaTeX files to extract bibliographic entries into a JabRef database. The complexity is O(N), where N represents the number of entries being processed. The implementation includes parsing LaTeX documents, resolving references, and updating the master database accordingly.</t>
        </is>
      </c>
      <c r="I655" t="n">
        <v>0.0053</v>
      </c>
      <c r="J655" t="n">
        <v>0.1724</v>
      </c>
      <c r="K655" t="n">
        <v>0.2066</v>
      </c>
      <c r="L655" t="inlineStr">
        <is>
          <t>The `TexBibEntriesResolver` class is responsible for resolving LaTeX bibliographic entries into BibTeX format using specified preferences and monitoring changes to files related to the database. It processes input from LaTeX parsers, updates the master database accordingly, and handles any errors that occur during the process. The class uses logging for debugging purposes and integrates with other parts of the JabRef application through interfaces like `ImportFormat</t>
        </is>
      </c>
      <c r="M655" t="n">
        <v>0.0028</v>
      </c>
      <c r="N655" t="n">
        <v>0.0274</v>
      </c>
      <c r="O655" t="n">
        <v>0.073</v>
      </c>
    </row>
    <row r="656">
      <c r="A656" t="inlineStr">
        <is>
          <t>jabref</t>
        </is>
      </c>
      <c r="B656" t="inlineStr">
        <is>
          <t>jablib/src/main/java/org/jabref/logic/texparser/LatexParser.java</t>
        </is>
      </c>
      <c r="C656">
        <f>HYPERLINK("https://github.com/JabRef/jabref/blob/master/jablib/src/main/java/org/jabref/logic/texparser/LatexParser.java")</f>
        <v/>
      </c>
      <c r="D656" t="inlineStr">
        <is>
          <t>The `LatexParser` interface in the `org.jabref.logic.texparser` package provides methods for parsing LaTeX files. It includes:
- A method `parse(String citeString)` for testing purposes, returning a `LatexParserResult` with a path of an empty string and line number set to 1.
- A method `parse(Path latexFile)` that parses a single LaTeX file</t>
        </is>
      </c>
      <c r="E656" t="n">
        <v>0.0037</v>
      </c>
      <c r="F656" t="n">
        <v>0.0328</v>
      </c>
      <c r="G656" t="n">
        <v>0.041</v>
      </c>
      <c r="H656" t="inlineStr">
        <is>
          <t>The code provides interfaces for parsing LaTeX files into BibTeX entries. It includes methods for parsing individual LaTeX files and lists of LaTeX files, returning either `Optional` results or `List` results depending on whether the input is a single file or multiple files. The complexity is linear with respect to the number of files being parsed.</t>
        </is>
      </c>
      <c r="I656" t="n">
        <v>0.0033</v>
      </c>
      <c r="J656" t="n">
        <v>0.0312</v>
      </c>
      <c r="K656" t="n">
        <v>0.0391</v>
      </c>
      <c r="L656" t="inlineStr">
        <is>
          <t>The `LatexParser` interface defines methods for parsing LaTeX files into BibTeX entries. It includes three primary functionalities:
1. **Parsing a Single Citation**: The `parse(String citeString)` method takes a string containing a citation and returns a `LatexParserResult`. This result includes a path (empty as citations don't have paths) and a line number (set to 1).
2</t>
        </is>
      </c>
      <c r="M656" t="n">
        <v>0.004</v>
      </c>
      <c r="N656" t="n">
        <v>0.0615</v>
      </c>
      <c r="O656" t="n">
        <v>0.07870000000000001</v>
      </c>
    </row>
    <row r="657">
      <c r="A657" t="inlineStr">
        <is>
          <t>jabref</t>
        </is>
      </c>
      <c r="B657" t="inlineStr">
        <is>
          <t>jablib/src/main/java/org/jabref/logic/texparser/DefaultLatexParser.java</t>
        </is>
      </c>
      <c r="C657">
        <f>HYPERLINK("https://github.com/JabRef/jabref/blob/master/jablib/src/main/java/org/jabref/logic/texparser/DefaultLatexParser.java")</f>
        <v/>
      </c>
      <c r="D657" t="inlineStr">
        <is>
          <t>The `DefaultLatexParser` class in the `org.jabref.logic.texparser` package provides functionality to parse LaTeX files and extract bibliographic information from them. The parser uses regular expressions to identify citation patterns within the text and extracts relevant data such as author names, publication titles, and other metadata. The implementation includes methods for reading LaTeX files, parsing their content, and returning results in a</t>
        </is>
      </c>
      <c r="E657" t="n">
        <v>0.0036</v>
      </c>
      <c r="F657" t="n">
        <v>0.0563</v>
      </c>
      <c r="G657" t="n">
        <v>0.1136</v>
      </c>
      <c r="H657" t="inlineStr">
        <is>
          <t>The code provides a LaTeX parser that reads files with `.tex` or `.bib` extensions, processes them line by line using regular expressions, and extracts citation information from specific patterns. The implementation includes logging, error handling, and support for adding custom citation command patterns.</t>
        </is>
      </c>
      <c r="I657" t="n">
        <v>0.0043</v>
      </c>
      <c r="J657" t="n">
        <v>0.0784</v>
      </c>
      <c r="K657" t="n">
        <v>0.1304</v>
      </c>
      <c r="L657" t="inlineStr">
        <is>
          <t>The `DefaultLatexParser` class processes LaTeX files by reading them line by line and extracting citation references using regular expressions. It supports parsing `.tex` and `.bib` files, handling multiple citations per line, and returning results as `LatexParserResult` objects. The parser logs errors and warnings during processing.</t>
        </is>
      </c>
      <c r="M657" t="n">
        <v>0.0041</v>
      </c>
      <c r="N657" t="n">
        <v>0.0377</v>
      </c>
      <c r="O657" t="n">
        <v>0.08550000000000001</v>
      </c>
    </row>
    <row r="658">
      <c r="A658" t="inlineStr">
        <is>
          <t>jabref</t>
        </is>
      </c>
      <c r="B658" t="inlineStr">
        <is>
          <t>jablib/src/main/java/org/jabref/logic/exporter/MetaDataSerializer.java</t>
        </is>
      </c>
      <c r="C658">
        <f>HYPERLINK("https://github.com/JabRef/jabref/blob/master/jablib/src/main/java/org/jabref/logic/exporter/MetaDataSerializer.java")</f>
        <v/>
      </c>
      <c r="D658" t="inlineStr">
        <is>
          <t>The `MetaDataSerializer` class in the `org.jabref.logic.exporter` package provides methods for serializing metadata from a JabRef database into various formats such as BibTeX or HTML. It handles citation key patterns, field formatting cleanup actions, OS-specific operations, string utilities, entry types, group trees, content selectors, and meta data objects. The complexity of this implementation is O(N),</t>
        </is>
      </c>
      <c r="E658" t="n">
        <v>0.0034</v>
      </c>
      <c r="F658" t="n">
        <v>0.0597</v>
      </c>
      <c r="G658" t="n">
        <v>0.119</v>
      </c>
      <c r="H658" t="inlineStr">
        <is>
          <t>The `MetaDataSerializer` class in the `org.jabref.logic.exporter` package handles serialization of metadata for BibTeX entries. It processes various fields such as entry types, field values, and group trees to generate formatted output suitable for exporting bibliographic data. The complexity is O(N), where N represents the number of entries or fields being processed.</t>
        </is>
      </c>
      <c r="I658" t="n">
        <v>0.0036</v>
      </c>
      <c r="J658" t="n">
        <v>0.0317</v>
      </c>
      <c r="K658" t="n">
        <v>0.0407</v>
      </c>
      <c r="L658" t="inlineStr">
        <is>
          <t>The `MetaDataSerializer` class provides methods for serializing metadata from a BibTeX entry into various formats such as JSON and XML. It handles citation keys, field formatting, and group tree nodes, ensuring that the metadata can be exported accurately according to specified patterns and configurations. The class uses helper classes like `AbstractCitationKeyPatterns`, `GlobalCitationKeyPatterns`, and `FieldFormatterCleanupActions</t>
        </is>
      </c>
      <c r="M658" t="n">
        <v>0.0034</v>
      </c>
      <c r="N658" t="n">
        <v>0.0323</v>
      </c>
      <c r="O658" t="n">
        <v>0.0794</v>
      </c>
    </row>
    <row r="659">
      <c r="A659" t="inlineStr">
        <is>
          <t>jabref</t>
        </is>
      </c>
      <c r="B659" t="inlineStr">
        <is>
          <t>jablib/src/main/java/org/jabref/logic/exporter/SaveException.java</t>
        </is>
      </c>
      <c r="C659">
        <f>HYPERLINK("https://github.com/JabRef/jabref/blob/master/jablib/src/main/java/org/jabref/logic/exporter/SaveException.java")</f>
        <v/>
      </c>
      <c r="D659" t="inlineStr">
        <is>
          <t>The `SaveException` class is designed to handle exceptions that occur during the process of saving bibliographic entries in JabRef. It includes predefined constants for common error messages related to file locking and backup creation. The class provides constructors to initialize exceptions with either a simple message or both a message and a throwable cause. Additionally, it allows tracking of the specific `BibEntry` causing the issue through the</t>
        </is>
      </c>
      <c r="E659" t="n">
        <v>0.0027</v>
      </c>
      <c r="F659" t="n">
        <v>0.0267</v>
      </c>
      <c r="G659" t="n">
        <v>0.036</v>
      </c>
      <c r="H659" t="inlineStr">
        <is>
          <t>The provided Java code defines a custom `SaveException` class within the `org.jabref.logic.exporter` package. This exception is used to handle errors that occur during the process of saving bibliographic entries in JabRef. It includes several predefined exceptions such as `FILE_LOCKED` and `BACKUP_CREATION`, each with their own error messages and localization strings for user-friendly display. The</t>
        </is>
      </c>
      <c r="I659" t="n">
        <v>0.004</v>
      </c>
      <c r="J659" t="n">
        <v>0.0588</v>
      </c>
      <c r="K659" t="n">
        <v>0.119</v>
      </c>
      <c r="L659" t="inlineStr">
        <is>
          <t>The `SaveException` class is designed to handle exceptions that occur during the process of saving bibliographic entries in JabRef. It includes predefined instances for common error scenarios such as when a file is locked or when a backup cannot be created. The class provides constructors for both standard messages and those accompanied by exceptions. Each instance stores details about the entry causing the issue (if applicable), allowing for more gran</t>
        </is>
      </c>
      <c r="M659" t="n">
        <v>0.0026</v>
      </c>
      <c r="N659" t="n">
        <v>0.0256</v>
      </c>
      <c r="O659" t="n">
        <v>0.0352</v>
      </c>
    </row>
    <row r="660">
      <c r="A660" t="inlineStr">
        <is>
          <t>jabref</t>
        </is>
      </c>
      <c r="B660" t="inlineStr">
        <is>
          <t>jablib/src/main/java/org/jabref/logic/exporter/OpenDocumentSpreadsheetCreator.java</t>
        </is>
      </c>
      <c r="C660">
        <f>HYPERLINK("https://github.com/JabRef/jabref/blob/master/jablib/src/main/java/org/jabref/logic/exporter/OpenDocumentSpreadsheetCreator.java")</f>
        <v/>
      </c>
      <c r="D660" t="inlineStr">
        <is>
          <t>The provided Java code is part of a JabRef project, which is a reference manager for BibTeX files. The code defines a class `BibtexExport` within the package `org.jabref.logic.exporter`. This class handles exporting BibTeX databases to various formats, including XML and ZIP archives with CRC checksums.
Key functionalities include:
1. **XML Export**: Converts a BibTeX</t>
        </is>
      </c>
      <c r="E660" t="n">
        <v>0.004</v>
      </c>
      <c r="F660" t="n">
        <v>0.0615</v>
      </c>
      <c r="G660" t="n">
        <v>0.119</v>
      </c>
      <c r="H660" t="inlineStr">
        <is>
          <t>The provided Java code is part of a JabRef project that handles exporting bibliographic databases to various formats, including ZIP files with XML entries. It includes methods for reading from and writing to files, as well as transforming BibTeX entries into XML format using XSLT transformations. The complexity is high due to the handling of multiple file operations and data transformations, making it suitable for large-scale database exports.</t>
        </is>
      </c>
      <c r="I660" t="n">
        <v>0.0027</v>
      </c>
      <c r="J660" t="n">
        <v>0.026</v>
      </c>
      <c r="K660" t="n">
        <v>0.07140000000000001</v>
      </c>
      <c r="L660" t="inlineStr">
        <is>
          <t>This Java package provides functionalities for exporting bibliographic databases into various formats, including BibTeX, HTML, and XML. It includes methods for writing entries to files, handling ZIP archives, and transforming database contents using XSLT transformations. The code is designed to be efficient, with a time complexity of O(N), where N represents the number of entries being exported.</t>
        </is>
      </c>
      <c r="M660" t="n">
        <v>0.0038</v>
      </c>
      <c r="N660" t="n">
        <v>0.09089999999999999</v>
      </c>
      <c r="O660" t="n">
        <v>0.1163</v>
      </c>
    </row>
    <row r="661">
      <c r="A661" t="inlineStr">
        <is>
          <t>jabref</t>
        </is>
      </c>
      <c r="B661" t="inlineStr">
        <is>
          <t>jablib/src/main/java/org/jabref/logic/exporter/SaveConfiguration.java</t>
        </is>
      </c>
      <c r="C661">
        <f>HYPERLINK("https://github.com/JabRef/jabref/blob/master/jablib/src/main/java/org/jabref/logic/exporter/SaveConfiguration.java")</f>
        <v/>
      </c>
      <c r="D661" t="inlineStr">
        <is>
          <t>The `SaveConfiguration` class in the `org.jabref.logic.exporter` package is designed to encapsulate configuration settings for saving bibliographic databases (BibTeX files). It includes fields for encoding, backup creation, save type, and whether to reformat the file before saving. The constructor allows setting these options, with defaults specified if none are provided. This class provides methods to retrieve each</t>
        </is>
      </c>
      <c r="E661" t="n">
        <v>0.0039</v>
      </c>
      <c r="F661" t="n">
        <v>0.0299</v>
      </c>
      <c r="G661" t="n">
        <v>0.0781</v>
      </c>
      <c r="H661" t="inlineStr">
        <is>
          <t>Manages configuration settings for saving bibliographic databases in JabRef, including encoding prefix, backup creation, save type, and formatting options.</t>
        </is>
      </c>
      <c r="I661" t="n">
        <v>0.0102</v>
      </c>
      <c r="J661" t="n">
        <v>0.0741</v>
      </c>
      <c r="K661" t="n">
        <v>0.0549</v>
      </c>
      <c r="L661" t="inlineStr">
        <is>
          <t>The `SaveConfiguration` class encapsulates settings for saving bibliographic databases, including encoding, backup creation, save type, and whether to reformat the file. It provides constructors to initialize these settings either from parameters or default values. The class is part of the JabRef project's backend component, designed to handle various configurations related to database export.</t>
        </is>
      </c>
      <c r="M661" t="n">
        <v>0.0035</v>
      </c>
      <c r="N661" t="n">
        <v>0.0323</v>
      </c>
      <c r="O661" t="n">
        <v>0.08</v>
      </c>
    </row>
    <row r="662">
      <c r="A662" t="inlineStr">
        <is>
          <t>jabref</t>
        </is>
      </c>
      <c r="B662" t="inlineStr">
        <is>
          <t>jablib/src/main/java/org/jabref/logic/exporter/OpenDocumentRepresentation.java</t>
        </is>
      </c>
      <c r="C662">
        <f>HYPERLINK("https://github.com/JabRef/jabref/blob/master/jablib/src/main/java/org/jabref/logic/exporter/OpenDocumentRepresentation.java")</f>
        <v/>
      </c>
      <c r="D662" t="inlineStr">
        <is>
          <t>The `OpenDocumentRepresentation` class in the `org.jabref.logic.exporter` package is responsible for generating XML representations of BibTeX entries suitable for use with Open Document Format (ODF) documents. It uses Java's DOM API to create XML elements and text nodes based on the fields of each BibTeX entry. The class includes methods for parsing BibTeX databases into ODF-compatible XML structures</t>
        </is>
      </c>
      <c r="E662" t="n">
        <v>0.0032</v>
      </c>
      <c r="F662" t="n">
        <v>0.0286</v>
      </c>
      <c r="G662" t="n">
        <v>0.0775</v>
      </c>
      <c r="H662" t="inlineStr">
        <is>
          <t>Manages BibTeX entries into Open Document Format (ODF) documents using XML parsing and formatting logic.</t>
        </is>
      </c>
      <c r="I662" t="n">
        <v>0.0157</v>
      </c>
      <c r="J662" t="n">
        <v>0.1739</v>
      </c>
      <c r="K662" t="n">
        <v>0.1724</v>
      </c>
      <c r="L662" t="inlineStr">
        <is>
          <t>The `OpenDocumentRepresentation` class is part of the JabRef project's export module. It generates XML representations of BibTeX entries suitable for use in Open Document Format (ODF). The class uses Java's DOM API to create XML documents and includes various formatting utilities such as removing brackets, spaces, and handling specific fields like URLs and types. The class processes BibEntries from a BibDatabase according to</t>
        </is>
      </c>
      <c r="M662" t="n">
        <v>0.0029</v>
      </c>
      <c r="N662" t="n">
        <v>0.0548</v>
      </c>
      <c r="O662" t="n">
        <v>0.0741</v>
      </c>
    </row>
    <row r="663">
      <c r="A663" t="inlineStr">
        <is>
          <t>jabref</t>
        </is>
      </c>
      <c r="B663" t="inlineStr">
        <is>
          <t>jablib/src/main/java/org/jabref/logic/exporter/OpenOfficeDocumentCreator.java</t>
        </is>
      </c>
      <c r="C663">
        <f>HYPERLINK("https://github.com/JabRef/jabref/blob/master/jablib/src/main/java/org/jabref/logic/exporter/OpenOfficeDocumentCreator.java")</f>
        <v/>
      </c>
      <c r="D663" t="inlineStr">
        <is>
          <t>The provided Java code is part of a JabRef project, which is a popular reference manager for managing bibliographic references in academic writing. The specific class `BibtexExport` within this package handles exporting BibTeX files from a database context to various formats, including ZIP archives containing multiple BibTeX entries.
Key functionalities include:
1. **Exporting to BibTeX Format**: Converts a list of Bib</t>
        </is>
      </c>
      <c r="E663" t="n">
        <v>0</v>
      </c>
      <c r="F663" t="n">
        <v>0.058</v>
      </c>
      <c r="G663" t="n">
        <v>0.0752</v>
      </c>
      <c r="H663" t="inlineStr">
        <is>
          <t>This repository contains backend software components that implement core algorithms for processing BibTeX databases. The complexity is O(N), indicating linear time complexity in relation to the number of entries or data points processed.</t>
        </is>
      </c>
      <c r="I663" t="n">
        <v>0.0074</v>
      </c>
      <c r="J663" t="n">
        <v>0.1905</v>
      </c>
      <c r="K663" t="n">
        <v>0.3006</v>
      </c>
      <c r="L663" t="inlineStr">
        <is>
          <t>This Java package provides functionalities for exporting BibTeX databases into various formats, including XML, HTML, RTF, PDF, and ZIP files. It includes methods for writing entries to different output streams, handling zip archives, and transforming data using XSLT transformations. The code is designed to be efficient and handle large datasets by processing them in chunks.</t>
        </is>
      </c>
      <c r="M663" t="n">
        <v>0.004</v>
      </c>
      <c r="N663" t="n">
        <v>0.09520000000000001</v>
      </c>
      <c r="O663" t="n">
        <v>0.1181</v>
      </c>
    </row>
    <row r="664">
      <c r="A664" t="inlineStr">
        <is>
          <t>jabref</t>
        </is>
      </c>
      <c r="B664" t="inlineStr">
        <is>
          <t>jablib/src/main/java/org/jabref/logic/exporter/XmpPdfExporter.java</t>
        </is>
      </c>
      <c r="C664">
        <f>HYPERLINK("https://github.com/JabRef/jabref/blob/master/jablib/src/main/java/org/jabref/logic/exporter/XmpPdfExporter.java")</f>
        <v/>
      </c>
      <c r="D664" t="inlineStr">
        <is>
          <t>The `XmpPdfExporter` class is part of a JabRef application that exports bibliographic entries to PDF files with embedded XML metadata (XMP). It uses Apache PDFBox for handling PDF document creation and manipulation, along with JSPECIFY annotations for type safety. The exporter supports exporting multiple BibEntries into a single PDF file, each entry on its own page, and includes optional XMP metadata</t>
        </is>
      </c>
      <c r="E664" t="n">
        <v>0.003</v>
      </c>
      <c r="F664" t="n">
        <v>0.029</v>
      </c>
      <c r="G664" t="n">
        <v>0.0752</v>
      </c>
      <c r="H664" t="inlineStr">
        <is>
          <t>The provided Java code defines a `XmpPdfExporter` class within the `org.jabref.logic.exporter` package. This class is responsible for exporting bibliographic entries to PDF files with embedded XML metadata (XMP). The exporter uses Apache PDFBox for PDF manipulation and JSPECIFY annotations for type safety. It also integrates with JabRef's XMP preferences and utilizes standard fonts from the</t>
        </is>
      </c>
      <c r="I664" t="n">
        <v>0.004</v>
      </c>
      <c r="J664" t="n">
        <v>0.0597</v>
      </c>
      <c r="K664" t="n">
        <v>0.1181</v>
      </c>
      <c r="L664" t="inlineStr">
        <is>
          <t>The `XmpPdfExporter` class is responsible for exporting BibTeX entries into PDF files while embedding metadata using the Extensible Metadata Platform (XMP). It utilizes Apache PDFBox for generating PDF documents and JSPECIFY annotations for type safety. The exporter supports various formats such as EPUB, HTML, RTF, DOCX, and LaTeX, and can handle multiple bibliographic databases. It also</t>
        </is>
      </c>
      <c r="M664" t="n">
        <v>0.0033</v>
      </c>
      <c r="N664" t="n">
        <v>0.0312</v>
      </c>
      <c r="O664" t="n">
        <v>0.0781</v>
      </c>
    </row>
    <row r="665">
      <c r="A665" t="inlineStr">
        <is>
          <t>jabref</t>
        </is>
      </c>
      <c r="B665" t="inlineStr">
        <is>
          <t>jablib/src/main/java/org/jabref/logic/exporter/EndnoteXmlExporter.java</t>
        </is>
      </c>
      <c r="C665">
        <f>HYPERLINK("https://github.com/JabRef/jabref/blob/master/jablib/src/main/java/org/jabref/logic/exporter/EndnoteXmlExporter.java")</f>
        <v/>
      </c>
      <c r="D665" t="inlineStr">
        <is>
          <t>The provided Java code is part of a JabRef library for managing bibliographic databases. It includes methods to export BibTeX files in XML format using JAXP (Java API for XML Processing). The class `BibtexXmlExport` handles the conversion of BibTeX entries into XML documents, which can be useful for various applications that require structured data representation. The code uses DOM manipulation to create XML</t>
        </is>
      </c>
      <c r="E665" t="n">
        <v>0</v>
      </c>
      <c r="F665" t="n">
        <v>0</v>
      </c>
      <c r="G665" t="n">
        <v>0.037</v>
      </c>
      <c r="H665" t="inlineStr">
        <is>
          <t>The provided Java code is part of a JabRef project that handles exporting bibliographic databases to XML format. It includes methods for parsing BibTeX entries into XML documents and writing them to files. The complexity is high due to its extensive handling of various entry types and attributes, making it suitable for large datasets.</t>
        </is>
      </c>
      <c r="I665" t="n">
        <v>0.0034</v>
      </c>
      <c r="J665" t="n">
        <v>0.0323</v>
      </c>
      <c r="K665" t="n">
        <v>0.0794</v>
      </c>
      <c r="L665" t="inlineStr">
        <is>
          <t>This Java class provides functionality for exporting BibTeX databases to XML format using JAXB (Java Architecture for XML Binding). It handles parsing BibTeX entries into XML nodes, including author lists, entry types, and metadata fields such as title, year, and abstract. The code uses DOM manipulation to construct the XML document and employs JAXB for serialization. The method `exportToXML` takes a `BibDatabase</t>
        </is>
      </c>
      <c r="M665" t="n">
        <v>0.0039</v>
      </c>
      <c r="N665" t="n">
        <v>0.0857</v>
      </c>
      <c r="O665" t="n">
        <v>0.1119</v>
      </c>
    </row>
    <row r="666">
      <c r="A666" t="inlineStr">
        <is>
          <t>jabref</t>
        </is>
      </c>
      <c r="B666" t="inlineStr">
        <is>
          <t>jablib/src/main/java/org/jabref/logic/exporter/AtomicFileOutputStream.java</t>
        </is>
      </c>
      <c r="C666">
        <f>HYPERLINK("https://github.com/JabRef/jabref/blob/master/jablib/src/main/java/org/jabref/logic/exporter/AtomicFileOutputStream.java")</f>
        <v/>
      </c>
      <c r="D666" t="inlineStr">
        <is>
          <t>The provided Java code defines a custom `BackupOutputStream` class within the `org.jabref.logic.exporter` package. This class extends `FilterOutputStream` and provides functionality for writing data to a temporary file before atomically replacing it with the original target file. The key features include:
- Writing data to a temporary file with a `.tmp` extension in the same directory as the target file.</t>
        </is>
      </c>
      <c r="E666" t="n">
        <v>0.0041</v>
      </c>
      <c r="F666" t="n">
        <v>0.058</v>
      </c>
      <c r="G666" t="n">
        <v>0.1145</v>
      </c>
      <c r="H666" t="inlineStr">
        <is>
          <t>The code provides a file output stream implementation that temporarily stores data before atomically replacing the original file when closed. It handles backup files with specific extensions and ensures thread safety by using file locks. The complexity is O(N), where N represents the number of operations performed during file writing or closing.</t>
        </is>
      </c>
      <c r="I666" t="n">
        <v>0.0035</v>
      </c>
      <c r="J666" t="n">
        <v>0.06560000000000001</v>
      </c>
      <c r="K666" t="n">
        <v>0.121</v>
      </c>
      <c r="L666" t="inlineStr">
        <is>
          <t>This Java class extends `FilterOutputStream` to provide atomic file writing by redirecting all write operations to a temporary file before replacing the original file when closed. The class ensures that no data loss occurs during the process. It uses a lock mechanism to prevent concurrent modifications while writing to the temporary file.</t>
        </is>
      </c>
      <c r="M666" t="n">
        <v>0.0035</v>
      </c>
      <c r="N666" t="n">
        <v>0.0333</v>
      </c>
      <c r="O666" t="n">
        <v>0.0806</v>
      </c>
    </row>
    <row r="667">
      <c r="A667" t="inlineStr">
        <is>
          <t>jabref</t>
        </is>
      </c>
      <c r="B667" t="inlineStr">
        <is>
          <t>jablib/src/main/java/org/jabref/logic/exporter/SelfContainedSaveConfiguration.java</t>
        </is>
      </c>
      <c r="C667">
        <f>HYPERLINK("https://github.com/JabRef/jabref/blob/master/jablib/src/main/java/org/jabref/logic/exporter/SelfContainedSaveConfiguration.java")</f>
        <v/>
      </c>
      <c r="D667" t="inlineStr">
        <is>
          <t>The `SelfContainedSaveConfiguration` class in the JabRef project is a subclass of `SaveConfiguration`. It represents a specific type of save configuration that uses a `SelfContainedSaveOrder` as its underlying order for saving bibliographic databases. The class provides constructors to initialize it with various parameters related to backup creation, file format, and formatting options. Additionally, it includes a method to retrieve the `</t>
        </is>
      </c>
      <c r="E667" t="n">
        <v>0.003</v>
      </c>
      <c r="F667" t="n">
        <v>0.0299</v>
      </c>
      <c r="G667" t="n">
        <v>0.07580000000000001</v>
      </c>
      <c r="H667" t="inlineStr">
        <is>
          <t>This Java class `SelfContainedSaveConfiguration` extends `SaveConfiguration`, providing a specific implementation for saving bibliographic databases in a self-contained manner. It includes constructors to initialize with different configurations such as save order, backup settings, save type, and file reformating options. The method `getSelfContainedSaveOrder()` retrieves the underlying `SelfContainedSaveOrder`.</t>
        </is>
      </c>
      <c r="I667" t="n">
        <v>0.0049</v>
      </c>
      <c r="J667" t="n">
        <v>0.1111</v>
      </c>
      <c r="K667" t="n">
        <v>0.1282</v>
      </c>
      <c r="L667" t="inlineStr">
        <is>
          <t>This Java class `SelfContainedSaveConfiguration` extends `SaveConfiguration`, providing a specific implementation for saving bibliographic databases as self-contained files. It includes constructors that allow setting up various parameters such as the save order, backup creation flag, save type, and formatting options. The class also provides a method to retrieve the underlying `SelfContainedSaveOrder`.</t>
        </is>
      </c>
      <c r="M667" t="n">
        <v>0.0044</v>
      </c>
      <c r="N667" t="n">
        <v>0.1017</v>
      </c>
      <c r="O667" t="n">
        <v>0.123</v>
      </c>
    </row>
    <row r="668">
      <c r="A668" t="inlineStr">
        <is>
          <t>jabref</t>
        </is>
      </c>
      <c r="B668" t="inlineStr">
        <is>
          <t>jablib/src/main/java/org/jabref/logic/exporter/BibDatabaseWriter.java</t>
        </is>
      </c>
      <c r="C668">
        <f>HYPERLINK("https://github.com/JabRef/jabref/blob/master/jablib/src/main/java/org/jabref/logic/exporter/BibDatabaseWriter.java")</f>
        <v/>
      </c>
      <c r="D668" t="inlineStr">
        <is>
          <t>The provided Java code is part of the JabRef project's logic package for exporting BibTeX entries. It includes classes that handle writing BibTeX files with various options such as sorting by fields or IDs, handling special characters in field values, and managing character encoding. The code uses regular expressions to validate field values and employs comparator stacks to sort entries based on specified criteria. The complexity is O(N), where</t>
        </is>
      </c>
      <c r="E668" t="n">
        <v>0.0026</v>
      </c>
      <c r="F668" t="n">
        <v>0.0253</v>
      </c>
      <c r="G668" t="n">
        <v>0.0709</v>
      </c>
      <c r="H668" t="inlineStr">
        <is>
          <t>Manages BibTeX entries in JabRef by handling export operations with various sorting and formatting options.</t>
        </is>
      </c>
      <c r="I668" t="n">
        <v>0.0132</v>
      </c>
      <c r="J668" t="n">
        <v>0.08699999999999999</v>
      </c>
      <c r="K668" t="n">
        <v>0.0575</v>
      </c>
      <c r="L668" t="inlineStr">
        <is>
          <t>The code is part of a JabRef project that handles exporting BibTeX entries. It includes classes for writing BibTeX files, managing field preferences, and comparing BibTeX entries based on various criteria such as ID, fields, and cross-references. The implementation focuses on maintaining order and formatting consistency when exporting bibliographic data.</t>
        </is>
      </c>
      <c r="M668" t="n">
        <v>0.0037</v>
      </c>
      <c r="N668" t="n">
        <v>0.0678</v>
      </c>
      <c r="O668" t="n">
        <v>0.123</v>
      </c>
    </row>
    <row r="669">
      <c r="A669" t="inlineStr">
        <is>
          <t>jabref</t>
        </is>
      </c>
      <c r="B669" t="inlineStr">
        <is>
          <t>jablib/src/main/java/org/jabref/logic/exporter/AtomicFileWriter.java</t>
        </is>
      </c>
      <c r="C669">
        <f>HYPERLINK("https://github.com/JabRef/jabref/blob/master/jablib/src/main/java/org/jabref/logic/exporter/AtomicFileWriter.java")</f>
        <v/>
      </c>
      <c r="D669" t="inlineStr">
        <is>
          <t>The `AtomicFileWriter` class in the `org.jabref.logic.exporter` package provides a secure way to write data to files using Java's `OutputStreamWriter`. It wraps around `java.io.AtomicFileOutputStream`, ensuring that any errors during the writing process do not corrupt the existing content of the target file. The class also verifies the encoding used for writing against the characters it will handle,</t>
        </is>
      </c>
      <c r="E669" t="n">
        <v>0</v>
      </c>
      <c r="F669" t="n">
        <v>0.0286</v>
      </c>
      <c r="G669" t="n">
        <v>0.0391</v>
      </c>
      <c r="H669" t="inlineStr">
        <is>
          <t>This repository contains backend software components implementing core algorithms. The complexity is O(N), indicating linear time complexity for certain operations. The comments describe the implementation of these algorithms. The commits include the initial creation of the codebase. The total size of the code is 1000 lines.</t>
        </is>
      </c>
      <c r="I669" t="n">
        <v>0.0053</v>
      </c>
      <c r="J669" t="n">
        <v>0.1455</v>
      </c>
      <c r="K669" t="n">
        <v>0.1695</v>
      </c>
      <c r="L669" t="inlineStr">
        <is>
          <t>The `AtomicFileWriter` class provides a secure method for writing data to files using Java's `AtomicFileOutputStream`, ensuring that any errors during the write operation do not corrupt the existing content. It also verifies the encoding support for each character being written, allowing retrieval of problematic characters through the `getEncodingProblems()` method. The class is designed to handle various encodings efficiently while maintaining robust error</t>
        </is>
      </c>
      <c r="M669" t="n">
        <v>0</v>
      </c>
      <c r="N669" t="n">
        <v>0</v>
      </c>
      <c r="O669" t="n">
        <v>0.0373</v>
      </c>
    </row>
    <row r="670">
      <c r="A670" t="inlineStr">
        <is>
          <t>jabref</t>
        </is>
      </c>
      <c r="B670" t="inlineStr">
        <is>
          <t>jablib/src/main/java/org/jabref/logic/exporter/ExporterFactory.java</t>
        </is>
      </c>
      <c r="C670">
        <f>HYPERLINK("https://github.com/JabRef/jabref/blob/master/jablib/src/main/java/org/jabref/logic/exporter/ExporterFactory.java")</f>
        <v/>
      </c>
      <c r="D670" t="inlineStr">
        <is>
          <t>The `ExporterFactory` class in the `org.jabref.logic.exporter` package is responsible for creating instances of various export formats based on user preferences. It initializes with a list of available exporters and provides a method to retrieve them by name or type. The factory uses these preferences to determine which exporters should be included in the list. This setup allows for flexible customization of export options within JabRef</t>
        </is>
      </c>
      <c r="E670" t="n">
        <v>0.0033</v>
      </c>
      <c r="F670" t="n">
        <v>0.0263</v>
      </c>
      <c r="G670" t="n">
        <v>0.1095</v>
      </c>
      <c r="H670" t="inlineStr">
        <is>
          <t>The `ExporterFactory` class in the `org.jabref.logic.exporter` package is responsible for creating instances of various export formats based on user preferences. It initializes with a list of available exporters and provides a method to retrieve them dynamically. The complexity is linear (O(N)) due to iterating over the list of exporters.</t>
        </is>
      </c>
      <c r="I670" t="n">
        <v>0.0037</v>
      </c>
      <c r="J670" t="n">
        <v>0.0328</v>
      </c>
      <c r="K670" t="n">
        <v>0.0413</v>
      </c>
      <c r="L670" t="inlineStr">
        <is>
          <t>The `ExporterFactory` class is responsible for creating instances of various export formats based on user preferences. It initializes a list of exporters using the provided `CliPreferences`, which includes both standard BibTeX exports and any custom templates defined by users. The factory method `create` takes these preferences as input and returns an instance of `ExporterFactory`. Each exporter handles different types of data output, such as PDF</t>
        </is>
      </c>
      <c r="M670" t="n">
        <v>0.0028</v>
      </c>
      <c r="N670" t="n">
        <v>0.0274</v>
      </c>
      <c r="O670" t="n">
        <v>0.073</v>
      </c>
    </row>
    <row r="671">
      <c r="A671" t="inlineStr">
        <is>
          <t>jabref</t>
        </is>
      </c>
      <c r="B671" t="inlineStr">
        <is>
          <t>jablib/src/main/java/org/jabref/logic/exporter/BlankLineBehaviour.java</t>
        </is>
      </c>
      <c r="C671">
        <f>HYPERLINK("https://github.com/JabRef/jabref/blob/master/jablib/src/main/java/org/jabref/logic/exporter/BlankLineBehaviour.java")</f>
        <v/>
      </c>
      <c r="D671" t="inlineStr">
        <is>
          <t>The `BlankLineBehaviour` enum in the `org.jabref.logic.exporter` package defines two options: `KEEP_BLANKS` and `DELETE_BLANKS`. These enums represent how to handle blank lines when exporting templates using the `TemplateExporter`. The complexity is O(1) as it involves simple enumeration operations.</t>
        </is>
      </c>
      <c r="E671" t="n">
        <v>0.005</v>
      </c>
      <c r="F671" t="n">
        <v>0.0392</v>
      </c>
      <c r="G671" t="n">
        <v>0.0917</v>
      </c>
      <c r="H671" t="inlineStr">
        <is>
          <t>This Java package defines an `enum` called `BlankLineBehaviour`, which specifies how to handle blank lines when exporting templates using the `TemplateExporter`. The options include keeping all blank lines or deleting them entirely.</t>
        </is>
      </c>
      <c r="I671" t="n">
        <v>0.0058</v>
      </c>
      <c r="J671" t="n">
        <v>0.05</v>
      </c>
      <c r="K671" t="n">
        <v>0.09619999999999999</v>
      </c>
      <c r="L671" t="inlineStr">
        <is>
          <t>The `BlankLineBehaviour` enum defines two options for handling blank lines during export using the `TemplateExporter`. It allows users to either keep blank lines as they appear in the template (KEEP_BLANKS) or remove them entirely (DELETE_BLANKS).</t>
        </is>
      </c>
      <c r="M671" t="n">
        <v>0</v>
      </c>
      <c r="N671" t="n">
        <v>0</v>
      </c>
      <c r="O671" t="n">
        <v>0.0467</v>
      </c>
    </row>
    <row r="672">
      <c r="A672" t="inlineStr">
        <is>
          <t>jabref</t>
        </is>
      </c>
      <c r="B672" t="inlineStr">
        <is>
          <t>jablib/src/main/java/org/jabref/logic/exporter/MSBibExporter.java</t>
        </is>
      </c>
      <c r="C672">
        <f>HYPERLINK("https://github.com/JabRef/jabref/blob/master/jablib/src/main/java/org/jabref/logic/exporter/MSBibExporter.java")</f>
        <v/>
      </c>
      <c r="D672" t="inlineStr">
        <is>
          <t>The `MSBibExporter` class is a Java implementation that exports bibliographic databases to Microsoft Office's MSBIB (Microsoft Bibliography) XML format. It uses JAXB (Java Architecture for XML Binding) to transform BibTeX entries into MSBIB XML. The exporter supports standard file types like XML and has specific metadata about its name, description, and supported file type.</t>
        </is>
      </c>
      <c r="E672" t="n">
        <v>0.0034</v>
      </c>
      <c r="F672" t="n">
        <v>0.0635</v>
      </c>
      <c r="G672" t="n">
        <v>0.119</v>
      </c>
      <c r="H672" t="inlineStr">
        <is>
          <t>The code is a Java class `MSBibExporter` within the package `org.jabref.logic.exporter`. It exports bibliographic databases to MSBib XML format using XSLT transformations. The complexity is O(N), where N represents the number of entries in the BibTeX database being exported. The comments indicate that it implements core algorithms for this task.</t>
        </is>
      </c>
      <c r="I672" t="n">
        <v>0.0078</v>
      </c>
      <c r="J672" t="n">
        <v>0.0645</v>
      </c>
      <c r="K672" t="n">
        <v>0.2587</v>
      </c>
      <c r="L672" t="inlineStr">
        <is>
          <t>The `MSBibExporter` class is a template implementation for exporting bibliographic databases into MSBib XML format. It uses Java's DOM (Document Object Model) and XSLT transformations to convert JabRef database entries into MSBib-compatible XML files. The exporter supports standard BibTeX fields and formats them according to MSBib specifications.</t>
        </is>
      </c>
      <c r="M672" t="n">
        <v>0.0039</v>
      </c>
      <c r="N672" t="n">
        <v>0.0702</v>
      </c>
      <c r="O672" t="n">
        <v>0.1261</v>
      </c>
    </row>
    <row r="673">
      <c r="A673" t="inlineStr">
        <is>
          <t>jabref</t>
        </is>
      </c>
      <c r="B673" t="inlineStr">
        <is>
          <t>jablib/src/main/java/org/jabref/logic/exporter/Exporter.java</t>
        </is>
      </c>
      <c r="C673">
        <f>HYPERLINK("https://github.com/JabRef/jabref/blob/master/jablib/src/main/java/org/jabref/logic/exporter/Exporter.java")</f>
        <v/>
      </c>
      <c r="D673" t="inlineStr">
        <is>
          <t>The `Exporter` class is an abstract base class designed to handle exporting bibliographic databases into various file formats such as BibTeX or EndNote XML. It includes methods for setting up export parameters like file type and name, processing entries from a database context, and writing them to files. The class uses JAXB for XML serialization and handles exceptions related to parsing and transforming XML documents.</t>
        </is>
      </c>
      <c r="E673" t="n">
        <v>0.0028</v>
      </c>
      <c r="F673" t="n">
        <v>0.0274</v>
      </c>
      <c r="G673" t="n">
        <v>0.073</v>
      </c>
      <c r="H673" t="inlineStr">
        <is>
          <t>Manages BibTeX database exports with various formats.</t>
        </is>
      </c>
      <c r="I673" t="n">
        <v>0</v>
      </c>
      <c r="J673" t="n">
        <v>0</v>
      </c>
      <c r="K673" t="n">
        <v>0</v>
      </c>
      <c r="L673" t="inlineStr">
        <is>
          <t>This Java abstract class `Exporter` serves as a foundational structure for various export formats in JabRef, a popular bibliographic reference manager. It encapsulates common properties such as an ID, display name, and file type, providing a blueprint for implementing specific exporters that can handle different types of BibTeX databases. The class includes methods for exporting entries to files, handling journal abbreviations, and managing linked files</t>
        </is>
      </c>
      <c r="M673" t="n">
        <v>0.0033</v>
      </c>
      <c r="N673" t="n">
        <v>0.0822</v>
      </c>
      <c r="O673" t="n">
        <v>0.1095</v>
      </c>
    </row>
    <row r="674">
      <c r="A674" t="inlineStr">
        <is>
          <t>jabref</t>
        </is>
      </c>
      <c r="B674" t="inlineStr">
        <is>
          <t>jablib/src/main/java/org/jabref/logic/exporter/XmpExporter.java</t>
        </is>
      </c>
      <c r="C674">
        <f>HYPERLINK("https://github.com/JabRef/jabref/blob/master/jablib/src/main/java/org/jabref/logic/exporter/XmpExporter.java")</f>
        <v/>
      </c>
      <c r="D674" t="inlineStr">
        <is>
          <t>The `XmpExporter` class is a custom exporter designed to write BibTeX entries into XMP (Extensible Metadata Platform) files. It supports writing Dublin Core metadata according to the specified format. The class uses the `XmpPreferences` to configure how the XMP data should be formatted and stored. The export process involves iterating over each entry in the provided BibDatabaseContext, extracting relevant fields</t>
        </is>
      </c>
      <c r="E674" t="n">
        <v>0.003</v>
      </c>
      <c r="F674" t="n">
        <v>0.0588</v>
      </c>
      <c r="G674" t="n">
        <v>0.1136</v>
      </c>
      <c r="H674" t="inlineStr">
        <is>
          <t>This Java package provides a custom BibTeX export feature that writes bibliographic entry data into XML Metadata Interchange (XMP) files. It includes methods for handling Dublin Core metadata and supports splitting large exports into multiple files if necessary. The implementation is based on the JabRef library and uses JSPECIFY annotations for type safety.</t>
        </is>
      </c>
      <c r="I674" t="n">
        <v>0.0041</v>
      </c>
      <c r="J674" t="n">
        <v>0.0984</v>
      </c>
      <c r="K674" t="n">
        <v>0.2</v>
      </c>
      <c r="L674" t="inlineStr">
        <is>
          <t>The `XmpExporter` class is a specialized BibTeX export tool that writes bibliographic entries into `.xmp` files using Dublin Core metadata format. It allows for exporting data in a structured way suitable for integration with other systems and applications. The class includes methods for setting up the exporter with preferences and writing entries to `.xmp` files.</t>
        </is>
      </c>
      <c r="M674" t="n">
        <v>0.0033</v>
      </c>
      <c r="N674" t="n">
        <v>0.0635</v>
      </c>
      <c r="O674" t="n">
        <v>0.1181</v>
      </c>
    </row>
    <row r="675">
      <c r="A675" t="inlineStr">
        <is>
          <t>jabref</t>
        </is>
      </c>
      <c r="B675" t="inlineStr">
        <is>
          <t>jablib/src/main/java/org/jabref/logic/exporter/BibWriter.java</t>
        </is>
      </c>
      <c r="C675">
        <f>HYPERLINK("https://github.com/JabRef/jabref/blob/master/jablib/src/main/java/org/jabref/logic/exporter/BibWriter.java")</f>
        <v/>
      </c>
      <c r="D675" t="inlineStr">
        <is>
          <t>The `BibWriter` class is designed to handle writing bibliographic data in BibTeX format to a specified output stream (`Writer`). It ensures that each entry starts on a new line and handles any necessary formatting adjustments based on the input string's newline characters. The class maintains state about whether a newline was previously written and whether anything has been written since the last newline, ensuring proper indentation and spacing in</t>
        </is>
      </c>
      <c r="E675" t="n">
        <v>0.0026</v>
      </c>
      <c r="F675" t="n">
        <v>0.0256</v>
      </c>
      <c r="G675" t="n">
        <v>0.0355</v>
      </c>
      <c r="H675" t="inlineStr">
        <is>
          <t>The repository contains backend software components that implement core algorithms. Complexity is O(N), indicating linear time complexity in relation to input size N. Comments describe the implementation of these algorithms. Initial codebase commit was made. Code size is 1000 lines.</t>
        </is>
      </c>
      <c r="I675" t="n">
        <v>0.0055</v>
      </c>
      <c r="J675" t="n">
        <v>0.1224</v>
      </c>
      <c r="K675" t="n">
        <v>0.1339</v>
      </c>
      <c r="L675" t="inlineStr">
        <is>
          <t>The `BibWriter` class is responsible for writing bibliographic data to a `.bib` file. It handles conversion of newline characters from the input string to the specified newline separator and ensures that each entry starts on a new line unless explicitly instructed otherwise. The class maintains state about whether a newline was previously written and whether anything has been written at all, allowing for efficient handling of multiple entries without unnecessary</t>
        </is>
      </c>
      <c r="M675" t="n">
        <v>0.0026</v>
      </c>
      <c r="N675" t="n">
        <v>0.0256</v>
      </c>
      <c r="O675" t="n">
        <v>0.0352</v>
      </c>
    </row>
    <row r="676">
      <c r="A676" t="inlineStr">
        <is>
          <t>jabref</t>
        </is>
      </c>
      <c r="B676" t="inlineStr">
        <is>
          <t>jablib/src/main/java/org/jabref/logic/exporter/GroupSerializer.java</t>
        </is>
      </c>
      <c r="C676">
        <f>HYPERLINK("https://github.com/JabRef/jabref/blob/master/jablib/src/main/java/org/jabref/logic/exporter/GroupSerializer.java")</f>
        <v/>
      </c>
      <c r="D676" t="inlineStr">
        <is>
          <t>The `GroupSerializer` class in the `org.jabref.logic.exporter` package is responsible for serializing group configurations into a format suitable for export or storage. It handles various types of groups such as All Entries, Automatic Date, Entry Type, Keyword, Persons, Regex Keyword, Search, Tex, and Explicit groups. The method `serializeAllEntriesGroup()` specifically formats the serialization logic for</t>
        </is>
      </c>
      <c r="E676" t="n">
        <v>0.0035</v>
      </c>
      <c r="F676" t="n">
        <v>0.0625</v>
      </c>
      <c r="G676" t="n">
        <v>0.04</v>
      </c>
      <c r="H676" t="inlineStr">
        <is>
          <t>Serializes group configurations into a string representation for storage or transmission in JabRef's export features. Complexity is linear with respect to the number of groups being serialized.</t>
        </is>
      </c>
      <c r="I676" t="n">
        <v>0</v>
      </c>
      <c r="J676" t="n">
        <v>0</v>
      </c>
      <c r="K676" t="n">
        <v>0</v>
      </c>
      <c r="L676" t="inlineStr">
        <is>
          <t>The `GroupSerializer` class is responsible for serializing group configurations into a format suitable for storage or transmission. It handles various types of groups such as all entries, automatic date, entry type, keyword, persons, explicit, search, regex keyword, and Tex groups. The method `serializeAllEntriesGroup()` specifically constructs a string representation of the All Entries group, which includes details about how entries should</t>
        </is>
      </c>
      <c r="M676" t="n">
        <v>0.003</v>
      </c>
      <c r="N676" t="n">
        <v>0.0294</v>
      </c>
      <c r="O676" t="n">
        <v>0.0379</v>
      </c>
    </row>
    <row r="677">
      <c r="A677" t="inlineStr">
        <is>
          <t>jabref</t>
        </is>
      </c>
      <c r="B677" t="inlineStr">
        <is>
          <t>jablib/src/main/java/org/jabref/logic/exporter/TemplateExporter.java</t>
        </is>
      </c>
      <c r="C677">
        <f>HYPERLINK("https://github.com/JabRef/jabref/blob/master/jablib/src/main/java/org/jabref/logic/exporter/TemplateExporter.java")</f>
        <v/>
      </c>
      <c r="D677" t="inlineStr">
        <is>
          <t>The provided Java code is part of a JabRef project, which is a popular reference management tool for academic literature. The code defines classes and methods related to exporting bibliographic databases in various formats such as BibTeX or HTML. Key functionalities include:
- Reading from and writing to files.
- Handling journal abbreviations using `JournalAbbreviationLoader` and `JournalAbbreviationRepository`.
- Applying</t>
        </is>
      </c>
      <c r="E677" t="n">
        <v>0.0031</v>
      </c>
      <c r="F677" t="n">
        <v>0.0625</v>
      </c>
      <c r="G677" t="n">
        <v>0.07630000000000001</v>
      </c>
      <c r="H677" t="inlineStr">
        <is>
          <t>Manages BibTeX database operations, including loading entries from files, formatting layouts, handling journal abbreviations, and managing file types. Complexity is O(N) due to potential processing of large datasets.</t>
        </is>
      </c>
      <c r="I677" t="n">
        <v>0.0067</v>
      </c>
      <c r="J677" t="n">
        <v>0.0541</v>
      </c>
      <c r="K677" t="n">
        <v>0.05</v>
      </c>
      <c r="L677" t="inlineStr">
        <is>
          <t>This Java package provides functionalities for exporting bibliographic databases into various formats, including PDFs and HTML files. It includes methods for reading journal abbreviations from a file, formatting entries using layouts, handling different operating systems, determining entry types, and managing file types such as BibTeX and CSV. The code is designed to be efficient and maintainable, with comments explaining the implementation of core algorithms.</t>
        </is>
      </c>
      <c r="M677" t="n">
        <v>0.0037</v>
      </c>
      <c r="N677" t="n">
        <v>0.0833</v>
      </c>
      <c r="O677" t="n">
        <v>0.1838</v>
      </c>
    </row>
    <row r="678">
      <c r="A678" t="inlineStr">
        <is>
          <t>jabref</t>
        </is>
      </c>
      <c r="B678" t="inlineStr">
        <is>
          <t>jablib/src/main/java/org/jabref/logic/exporter/ExportPreferences.java</t>
        </is>
      </c>
      <c r="C678">
        <f>HYPERLINK("https://github.com/JabRef/jabref/blob/master/jablib/src/main/java/org/jabref/logic/exporter/ExportPreferences.java")</f>
        <v/>
      </c>
      <c r="D678" t="inlineStr">
        <is>
          <t>The `ExportPreferences` class in the `org.jabref.logic.exporter` package is designed to manage various preferences related to exporting bibliographic data from JabRef. It includes properties for:
- The last used file extension during exports.
- The working directory where exported files will be saved.
- The order in which items should be saved when using save orders.
- A list of custom exporters that</t>
        </is>
      </c>
      <c r="E678" t="n">
        <v>0</v>
      </c>
      <c r="F678" t="n">
        <v>0.029</v>
      </c>
      <c r="G678" t="n">
        <v>0.0373</v>
      </c>
      <c r="H678" t="inlineStr">
        <is>
          <t>Manages export preferences for JabRef, including settings for last used file extension, working directory, save order, and custom exporters.</t>
        </is>
      </c>
      <c r="I678" t="n">
        <v>0.0102</v>
      </c>
      <c r="J678" t="n">
        <v>0.0741</v>
      </c>
      <c r="K678" t="n">
        <v>0.1099</v>
      </c>
      <c r="L678" t="inlineStr">
        <is>
          <t>The `ExportPreferences` class manages preferences for exporting bibliographic data from JabRef, including the last used export extension, working directory, save order, and custom exporters. It provides properties for each preference and allows setting them through a constructor. The class uses JavaFX properties for dynamic updates and maintains a list of custom template exporters.</t>
        </is>
      </c>
      <c r="M678" t="n">
        <v>0.0035</v>
      </c>
      <c r="N678" t="n">
        <v>0.0328</v>
      </c>
      <c r="O678" t="n">
        <v>0.08</v>
      </c>
    </row>
    <row r="679">
      <c r="A679" t="inlineStr">
        <is>
          <t>jabref</t>
        </is>
      </c>
      <c r="B679" t="inlineStr">
        <is>
          <t>jablib/src/main/java/org/jabref/logic/exporter/CffExporter.java</t>
        </is>
      </c>
      <c r="C679">
        <f>HYPERLINK("https://github.com/JabRef/jabref/blob/master/jablib/src/main/java/org/jabref/logic/exporter/CffExporter.java")</f>
        <v/>
      </c>
      <c r="D679" t="inlineStr">
        <is>
          <t>The provided Java code is part of a JabRef project, specifically within the `org.jabref.logic.exporter` package. It appears to be responsible for exporting BibTeX entries from a database context to various formats, including plain text files. The key functionalities include:
1. **Exporting Entries**: The code processes a list of BibEntries from a BibDatabaseContext and writes them in BibTeX</t>
        </is>
      </c>
      <c r="E679" t="n">
        <v>0.0032</v>
      </c>
      <c r="F679" t="n">
        <v>0.0588</v>
      </c>
      <c r="G679" t="n">
        <v>0.0775</v>
      </c>
      <c r="H679" t="inlineStr">
        <is>
          <t>Manages BibTeX database exports with support for various formats including LaTeX and HTML. Handles entry types, fields, authors, dates, links, and software citations. Complexity is O(N) due to processing each entry in the database.</t>
        </is>
      </c>
      <c r="I679" t="n">
        <v>0.0065</v>
      </c>
      <c r="J679" t="n">
        <v>0.0465</v>
      </c>
      <c r="K679" t="n">
        <v>0.09429999999999999</v>
      </c>
      <c r="L679" t="inlineStr">
        <is>
          <t>This Java package provides functionalities for exporting bibliographic entries from JabRef databases into BibTeX format. It includes methods for writing entries to files, handling various fields such as authors, dates, and entry types, and managing complex field structures like parsed entry links and unknown fields. The implementation is designed to be efficient and robust, supporting both standard and custom BibTeX syntax.</t>
        </is>
      </c>
      <c r="M679" t="n">
        <v>0.0036</v>
      </c>
      <c r="N679" t="n">
        <v>0.08699999999999999</v>
      </c>
      <c r="O679" t="n">
        <v>0.1504</v>
      </c>
    </row>
    <row r="680">
      <c r="A680" t="inlineStr">
        <is>
          <t>jabref</t>
        </is>
      </c>
      <c r="B680" t="inlineStr">
        <is>
          <t>jablib/src/main/java/org/jabref/logic/exporter/ModsExporter.java</t>
        </is>
      </c>
      <c r="C680">
        <f>HYPERLINK("https://github.com/JabRef/jabref/blob/master/jablib/src/main/java/org/jabref/logic/exporter/ModsExporter.java")</f>
        <v/>
      </c>
      <c r="D680" t="inlineStr">
        <is>
          <t>The provided Java code is part of a JabRef project, which is a popular reference management tool for academic literature. The specific class `BibtexXmlExport` appears to handle exporting BibTeX entries in XML format. Here's a concise summary of its functionality:
### Key Features:
- **XML Export**: Converts BibTeX entries into XML format.
- **File Handling**: Supports writing to both files</t>
        </is>
      </c>
      <c r="E680" t="n">
        <v>0</v>
      </c>
      <c r="F680" t="n">
        <v>0.0303</v>
      </c>
      <c r="G680" t="n">
        <v>0.0379</v>
      </c>
      <c r="H680" t="inlineStr">
        <is>
          <t>The code provides backend software components for handling BibTeX databases, including reading from and writing to XML files, sorting entries by various fields, and managing database contexts. It uses Java's JAXB library for XML transformations and handles large datasets efficiently with complexity O(N).</t>
        </is>
      </c>
      <c r="I680" t="n">
        <v>0.0051</v>
      </c>
      <c r="J680" t="n">
        <v>0.0755</v>
      </c>
      <c r="K680" t="n">
        <v>0.1304</v>
      </c>
      <c r="L680" t="inlineStr">
        <is>
          <t>This Java package provides functionalities for exporting BibTeX databases into various formats such as XML, HTML, RTF, and PDF. It includes methods for reading from and writing to files, handling different types of entries, and transforming data using XSLT stylesheets. The implementation is designed to be efficient and maintainable, leveraging JAXB for XML serialization and Apache Commons IO for file I/O operations.</t>
        </is>
      </c>
      <c r="M680" t="n">
        <v>0.0035</v>
      </c>
      <c r="N680" t="n">
        <v>0.08450000000000001</v>
      </c>
      <c r="O680" t="n">
        <v>0.1493</v>
      </c>
    </row>
    <row r="681">
      <c r="A681" t="inlineStr">
        <is>
          <t>jabref</t>
        </is>
      </c>
      <c r="B681" t="inlineStr">
        <is>
          <t>jablib/src/main/java/org/jabref/logic/exporter/AcademicPagesExporter.java</t>
        </is>
      </c>
      <c r="C681">
        <f>HYPERLINK("https://github.com/JabRef/jabref/blob/master/jablib/src/main/java/org/jabref/logic/exporter/AcademicPagesExporter.java")</f>
        <v/>
      </c>
      <c r="D681" t="inlineStr">
        <is>
          <t>The provided Java code is part of a JabRef project, which is a popular reference management tool for academic literature. The code defines classes related to exporting bibliographic entries in various formats, including BibTeX, CSL (Citation Style Language), and HTML. Key functionalities include:
- **BibTeX Export**: Converts BibTeX entries into different citation styles.
- **CSL Export**: Generates citations using</t>
        </is>
      </c>
      <c r="E681" t="n">
        <v>0.0031</v>
      </c>
      <c r="F681" t="n">
        <v>0.0308</v>
      </c>
      <c r="G681" t="n">
        <v>0.07630000000000001</v>
      </c>
      <c r="H681" t="inlineStr">
        <is>
          <t>Manages BibTeX files and citation styles for JabRef. Complexity is O(N) due to file operations and data processing. Comments describe implementation details. Commits include initial setup. Code size is 1000 lines.</t>
        </is>
      </c>
      <c r="I681" t="n">
        <v>0.006</v>
      </c>
      <c r="J681" t="n">
        <v>0.05</v>
      </c>
      <c r="K681" t="n">
        <v>0.09710000000000001</v>
      </c>
      <c r="L681" t="inlineStr">
        <is>
          <t>The code is part of a JabRef project that handles exporting bibliographic references in various formats using Citation Style Language (CSL). It includes functionalities for loading CSL styles, generating citation styles from BibTeX files, handling journal abbreviations, applying layouts, and managing field preferences. The code processes input data such as BibTeX entries and generates formatted output according to specified styles and layout rules.</t>
        </is>
      </c>
      <c r="M681" t="n">
        <v>0.0029</v>
      </c>
      <c r="N681" t="n">
        <v>0.0563</v>
      </c>
      <c r="O681" t="n">
        <v>0.0741</v>
      </c>
    </row>
    <row r="682">
      <c r="A682" t="inlineStr">
        <is>
          <t>jabref</t>
        </is>
      </c>
      <c r="B682" t="inlineStr">
        <is>
          <t>jablib/src/main/java/org/jabref/logic/exporter/EmbeddedBibFilePdfExporter.java</t>
        </is>
      </c>
      <c r="C682">
        <f>HYPERLINK("https://github.com/JabRef/jabref/blob/master/jablib/src/main/java/org/jabref/logic/exporter/EmbeddedBibFilePdfExporter.java")</f>
        <v/>
      </c>
      <c r="D682" t="inlineStr">
        <is>
          <t>The provided Java code is part of a JabRef project, which is a popular reference management tool for academic literature. The code defines classes and methods to handle exporting BibTeX files and PDF documents from a database context. It includes functionalities such as writing BibTeX entries to a file, converting BibTeX entries into PDFs using Apache PDFBox, and managing field preferences for export formats. The complexity of this</t>
        </is>
      </c>
      <c r="E682" t="n">
        <v>0.0027</v>
      </c>
      <c r="F682" t="n">
        <v>0.0526</v>
      </c>
      <c r="G682" t="n">
        <v>0.1071</v>
      </c>
      <c r="H682" t="inlineStr">
        <is>
          <t>Manages BibTeX database operations and PDF export using Apache PDFBox library. Complexity is O(N) due to processing large datasets or complex document structures.</t>
        </is>
      </c>
      <c r="I682" t="n">
        <v>0.0083</v>
      </c>
      <c r="J682" t="n">
        <v>0.0625</v>
      </c>
      <c r="K682" t="n">
        <v>0.1053</v>
      </c>
      <c r="L682" t="inlineStr">
        <is>
          <t>The code is part of a JabRef project that handles exporting BibTeX entries to PDF files using Apache PDFBox. It includes methods for writing BibTeX entries to a PDF document, handling field preferences, and managing document names. The code processes BibDatabaseContext objects to extract entry data and formats it into a PDF format suitable for printing or sharing.</t>
        </is>
      </c>
      <c r="M682" t="n">
        <v>0.0031</v>
      </c>
      <c r="N682" t="n">
        <v>0.0303</v>
      </c>
      <c r="O682" t="n">
        <v>0.0769</v>
      </c>
    </row>
    <row r="683">
      <c r="A683" t="inlineStr">
        <is>
          <t>jabref</t>
        </is>
      </c>
      <c r="B683" t="inlineStr">
        <is>
          <t>jablib/src/main/java/org/jabref/logic/exporter/OOCalcDatabase.java</t>
        </is>
      </c>
      <c r="C683">
        <f>HYPERLINK("https://github.com/JabRef/jabref/blob/master/jablib/src/main/java/org/jabref/logic/exporter/OOCalcDatabase.java")</f>
        <v/>
      </c>
      <c r="D683" t="inlineStr">
        <is>
          <t>The provided Java code is part of a JabRef project, which is a popular reference manager for managing bibliographic references in various formats. The code defines classes and methods related to exporting BibTeX entries into XML format using OpenOffice.org typesetting. Key functionalities include:
- Parsing BibTeX databases.
- Applying custom formatting rules such as removing brackets, spaces around non-space whitespace, and converting field values to</t>
        </is>
      </c>
      <c r="E683" t="n">
        <v>0.0028</v>
      </c>
      <c r="F683" t="n">
        <v>0.0548</v>
      </c>
      <c r="G683" t="n">
        <v>0.073</v>
      </c>
      <c r="H683" t="inlineStr">
        <is>
          <t>The code is part of a Java library for managing bibliographic databases in JabRef, implementing various layout formats and field comparators. It includes parsing XML documents, handling BibTeX entries with different fields, and performing complex operations on database data. The complexity is high due to its extensive functionality and integration within the larger JabRef project.</t>
        </is>
      </c>
      <c r="I683" t="n">
        <v>0.007</v>
      </c>
      <c r="J683" t="n">
        <v>0.09520000000000001</v>
      </c>
      <c r="K683" t="n">
        <v>0.2012</v>
      </c>
      <c r="L683" t="inlineStr">
        <is>
          <t>This Java package contains classes for exporting BibTeX databases into XML format using OpenOffice-compatible styles. It includes methods for parsing BibTeX entries, applying layout formats such as removing brackets and spaces, and converting field values to specific types suitable for OpenOffice documents. The code is designed to handle various fields and ensure compatibility with OpenOffice's export requirements.</t>
        </is>
      </c>
      <c r="M683" t="n">
        <v>0.0038</v>
      </c>
      <c r="N683" t="n">
        <v>0.0597</v>
      </c>
      <c r="O683" t="n">
        <v>0.1163</v>
      </c>
    </row>
    <row r="684">
      <c r="A684" t="inlineStr">
        <is>
          <t>jabref</t>
        </is>
      </c>
      <c r="B684" t="inlineStr">
        <is>
          <t>jablib/src/main/java/org/jabref/logic/help/HelpFile.java</t>
        </is>
      </c>
      <c r="C684">
        <f>HYPERLINK("https://github.com/JabRef/jabref/blob/master/jablib/src/main/java/org/jabref/logic/help/HelpFile.java")</f>
        <v/>
      </c>
      <c r="D684" t="inlineStr">
        <is>
          <t>The `HelpFile` enum in the `org.jabref.logic.help` package defines global help pages for JabRef using Markdown files from the user documentation repository on GitHub. Each entry corresponds to a specific section or feature within JabRef's help system, allowing users to navigate through various topics related to editing entries, managing groups, special fields, citation keys, ownership, timestamps, custom exports, general</t>
        </is>
      </c>
      <c r="E684" t="n">
        <v>0</v>
      </c>
      <c r="F684" t="n">
        <v>0.0286</v>
      </c>
      <c r="G684" t="n">
        <v>0.0385</v>
      </c>
      <c r="H684" t="inlineStr">
        <is>
          <t>The repository contains backend software components implementing core algorithms.</t>
        </is>
      </c>
      <c r="I684" t="n">
        <v>0.0285</v>
      </c>
      <c r="J684" t="n">
        <v>0.3529</v>
      </c>
      <c r="K684" t="n">
        <v>0.3155</v>
      </c>
      <c r="L684" t="inlineStr">
        <is>
          <t>This Java enum `HelpFile` lists various Markdown files for JabRef's user documentation, providing links to specific sections within the GitHub repository. It includes entries like "ENTRY_EDITOR" for advanced entry editor features and "GROUPS" for group management. The enum helps users navigate through different parts of the documentation easily.</t>
        </is>
      </c>
      <c r="M684" t="n">
        <v>0.0045</v>
      </c>
      <c r="N684" t="n">
        <v>0.06900000000000001</v>
      </c>
      <c r="O684" t="n">
        <v>0.125</v>
      </c>
    </row>
    <row r="685">
      <c r="A685" t="inlineStr">
        <is>
          <t>jabref</t>
        </is>
      </c>
      <c r="B685" t="inlineStr">
        <is>
          <t>jablib/src/main/java/org/jabref/logic/command/CommandSelectionTab.java</t>
        </is>
      </c>
      <c r="C685">
        <f>HYPERLINK("https://github.com/JabRef/jabref/blob/master/jablib/src/main/java/org/jabref/logic/command/CommandSelectionTab.java")</f>
        <v/>
      </c>
      <c r="D685" t="inlineStr">
        <is>
          <t>The `CommandSelectionTab` interface in the JabRef project defines methods for clearing and selecting entries from a database context. It includes two main functionalities:
1. **clearAndSelect(List&lt;BibEntry&gt; bibEntries)**: This method clears any existing selected entries and selects the specified list of BibEntry objects.
2. **getBibDatabaseContext()**: This method returns the current BibDatabaseContext</t>
        </is>
      </c>
      <c r="E685" t="n">
        <v>0.0045</v>
      </c>
      <c r="F685" t="n">
        <v>0.0678</v>
      </c>
      <c r="G685" t="n">
        <v>0.08260000000000001</v>
      </c>
      <c r="H685" t="inlineStr">
        <is>
          <t>Manages selection in command-based tab for JabRef database entries.</t>
        </is>
      </c>
      <c r="I685" t="n">
        <v>0</v>
      </c>
      <c r="J685" t="n">
        <v>0</v>
      </c>
      <c r="K685" t="n">
        <v>0</v>
      </c>
      <c r="L685" t="inlineStr">
        <is>
          <t>This Java interface defines a command for selecting entries from a BibTeX database context. It includes methods to clear any existing selections and select new ones based on a list of BibEntry objects. The `getBibDatabaseContext` method retrieves the current database context associated with the selection tab.</t>
        </is>
      </c>
      <c r="M685" t="n">
        <v>0.0048</v>
      </c>
      <c r="N685" t="n">
        <v>0.0741</v>
      </c>
      <c r="O685" t="n">
        <v>0.0847</v>
      </c>
    </row>
    <row r="686">
      <c r="A686" t="inlineStr">
        <is>
          <t>jabref</t>
        </is>
      </c>
      <c r="B686" t="inlineStr">
        <is>
          <t>jablib/src/main/java/org/jabref/logic/integrity/HowPublishedChecker.java</t>
        </is>
      </c>
      <c r="C686">
        <f>HYPERLINK("https://github.com/JabRef/jabref/blob/master/jablib/src/main/java/org/jabref/logic/integrity/HowPublishedChecker.java")</f>
        <v/>
      </c>
      <c r="D686" t="inlineStr">
        <is>
          <t>The `HowPublishedChecker` class is a part of the JabRef application's integrity checking system. It checks if the "How Published" field in bibliographic entries follows specific formatting rules:
- The first letter of the entry must be capitalized.
- This rule applies to all words in the field, including those that might be separated by punctuation or spaces.
The checker uses regular expressions to determine if the</t>
        </is>
      </c>
      <c r="E686" t="n">
        <v>0.0028</v>
      </c>
      <c r="F686" t="n">
        <v>0.0274</v>
      </c>
      <c r="G686" t="n">
        <v>0.0725</v>
      </c>
      <c r="H686" t="inlineStr">
        <is>
          <t>The `HowPublishedChecker` class in the `org.jabref.logic.integrity` package is designed to validate the "HowPublished" field in bibliographic entries. It checks if the first letter of the entry's title is capitalized according to standard citation formatting rules. This implementation uses regular expressions to ensure that the condition is met.</t>
        </is>
      </c>
      <c r="I686" t="n">
        <v>0.0039</v>
      </c>
      <c r="J686" t="n">
        <v>0.0678</v>
      </c>
      <c r="K686" t="n">
        <v>0.1261</v>
      </c>
      <c r="L686" t="inlineStr">
        <is>
          <t>The `HowPublishedChecker` class is designed to ensure that entries in a bibliographic database have their "How Published" field formatted correctly according to specific rules defined by the BibTeX specification and the biblatex package documentation. It checks if the first letter of the "How Published" field is capitalized and ensures that the entire field follows standard capitalization conventions for titles. If the field fails these checks,</t>
        </is>
      </c>
      <c r="M686" t="n">
        <v>0.0028</v>
      </c>
      <c r="N686" t="n">
        <v>0.0274</v>
      </c>
      <c r="O686" t="n">
        <v>0.0365</v>
      </c>
    </row>
    <row r="687">
      <c r="A687" t="inlineStr">
        <is>
          <t>jabref</t>
        </is>
      </c>
      <c r="B687" t="inlineStr">
        <is>
          <t>jablib/src/main/java/org/jabref/logic/integrity/IntegrityCheckResultWriter.java</t>
        </is>
      </c>
      <c r="C687">
        <f>HYPERLINK("https://github.com/JabRef/jabref/blob/master/jablib/src/main/java/org/jabref/logic/integrity/IntegrityCheckResultWriter.java")</f>
        <v/>
      </c>
      <c r="D687" t="inlineStr">
        <is>
          <t>The `IntegrityCheckResultWriter` class in the `org.jabref.logic.integrity` package provides an interface for writing integrity check results to a specified writer. It takes a list of `IntegrityMessage` objects and a `Writer` object as parameters during initialization. The `writeFindings()` method must be implemented by subclasses to output the integrity messages to the writer. The class also</t>
        </is>
      </c>
      <c r="E687" t="n">
        <v>0.0035</v>
      </c>
      <c r="F687" t="n">
        <v>0.0312</v>
      </c>
      <c r="G687" t="n">
        <v>0.08</v>
      </c>
      <c r="H687" t="inlineStr">
        <is>
          <t>The `IntegrityCheckResultWriter` class in the `org.jabref.logic.integrity` package provides an interface for writing integrity check results to a specified writer. It includes methods for initializing with a list of messages and a writer, as well as an abstract method for writing findings. The implementation is designed to be closed by the caller after use.</t>
        </is>
      </c>
      <c r="I687" t="n">
        <v>0.0035</v>
      </c>
      <c r="J687" t="n">
        <v>0.0312</v>
      </c>
      <c r="K687" t="n">
        <v>0.08</v>
      </c>
      <c r="L687" t="inlineStr">
        <is>
          <t>The `IntegrityCheckResultWriter` class provides an abstract base implementation for writing integrity check results to a specified output stream. It encapsulates a list of `IntegrityMessage` objects and a `Writer`. The constructor takes these parameters and initializes them. The `writeFindings()` method is intended to be overridden by subclasses to define how the messages should be written to the output stream. The class</t>
        </is>
      </c>
      <c r="M687" t="n">
        <v>0.003</v>
      </c>
      <c r="N687" t="n">
        <v>0.0588</v>
      </c>
      <c r="O687" t="n">
        <v>0.07580000000000001</v>
      </c>
    </row>
    <row r="688">
      <c r="A688" t="inlineStr">
        <is>
          <t>jabref</t>
        </is>
      </c>
      <c r="B688" t="inlineStr">
        <is>
          <t>jablib/src/main/java/org/jabref/logic/integrity/BibTeXEntryTypeChecker.java</t>
        </is>
      </c>
      <c r="C688">
        <f>HYPERLINK("https://github.com/JabRef/jabref/blob/master/jablib/src/main/java/org/jabref/logic/integrity/BibTeXEntryTypeChecker.java")</f>
        <v/>
      </c>
      <c r="D688" t="inlineStr">
        <is>
          <t>The `BibTeXEntryTypeChecker` class checks if a given BibTeX entry uses any exclusive BibLaTeX entry types that are not supported in BibTeX libraries. If such a type is found, it returns an integrity message indicating the issue with the entry's type. The implementation is straightforward and operates in O(1) time complexity since it involves checking a single field (`InternalField.KEY_FIELD</t>
        </is>
      </c>
      <c r="E688" t="n">
        <v>0.0031</v>
      </c>
      <c r="F688" t="n">
        <v>0.0571</v>
      </c>
      <c r="G688" t="n">
        <v>0.1154</v>
      </c>
      <c r="H688" t="inlineStr">
        <is>
          <t>Checks if a BibTeX entry uses exclusive BibLaTeX entry types and provides warnings if so. Complexity depends on the number of entries in the library.</t>
        </is>
      </c>
      <c r="I688" t="n">
        <v>0.0076</v>
      </c>
      <c r="J688" t="n">
        <v>0.0606</v>
      </c>
      <c r="K688" t="n">
        <v>0.1031</v>
      </c>
      <c r="L688" t="inlineStr">
        <is>
          <t>The `BibTeXEntryTypeChecker` class checks if a given BibTeX entry uses any exclusive BibLaTeX entry types that are not supported by BibTeX. If such a type is found, it returns an integrity message warning the user about the mismatch. The method iterates over the fields of the entry, checking each field's type against the list of exclusive BibLaTeX entry types using `</t>
        </is>
      </c>
      <c r="M688" t="n">
        <v>0</v>
      </c>
      <c r="N688" t="n">
        <v>0</v>
      </c>
      <c r="O688" t="n">
        <v>0.0376</v>
      </c>
    </row>
    <row r="689">
      <c r="A689" t="inlineStr">
        <is>
          <t>jabref</t>
        </is>
      </c>
      <c r="B689" t="inlineStr">
        <is>
          <t>jablib/src/main/java/org/jabref/logic/integrity/ASCIICharacterChecker.java</t>
        </is>
      </c>
      <c r="C689">
        <f>HYPERLINK("https://github.com/JabRef/jabref/blob/master/jablib/src/main/java/org/jabref/logic/integrity/ASCIICharacterChecker.java")</f>
        <v/>
      </c>
      <c r="D689" t="inlineStr">
        <is>
          <t>The `ASCIICharacterChecker` class is designed to identify entries containing non-ASCII encoded characters in their fields. It iterates over each field-value pair in a given BibEntry object, using Google's Guava library's `CharMatcher.ascii()` method to determine if all characters in the value are ASCII. If a non-ASCII character is detected, it creates an `IntegrityMessage` object with</t>
        </is>
      </c>
      <c r="E689" t="n">
        <v>0</v>
      </c>
      <c r="F689" t="n">
        <v>0</v>
      </c>
      <c r="G689" t="n">
        <v>0.0397</v>
      </c>
      <c r="H689" t="inlineStr">
        <is>
          <t>Checks BibEntries for non-ASCII encoded characters in their fields and returns messages indicating such occurrences.</t>
        </is>
      </c>
      <c r="I689" t="n">
        <v>0.0132</v>
      </c>
      <c r="J689" t="n">
        <v>0.0833</v>
      </c>
      <c r="K689" t="n">
        <v>0.0575</v>
      </c>
      <c r="L689" t="inlineStr">
        <is>
          <t>The `ASCIICharacterChecker` class is designed to identify and report entries containing non-ASCII encoded characters in their fields. It iterates over each field-value pair in a given BibEntry, using `CharMatcher.ascii()` to determine if all characters are within the ASCII range. If a non-ASCII character is detected, it adds an integrity message to the list, indicating the presence of such characters in</t>
        </is>
      </c>
      <c r="M689" t="n">
        <v>0.003</v>
      </c>
      <c r="N689" t="n">
        <v>0.0278</v>
      </c>
      <c r="O689" t="n">
        <v>0.07580000000000001</v>
      </c>
    </row>
    <row r="690">
      <c r="A690" t="inlineStr">
        <is>
          <t>jabref</t>
        </is>
      </c>
      <c r="B690" t="inlineStr">
        <is>
          <t>jablib/src/main/java/org/jabref/logic/integrity/CitationKeyDuplicationChecker.java</t>
        </is>
      </c>
      <c r="C690">
        <f>HYPERLINK("https://github.com/JabRef/jabref/blob/master/jablib/src/main/java/org/jabref/logic/integrity/CitationKeyDuplicationChecker.java")</f>
        <v/>
      </c>
      <c r="D690" t="inlineStr">
        <is>
          <t>The `CitationKeyDuplicationChecker` class in the `org.jabref.logic.integrity` package checks for duplicate citation keys within a given BibTeX database. It takes a `BibDatabase` as input and returns a list of `IntegrityMessage` objects indicating any duplicates found. The method first retrieves the citation key from the `BibEntry`, then checks if it exists in</t>
        </is>
      </c>
      <c r="E690" t="n">
        <v>0.0037</v>
      </c>
      <c r="F690" t="n">
        <v>0.0328</v>
      </c>
      <c r="G690" t="n">
        <v>0.041</v>
      </c>
      <c r="H690" t="inlineStr">
        <is>
          <t>The code checks for duplicate citation keys in a BibTeX database and returns an integrity message if a duplicate is found. It uses the `BibDatabase` to determine if the citation key already exists in the database. The complexity is linear with respect to the number of entries in the database due to the need to iterate through all entries to find duplicates.</t>
        </is>
      </c>
      <c r="I690" t="n">
        <v>0.0029</v>
      </c>
      <c r="J690" t="n">
        <v>0.0286</v>
      </c>
      <c r="K690" t="n">
        <v>0.0746</v>
      </c>
      <c r="L690" t="inlineStr">
        <is>
          <t>The `CitationKeyDuplicationChecker` class checks for duplicate citation keys within a given BibTeX database. It iterates over each entry, retrieves its citation key, and uses the database's method to determine if that key already exists elsewhere. If a duplicate is found, it returns an integrity message indicating the duplicate key and the associated entry. The implementation is efficient, with a time complexity of O</t>
        </is>
      </c>
      <c r="M690" t="n">
        <v>0.0029</v>
      </c>
      <c r="N690" t="n">
        <v>0.0278</v>
      </c>
      <c r="O690" t="n">
        <v>0.1111</v>
      </c>
    </row>
    <row r="691">
      <c r="A691" t="inlineStr">
        <is>
          <t>jabref</t>
        </is>
      </c>
      <c r="B691" t="inlineStr">
        <is>
          <t>jablib/src/main/java/org/jabref/logic/integrity/BracketChecker.java</t>
        </is>
      </c>
      <c r="C691">
        <f>HYPERLINK("https://github.com/JabRef/jabref/blob/master/jablib/src/main/java/org/jabref/logic/integrity/BracketChecker.java")</f>
        <v/>
      </c>
      <c r="D691" t="inlineStr">
        <is>
          <t>The `BracketChecker` class is a utility that checks for balanced curly braces in JabRef entries. It iterates over each character in the input string, tracking the number of unmatched opening brackets `{`. If it encounters a closing bracket `}` without a matching opening bracket, or if there are any unmatched opening brackets left at the end, it returns an error message indicating the issue. Otherwise, it returns</t>
        </is>
      </c>
      <c r="E691" t="n">
        <v>0</v>
      </c>
      <c r="F691" t="n">
        <v>0</v>
      </c>
      <c r="G691" t="n">
        <v>0</v>
      </c>
      <c r="H691" t="inlineStr">
        <is>
          <t>Checks for balanced curly brackets in strings to ensure proper formatting.</t>
        </is>
      </c>
      <c r="I691" t="n">
        <v>0</v>
      </c>
      <c r="J691" t="n">
        <v>0</v>
      </c>
      <c r="K691" t="n">
        <v>0</v>
      </c>
      <c r="L691" t="inlineStr">
        <is>
          <t>The `BracketChecker` class is designed to validate that strings containing curly braces `{}` have matching pairs. It checks each character in the input string, tracking the balance using a simple counter. If the count goes negative at any point, it indicates an unmatched closing brace. Conversely, if there's still a positive count after processing the entire string, it means there's an unmatched opening brace. The method</t>
        </is>
      </c>
      <c r="M691" t="n">
        <v>0</v>
      </c>
      <c r="N691" t="n">
        <v>0</v>
      </c>
      <c r="O691" t="n">
        <v>0.0362</v>
      </c>
    </row>
    <row r="692">
      <c r="A692" t="inlineStr">
        <is>
          <t>jabref</t>
        </is>
      </c>
      <c r="B692" t="inlineStr">
        <is>
          <t>jablib/src/main/java/org/jabref/logic/integrity/IntegrityMessage.java</t>
        </is>
      </c>
      <c r="C692">
        <f>HYPERLINK("https://github.com/JabRef/jabref/blob/master/jablib/src/main/java/org/jabref/logic/integrity/IntegrityMessage.java")</f>
        <v/>
      </c>
      <c r="D692" t="inlineStr">
        <is>
          <t>The `IntegrityMessage` class is a record that represents a message about an integrity issue with a specific BibTeX entry and field. It includes methods to convert it to a string representation and to create a copy of itself. The complexity of this implementation is O(1), as all operations involve constant-time actions such as accessing fields or cloning objects.</t>
        </is>
      </c>
      <c r="E692" t="n">
        <v>0.0031</v>
      </c>
      <c r="F692" t="n">
        <v>0.0588</v>
      </c>
      <c r="G692" t="n">
        <v>0.1154</v>
      </c>
      <c r="H692" t="inlineStr">
        <is>
          <t>The provided Java class `IntegrityMessage` is part of a JabRef application used for managing bibliographic references. It records messages related to integrity checks on entries within a bibliography database. The class includes fields for a message, a `BibEntry`, and a `Field`. It provides methods to convert the object to a string representation and to create a copy of itself. The complexity is O(N</t>
        </is>
      </c>
      <c r="I692" t="n">
        <v>0.0029</v>
      </c>
      <c r="J692" t="n">
        <v>0.0278</v>
      </c>
      <c r="K692" t="n">
        <v>0.0741</v>
      </c>
      <c r="L692" t="inlineStr">
        <is>
          <t>The `IntegrityMessage` class is a data structure used to represent messages related to integrity checks performed on BibTeX entries. It encapsulates a message, a BibTeX entry, and the field that triggered the message. The `toString()` method formats the message by including the citation key (or author-title-year if no citation key exists), the name of the affected field, and the actual error message</t>
        </is>
      </c>
      <c r="M692" t="n">
        <v>0.0029</v>
      </c>
      <c r="N692" t="n">
        <v>0.0278</v>
      </c>
      <c r="O692" t="n">
        <v>0.0746</v>
      </c>
    </row>
    <row r="693">
      <c r="A693" t="inlineStr">
        <is>
          <t>jabref</t>
        </is>
      </c>
      <c r="B693" t="inlineStr">
        <is>
          <t>jablib/src/main/java/org/jabref/logic/integrity/AbbreviationChecker.java</t>
        </is>
      </c>
      <c r="C693">
        <f>HYPERLINK("https://github.com/JabRef/jabref/blob/master/jablib/src/main/java/org/jabref/logic/integrity/AbbreviationChecker.java")</f>
        <v/>
      </c>
      <c r="D693" t="inlineStr">
        <is>
          <t>The `AbbreviationChecker` class is part of the JabRef project's integrity checking module. It checks BibTeX entries to ensure that journal abbreviations used in book names are valid according to the specified repository. The class uses a set of predefined fields (`fields`) where it looks for journal abbreviations. For each field, it retrieves the corresponding LaTeX-free string from the BibEntry. If the</t>
        </is>
      </c>
      <c r="E693" t="n">
        <v>0</v>
      </c>
      <c r="F693" t="n">
        <v>0.0282</v>
      </c>
      <c r="G693" t="n">
        <v>0.0376</v>
      </c>
      <c r="H693" t="inlineStr">
        <is>
          <t>The code is part of a JabRef project that checks BibTeX entries for abbreviations in book names using a journal abbreviation repository. It iterates over specified fields to find values and compares them against known abbreviations, returning any discrepancies as integrity messages. The complexity is linear with respect to the number of entries being checked.</t>
        </is>
      </c>
      <c r="I693" t="n">
        <v>0.0033</v>
      </c>
      <c r="J693" t="n">
        <v>0.0317</v>
      </c>
      <c r="K693" t="n">
        <v>0.07870000000000001</v>
      </c>
      <c r="L693" t="inlineStr">
        <is>
          <t>The `AbbreviationChecker` class is designed to verify the correctness of journal abbreviations in BibTeX entries by comparing them against a predefined list of valid abbreviations using a `JournalAbbreviationRepository`. It checks specified book name fields for any discrepancies between their LaTeX-free values and those found in the repository. If a mismatch is detected, it generates an integrity message indicating the incorrect abbreviation. The</t>
        </is>
      </c>
      <c r="M693" t="n">
        <v>0.0029</v>
      </c>
      <c r="N693" t="n">
        <v>0.0282</v>
      </c>
      <c r="O693" t="n">
        <v>0.0746</v>
      </c>
    </row>
    <row r="694">
      <c r="A694" t="inlineStr">
        <is>
          <t>jabref</t>
        </is>
      </c>
      <c r="B694" t="inlineStr">
        <is>
          <t>jablib/src/main/java/org/jabref/logic/integrity/DatabaseChecker.java</t>
        </is>
      </c>
      <c r="C694">
        <f>HYPERLINK("https://github.com/JabRef/jabref/blob/master/jablib/src/main/java/org/jabref/logic/integrity/DatabaseChecker.java")</f>
        <v/>
      </c>
      <c r="D694" t="inlineStr">
        <is>
          <t>The `DatabaseChecker` interface is a functional interface that defines a method to check for integrity issues in a BibTeX database. It takes a `BibDatabase` object as input and returns a list of `IntegrityMessage` objects representing any detected problems. The complexity of this operation is O(N), where N is the number of entries in the database. This interface is part of the JabRef</t>
        </is>
      </c>
      <c r="E694" t="n">
        <v>0.0035</v>
      </c>
      <c r="F694" t="n">
        <v>0.0563</v>
      </c>
      <c r="G694" t="n">
        <v>0.1119</v>
      </c>
      <c r="H694" t="inlineStr">
        <is>
          <t>The `DatabaseChecker` interface in JabRef is designed to perform integrity checks on BibTeX databases. It takes a `BibDatabase` object as input and returns a list of `IntegrityMessage` objects indicating any issues found during the check. The complexity of this operation is linear with respect to the number of entries in the database (O(N)), making it suitable for large datasets.</t>
        </is>
      </c>
      <c r="I694" t="n">
        <v>0.0031</v>
      </c>
      <c r="J694" t="n">
        <v>0.0294</v>
      </c>
      <c r="K694" t="n">
        <v>0.07630000000000001</v>
      </c>
      <c r="L694" t="inlineStr">
        <is>
          <t>The `DatabaseChecker` interface defines a method `check`, which takes a `BibDatabase` object as input and returns a list of `IntegrityMessage` objects representing any issues found during the integrity check. The implementation complexity is O(N), where N is the number of entries in the BibTeX database.</t>
        </is>
      </c>
      <c r="M694" t="n">
        <v>0.0041</v>
      </c>
      <c r="N694" t="n">
        <v>0.037</v>
      </c>
      <c r="O694" t="n">
        <v>0.08550000000000001</v>
      </c>
    </row>
    <row r="695">
      <c r="A695" t="inlineStr">
        <is>
          <t>jabref</t>
        </is>
      </c>
      <c r="B695" t="inlineStr">
        <is>
          <t>jablib/src/main/java/org/jabref/logic/integrity/DoiDuplicationChecker.java</t>
        </is>
      </c>
      <c r="C695">
        <f>HYPERLINK("https://github.com/JabRef/jabref/blob/master/jablib/src/main/java/org/jabref/logic/integrity/DoiDuplicationChecker.java")</f>
        <v/>
      </c>
      <c r="D695" t="inlineStr">
        <is>
          <t>The `DoiDuplicationChecker` class is part of the JabRef project's integrity checking system. It checks for duplicate DOIs within a BibTeX database. The method `check` takes a `BibDatabase` as input and returns a list of `IntegrityMessage` objects indicating any duplicate DOI entries found in the database. The implementation uses a `HashBiMap` to map each</t>
        </is>
      </c>
      <c r="E695" t="n">
        <v>0.0035</v>
      </c>
      <c r="F695" t="n">
        <v>0.0323</v>
      </c>
      <c r="G695" t="n">
        <v>0.12</v>
      </c>
      <c r="H695" t="inlineStr">
        <is>
          <t>This repository contains backend software components that implement core algorithms to process and analyze BibTeX databases. The complexity is O(N), indicating linear time performance with respect to the number of entries in the database.</t>
        </is>
      </c>
      <c r="I695" t="n">
        <v>0.0077</v>
      </c>
      <c r="J695" t="n">
        <v>0.2326</v>
      </c>
      <c r="K695" t="n">
        <v>0.3509</v>
      </c>
      <c r="L695" t="inlineStr">
        <is>
          <t>The `DoiDuplicationChecker` class checks for duplicate DOIs within a BibTeX database by using a hash map to track entries associated with each DOI. It iterates over all entries, retrieves their DOIs if present, and adds them to a list in the map. If a DOI is already found in the map, it indicates that there is a duplicate entry, which is then added to</t>
        </is>
      </c>
      <c r="M695" t="n">
        <v>0.0028</v>
      </c>
      <c r="N695" t="n">
        <v>0.0278</v>
      </c>
      <c r="O695" t="n">
        <v>0.0735</v>
      </c>
    </row>
    <row r="696">
      <c r="A696" t="inlineStr">
        <is>
          <t>jabref</t>
        </is>
      </c>
      <c r="B696" t="inlineStr">
        <is>
          <t>jablib/src/main/java/org/jabref/logic/integrity/BibStringChecker.java</t>
        </is>
      </c>
      <c r="C696">
        <f>HYPERLINK("https://github.com/JabRef/jabref/blob/master/jablib/src/main/java/org/jabref/logic/integrity/BibStringChecker.java")</f>
        <v/>
      </c>
      <c r="D696" t="inlineStr">
        <is>
          <t>The `BibStringChecker` class checks for an even number of unescaped hash symbols (`#`) in BibTeX strings within a given BibEntry. It uses regular expressions to identify such occurrences and returns a list of integrity messages indicating whether each field containing a BibTeX string has an even number of unescaped hashes. The implementation runs in O(N) time complexity, where N is the total length</t>
        </is>
      </c>
      <c r="E696" t="n">
        <v>0.0029</v>
      </c>
      <c r="F696" t="n">
        <v>0.0282</v>
      </c>
      <c r="G696" t="n">
        <v>0.1111</v>
      </c>
      <c r="H696" t="inlineStr">
        <is>
          <t>This repository contains backend software components that implement core algorithms for processing and analyzing data. The complexity of these implementations is O(N), indicating linear time complexity with respect to the input size N. The comments provide details about the implementation's purpose and functionality. The commits include an initial codebase commit. The total code size is 1000 lines.</t>
        </is>
      </c>
      <c r="I696" t="n">
        <v>0.0045</v>
      </c>
      <c r="J696" t="n">
        <v>0.1493</v>
      </c>
      <c r="K696" t="n">
        <v>0.1938</v>
      </c>
      <c r="L696" t="inlineStr">
        <is>
          <t>The `BibStringChecker` class checks for an even number of unescaped hash symbols (`#`) within BibTeX strings in a given BibEntry. It uses regular expressions to identify these occurrences and returns any issues as IntegrityMessages. The implementation focuses on ensuring that each BibTeX string has an even number of such characters, which can affect parsing and formatting.</t>
        </is>
      </c>
      <c r="M696" t="n">
        <v>0.0033</v>
      </c>
      <c r="N696" t="n">
        <v>0.0635</v>
      </c>
      <c r="O696" t="n">
        <v>0.1172</v>
      </c>
    </row>
    <row r="697">
      <c r="A697" t="inlineStr">
        <is>
          <t>jabref</t>
        </is>
      </c>
      <c r="B697" t="inlineStr">
        <is>
          <t>jablib/src/main/java/org/jabref/logic/integrity/YearChecker.java</t>
        </is>
      </c>
      <c r="C697">
        <f>HYPERLINK("https://github.com/JabRef/jabref/blob/master/jablib/src/main/java/org/jabref/logic/integrity/YearChecker.java")</f>
        <v/>
      </c>
      <c r="D697" t="inlineStr">
        <is>
          <t>The `YearChecker` class in the `org.jabref.logic.integrity` package is designed to validate BibTeX years according to specific rules. It uses regular expressions to check if a given string represents a valid year:
1. **Contains Four Digits**: The method checks if the string contains at least one digit that is followed by exactly four digits or preceded by exactly four digits (to allow</t>
        </is>
      </c>
      <c r="E697" t="n">
        <v>0</v>
      </c>
      <c r="F697" t="n">
        <v>0.0278</v>
      </c>
      <c r="G697" t="n">
        <v>0.0376</v>
      </c>
      <c r="H697" t="inlineStr">
        <is>
          <t>Checks if a string contains or ends with a four-digit year, adhering to BibTeX standards.</t>
        </is>
      </c>
      <c r="I697" t="n">
        <v>0</v>
      </c>
      <c r="J697" t="n">
        <v>0</v>
      </c>
      <c r="K697" t="n">
        <v>0</v>
      </c>
      <c r="L697" t="inlineStr">
        <is>
          <t>The `YearChecker` class is responsible for validating BibTeX years according to specific rules. It checks if a given string represents a valid year by ensuring it contains exactly four digits and optionally ending with them. The validation uses regular expressions to enforce these constraints, allowing for variations like "about" followed by a four-digit year. The implementation is part of a larger system designed to ensure data integrity in Jab</t>
        </is>
      </c>
      <c r="M697" t="n">
        <v>0.0026</v>
      </c>
      <c r="N697" t="n">
        <v>0.0256</v>
      </c>
      <c r="O697" t="n">
        <v>0.1064</v>
      </c>
    </row>
    <row r="698">
      <c r="A698" t="inlineStr">
        <is>
          <t>jabref</t>
        </is>
      </c>
      <c r="B698" t="inlineStr">
        <is>
          <t>jablib/src/main/java/org/jabref/logic/integrity/NoURLChecker.java</t>
        </is>
      </c>
      <c r="C698">
        <f>HYPERLINK("https://github.com/JabRef/jabref/blob/master/jablib/src/main/java/org/jabref/logic/integrity/NoURLChecker.java")</f>
        <v/>
      </c>
      <c r="D698" t="inlineStr">
        <is>
          <t>The `NoURLChecker` class is a part of the JabRef project's integrity module. It checks for URLs in given strings to ensure they do not contain any URLs. If a string contains a URL, it returns an error message indicating that the string contains a URL. Otherwise, it returns an empty optional. The implementation uses regular expressions to detect URLs within the input string.</t>
        </is>
      </c>
      <c r="E698" t="n">
        <v>0</v>
      </c>
      <c r="F698" t="n">
        <v>0.0556</v>
      </c>
      <c r="G698" t="n">
        <v>0.0741</v>
      </c>
      <c r="H698" t="inlineStr">
        <is>
          <t>Checks for URLs in strings and returns an error message if any are found. Complexity is O(N), where N is the length of the input string.</t>
        </is>
      </c>
      <c r="I698" t="n">
        <v>0.0073</v>
      </c>
      <c r="J698" t="n">
        <v>0.0571</v>
      </c>
      <c r="K698" t="n">
        <v>0.051</v>
      </c>
      <c r="L698" t="inlineStr">
        <is>
          <t>The `NoURLChecker` class is designed to verify that a given string does not contain any URLs. It checks for blank values first and then uses a regular expression to identify URLs within the input string. If a URL is found, it returns a localized message indicating presence of a URL; otherwise, it returns an empty optional. The implementation complexity is O(1) due to the use of regex</t>
        </is>
      </c>
      <c r="M698" t="n">
        <v>0.0027</v>
      </c>
      <c r="N698" t="n">
        <v>0.0263</v>
      </c>
      <c r="O698" t="n">
        <v>0.1079</v>
      </c>
    </row>
    <row r="699">
      <c r="A699" t="inlineStr">
        <is>
          <t>jabref</t>
        </is>
      </c>
      <c r="B699" t="inlineStr">
        <is>
          <t>jablib/src/main/java/org/jabref/logic/integrity/PersonNamesChecker.java</t>
        </is>
      </c>
      <c r="C699">
        <f>HYPERLINK("https://github.com/JabRef/jabref/blob/master/jablib/src/main/java/org/jabref/logic/integrity/PersonNamesChecker.java")</f>
        <v/>
      </c>
      <c r="D699" t="inlineStr">
        <is>
          <t>The `PersonNamesChecker` class is part of the JabRef library's integrity checking module. It checks for specific patterns in author names within bibliographic entries. The class uses various utilities from JabRef to trim whitespace, convert strings to lowercase, and perform locale-sensitive operations. It specifically looks for patterns like "and" or commas at the beginning of author lists, which might indicate incorrect formatting. If</t>
        </is>
      </c>
      <c r="E699" t="n">
        <v>0.0029</v>
      </c>
      <c r="F699" t="n">
        <v>0.0556</v>
      </c>
      <c r="G699" t="n">
        <v>0.0746</v>
      </c>
      <c r="H699" t="inlineStr">
        <is>
          <t>This repository contains backend software components that implement core algorithms for processing and managing data in a BibTeX database. The complexity is O(N), indicating linear time operations based on input size N. The implementation includes features such as removing brackets from strings and checking person names against specific criteria.</t>
        </is>
      </c>
      <c r="I699" t="n">
        <v>0.0053</v>
      </c>
      <c r="J699" t="n">
        <v>0.1724</v>
      </c>
      <c r="K699" t="n">
        <v>0.2066</v>
      </c>
      <c r="L699" t="inlineStr">
        <is>
          <t>The `PersonNamesChecker` class is designed to validate person names within bibliographic entries. It checks for blank values and ensures that names start correctly without leading spaces or commas. The implementation uses string manipulation methods from the JabRef library to trim whitespace and convert strings to lowercase before performing these checks.</t>
        </is>
      </c>
      <c r="M699" t="n">
        <v>0.0037</v>
      </c>
      <c r="N699" t="n">
        <v>0.06900000000000001</v>
      </c>
      <c r="O699" t="n">
        <v>0.123</v>
      </c>
    </row>
    <row r="700">
      <c r="A700" t="inlineStr">
        <is>
          <t>jabref</t>
        </is>
      </c>
      <c r="B700" t="inlineStr">
        <is>
          <t>jablib/src/main/java/org/jabref/logic/integrity/DateChecker.java</t>
        </is>
      </c>
      <c r="C700">
        <f>HYPERLINK("https://github.com/JabRef/jabref/blob/master/jablib/src/main/java/org/jabref/logic/integrity/DateChecker.java")</f>
        <v/>
      </c>
      <c r="D700" t="inlineStr">
        <is>
          <t>The `DateChecker` class is part of the JabRef project's integrity module. It checks if a given date string is valid according to JabRef's standards. The method `checkValue` takes a date string as input and returns an empty optional if the date is valid or an error message wrapped in an optional if it is invalid. If the input string is blank, it also returns an empty</t>
        </is>
      </c>
      <c r="E700" t="n">
        <v>0.0028</v>
      </c>
      <c r="F700" t="n">
        <v>0.0526</v>
      </c>
      <c r="G700" t="n">
        <v>0.0725</v>
      </c>
      <c r="H700" t="inlineStr">
        <is>
          <t>Checks if a date string is in the correct format using `Date.parse` from JabRef's model entry package. If the input string is blank or cannot be parsed as a valid date, it returns an error message indicating incorrect format. Otherwise, it returns an empty optional.</t>
        </is>
      </c>
      <c r="I700" t="n">
        <v>0</v>
      </c>
      <c r="J700" t="n">
        <v>0</v>
      </c>
      <c r="K700" t="n">
        <v>0.0427</v>
      </c>
      <c r="L700" t="inlineStr">
        <is>
          <t>The `DateChecker` class is designed to validate date strings according to JabRef's internal date parsing rules. It checks if the input string is blank and returns an empty optional if true. If the string is not blank, it attempts to parse the date using `Date.parse()`. If the parsing fails, it returns an error message indicating that the date format is incorrect. Otherwise, it returns an</t>
        </is>
      </c>
      <c r="M700" t="n">
        <v>0.0028</v>
      </c>
      <c r="N700" t="n">
        <v>0.0267</v>
      </c>
      <c r="O700" t="n">
        <v>0.073</v>
      </c>
    </row>
    <row r="701">
      <c r="A701" t="inlineStr">
        <is>
          <t>jabref</t>
        </is>
      </c>
      <c r="B701" t="inlineStr">
        <is>
          <t>jablib/src/main/java/org/jabref/logic/integrity/IntegrityCheck.java</t>
        </is>
      </c>
      <c r="C701">
        <f>HYPERLINK("https://github.com/JabRef/jabref/blob/master/jablib/src/main/java/org/jabref/logic/integrity/IntegrityCheck.java")</f>
        <v/>
      </c>
      <c r="D701" t="inlineStr">
        <is>
          <t>The `IntegrityCheck` class in the `org.jabref.logic.integrity` package is designed to perform various checks on a BibTeX database context (`BibDatabaseContext`). It includes:
- **Dependencies**: The class depends on several other classes such as `FilePreferences`, `CitationKeyPatternPreferences`, `JournalAbbreviationRepository`, etc.
- **Fields**:</t>
        </is>
      </c>
      <c r="E701" t="n">
        <v>0</v>
      </c>
      <c r="F701" t="n">
        <v>0.0426</v>
      </c>
      <c r="G701" t="n">
        <v>0</v>
      </c>
      <c r="H701" t="inlineStr">
        <is>
          <t>The `IntegrityCheck` class in the `org.jabref.logic.integrity` package is responsible for performing integrity checks on a `BibDatabase`. It uses various preferences and repositories to validate entries in the database against standard fields such as title, author, year, etc., ensuring data consistency and accuracy. The complexity of this operation depends on the number of entries (`N`) in the database</t>
        </is>
      </c>
      <c r="I701" t="n">
        <v>0.0032</v>
      </c>
      <c r="J701" t="n">
        <v>0.0294</v>
      </c>
      <c r="K701" t="n">
        <v>0.1163</v>
      </c>
      <c r="L701" t="inlineStr">
        <is>
          <t>The `IntegrityCheck` class is responsible for performing various checks on a `BibDatabaseContext`, including validating fields such as titles, authors, and URLs, ensuring that entries have valid citation keys, and checking for duplicate entries based on certain criteria. It uses multiple helper classes like `FieldCheckers` and `EntryChecker` to perform these checks efficiently. The class leverages preferences from `</t>
        </is>
      </c>
      <c r="M701" t="n">
        <v>0.0032</v>
      </c>
      <c r="N701" t="n">
        <v>0.0312</v>
      </c>
      <c r="O701" t="n">
        <v>0.0775</v>
      </c>
    </row>
    <row r="702">
      <c r="A702" t="inlineStr">
        <is>
          <t>jabref</t>
        </is>
      </c>
      <c r="B702" t="inlineStr">
        <is>
          <t>jablib/src/main/java/org/jabref/logic/integrity/JournalInAbbreviationListChecker.java</t>
        </is>
      </c>
      <c r="C702">
        <f>HYPERLINK("https://github.com/JabRef/jabref/blob/master/jablib/src/main/java/org/jabref/logic/integrity/JournalInAbbreviationListChecker.java")</f>
        <v/>
      </c>
      <c r="D702" t="inlineStr">
        <is>
          <t>The `JournalInAbbreviationListChecker` is a component within the JabRef project that checks whether the journal name in a BibTeX entry exists in the list of known abbreviations maintained by the `JournalAbbreviationRepository`. It performs the following steps:
1. Takes a `Field` object representing the journal field and a `JournalAbbreviationRepository`.
2. Retrieves the value from</t>
        </is>
      </c>
      <c r="E702" t="n">
        <v>0.0035</v>
      </c>
      <c r="F702" t="n">
        <v>0.0333</v>
      </c>
      <c r="G702" t="n">
        <v>0.0403</v>
      </c>
      <c r="H702" t="inlineStr">
        <is>
          <t>This repository contains backend software components that implement core algorithms for processing bibliographic entries. The complexity is O(N), indicating linear time complexity in relation to the number of entries being processed.</t>
        </is>
      </c>
      <c r="I702" t="n">
        <v>0.007900000000000001</v>
      </c>
      <c r="J702" t="n">
        <v>0.2</v>
      </c>
      <c r="K702" t="n">
        <v>0.3064</v>
      </c>
      <c r="L702" t="inlineStr">
        <is>
          <t>This Java class, `JournalInAbbreviationListChecker`, is part of a JabRef application designed to verify that journal entries contain valid abbreviations from a predefined list. It checks each BibTeX entry for a specified journal field against a repository of known journal abbreviations. If no abbreviation is found, it returns an empty list; otherwise, it provides messages indicating whether the abbreviation exists in the repository</t>
        </is>
      </c>
      <c r="M702" t="n">
        <v>0.0029</v>
      </c>
      <c r="N702" t="n">
        <v>0.0286</v>
      </c>
      <c r="O702" t="n">
        <v>0.0746</v>
      </c>
    </row>
    <row r="703">
      <c r="A703" t="inlineStr">
        <is>
          <t>jabref</t>
        </is>
      </c>
      <c r="B703" t="inlineStr">
        <is>
          <t>jablib/src/main/java/org/jabref/logic/integrity/FieldChecker.java</t>
        </is>
      </c>
      <c r="C703">
        <f>HYPERLINK("https://github.com/JabRef/jabref/blob/master/jablib/src/main/java/org/jabref/logic/integrity/FieldChecker.java")</f>
        <v/>
      </c>
      <c r="D703" t="inlineStr">
        <is>
          <t>The `FieldChecker` class in the JabRef project is designed to integrate a `ValueChecker` with a specific `Field`. It acts as a proxy that checks if the values associated with the specified field meet certain criteria defined by the `ValueChecker`. The class provides a method `check` that takes a `BibEntry`, retrieves its value for the specified field, and applies the `Value</t>
        </is>
      </c>
      <c r="E703" t="n">
        <v>0.003</v>
      </c>
      <c r="F703" t="n">
        <v>0.0294</v>
      </c>
      <c r="G703" t="n">
        <v>0.0379</v>
      </c>
      <c r="H703" t="inlineStr">
        <is>
          <t>The `FieldChecker` class in the JabRef project serves as a proxy for applying a `ValueChecker` to specific fields within BibTeX entries. It checks each entry's specified field against the associated value checker, returning any integrity messages if the validation fails.</t>
        </is>
      </c>
      <c r="I703" t="n">
        <v>0</v>
      </c>
      <c r="J703" t="n">
        <v>0</v>
      </c>
      <c r="K703" t="n">
        <v>0</v>
      </c>
      <c r="L703" t="inlineStr">
        <is>
          <t>The `FieldChecker` class acts as a proxy for applying a `ValueChecker` to specific fields within BibTeX entries. It checks if each entry has a non-empty value for the specified field and applies the corresponding validation rules defined by the `ValueChecker`. If a valid value exists, it returns an `IntegrityMessage`; otherwise, it returns no messages.</t>
        </is>
      </c>
      <c r="M703" t="n">
        <v>0.0034</v>
      </c>
      <c r="N703" t="n">
        <v>0.0317</v>
      </c>
      <c r="O703" t="n">
        <v>0.0397</v>
      </c>
    </row>
    <row r="704">
      <c r="A704" t="inlineStr">
        <is>
          <t>jabref</t>
        </is>
      </c>
      <c r="B704" t="inlineStr">
        <is>
          <t>jablib/src/main/java/org/jabref/logic/integrity/ISBNChecker.java</t>
        </is>
      </c>
      <c r="C704">
        <f>HYPERLINK("https://github.com/JabRef/jabref/blob/master/jablib/src/main/java/org/jabref/logic/integrity/ISBNChecker.java")</f>
        <v/>
      </c>
      <c r="D704" t="inlineStr">
        <is>
          <t>The `ISBNChecker` class in the JabRef project checks for valid ISBN values according to specific formats and checksums. It returns an empty optional if the input string is blank or does not conform to the ISBN-13 standard, including both formatting errors and incorrect checksum calculations. The implementation uses the `ISBN` class from the `org.jabref.model.entry.identifier` package to validate the ISBN</t>
        </is>
      </c>
      <c r="E704" t="n">
        <v>0.0031</v>
      </c>
      <c r="F704" t="n">
        <v>0.0278</v>
      </c>
      <c r="G704" t="n">
        <v>0.1145</v>
      </c>
      <c r="H704" t="inlineStr">
        <is>
          <t>Checks the validity of an ISBN string by ensuring it follows the correct format and has a valid checksum.</t>
        </is>
      </c>
      <c r="I704" t="n">
        <v>0.0102</v>
      </c>
      <c r="J704" t="n">
        <v>0.0741</v>
      </c>
      <c r="K704" t="n">
        <v>0.0549</v>
      </c>
      <c r="L704" t="inlineStr">
        <is>
          <t>The `ISBNChecker` class provides a method to validate ISBN values by checking their format and checksum. It returns an empty optional if the input is valid, otherwise, it returns an error message indicating the issue found. The validation process involves creating an `ISBN` object from the input string and then verifying both the format and checksum using methods specific to the `ISBN` class.</t>
        </is>
      </c>
      <c r="M704" t="n">
        <v>0.0029</v>
      </c>
      <c r="N704" t="n">
        <v>0.0282</v>
      </c>
      <c r="O704" t="n">
        <v>0.0741</v>
      </c>
    </row>
    <row r="705">
      <c r="A705" t="inlineStr">
        <is>
          <t>jabref</t>
        </is>
      </c>
      <c r="B705" t="inlineStr">
        <is>
          <t>jablib/src/main/java/org/jabref/logic/integrity/UrlChecker.java</t>
        </is>
      </c>
      <c r="C705">
        <f>HYPERLINK("https://github.com/JabRef/jabref/blob/master/jablib/src/main/java/org/jabref/logic/integrity/UrlChecker.java")</f>
        <v/>
      </c>
      <c r="D705" t="inlineStr">
        <is>
          <t>The `UrlChecker` class in the `org.jabref.logic.integrity` package is designed to validate URLs for compliance with basic requirements such as containing a protocol and conforming to RFC 3986 URI syntax. It checks whether the input string is blank or does not include "://" before attempting to parse it using Apache HttpClient's `URIBuilder`. If parsing fails due to invalid</t>
        </is>
      </c>
      <c r="E705" t="n">
        <v>0.0032</v>
      </c>
      <c r="F705" t="n">
        <v>0.0294</v>
      </c>
      <c r="G705" t="n">
        <v>0.0775</v>
      </c>
      <c r="H705" t="inlineStr">
        <is>
          <t>Validates URLs by ensuring they contain a protocol and conform to RFC 3986 URI syntax. If the URL is blank or does not contain a protocol, it returns an error message indicating the issue. Otherwise, it attempts to parse the URL using `URIBuilder` from Apache HttpClient; if parsing fails due to invalid format, it returns another error message.</t>
        </is>
      </c>
      <c r="I705" t="n">
        <v>0.0031</v>
      </c>
      <c r="J705" t="n">
        <v>0.0303</v>
      </c>
      <c r="K705" t="n">
        <v>0.0769</v>
      </c>
      <c r="L705" t="inlineStr">
        <is>
          <t>The `UrlChecker` class validates URLs by ensuring they contain a protocol and conform to RFC 3986 URI syntax. It checks for blank input and invalid protocols before attempting to parse the URL using Apache HttpClient's `URIBuilder`. If any issues arise during parsing, it returns an error message indicating the problem. Otherwise, it returns an empty optional, indicating the URL is valid.</t>
        </is>
      </c>
      <c r="M705" t="n">
        <v>0.003</v>
      </c>
      <c r="N705" t="n">
        <v>0.0286</v>
      </c>
      <c r="O705" t="n">
        <v>0.0752</v>
      </c>
    </row>
    <row r="706">
      <c r="A706" t="inlineStr">
        <is>
          <t>jabref</t>
        </is>
      </c>
      <c r="B706" t="inlineStr">
        <is>
          <t>jablib/src/main/java/org/jabref/logic/integrity/UnicodeNormalFormCanonicalCompositionCheck.java</t>
        </is>
      </c>
      <c r="C706">
        <f>HYPERLINK("https://github.com/JabRef/jabref/blob/master/jablib/src/main/java/org/jabref/logic/integrity/UnicodeNormalFormCanonicalCompositionCheck.java")</f>
        <v/>
      </c>
      <c r="D706" t="inlineStr">
        <is>
          <t>The `UnicodeNormalFormCanonicalCompositionCheck` class checks BibTeX entries for fields containing non-Normalized Unicode characters using the NFC normalization form. It iterates over each field value, normalizes it to NFC, and compares it with the original value. If a field does not match the normalized version, it returns an integrity message indicating that the value is not in NFC format. The complexity is O</t>
        </is>
      </c>
      <c r="E706" t="n">
        <v>0.003</v>
      </c>
      <c r="F706" t="n">
        <v>0.0286</v>
      </c>
      <c r="G706" t="n">
        <v>0.0752</v>
      </c>
      <c r="H706" t="inlineStr">
        <is>
          <t>The code provides a Java implementation for checking BibTeX entries to ensure their fields contain values normalized using the NFC (Normalization Form Canonical Composition) standard from the Unicode Consortium. It uses the `org.jabref.logic.formatter.bibtexfields.NormalizeUnicodeFormatter` to normalize text before comparison. The method checks each field value against this normalization form and returns a list of messages indicating which fields do not meet</t>
        </is>
      </c>
      <c r="I706" t="n">
        <v>0.003</v>
      </c>
      <c r="J706" t="n">
        <v>0.0548</v>
      </c>
      <c r="K706" t="n">
        <v>0.1515</v>
      </c>
      <c r="L706" t="inlineStr">
        <is>
          <t>The `UnicodeNormalFormCanonicalCompositionCheck` class checks BibTeX entries for values that are not in the NFC normalization form, which ensures consistent representation of Unicode characters. It uses Java's `Normalizer` class to compare field values against NFC normalization and returns a list of integrity messages indicating fields with non-NFC formatted values.</t>
        </is>
      </c>
      <c r="M706" t="n">
        <v>0.0038</v>
      </c>
      <c r="N706" t="n">
        <v>0.0345</v>
      </c>
      <c r="O706" t="n">
        <v>0.0833</v>
      </c>
    </row>
    <row r="707">
      <c r="A707" t="inlineStr">
        <is>
          <t>jabref</t>
        </is>
      </c>
      <c r="B707" t="inlineStr">
        <is>
          <t>jablib/src/main/java/org/jabref/logic/integrity/EntryChecker.java</t>
        </is>
      </c>
      <c r="C707">
        <f>HYPERLINK("https://github.com/JabRef/jabref/blob/master/jablib/src/main/java/org/jabref/logic/integrity/EntryChecker.java")</f>
        <v/>
      </c>
      <c r="D707" t="inlineStr">
        <is>
          <t>The `EntryChecker` interface in the `org.jabref.logic.integrity` package defines a method to check for integrity issues in BibTeX entries. It takes a `BibEntry` object as input and returns a list of `IntegrityMessage` objects indicating any problems found with the entry. The implementation is functional, meaning it can be used with lambda expressions or method references.</t>
        </is>
      </c>
      <c r="E707" t="n">
        <v>0.0034</v>
      </c>
      <c r="F707" t="n">
        <v>0.0615</v>
      </c>
      <c r="G707" t="n">
        <v>0.119</v>
      </c>
      <c r="H707" t="inlineStr">
        <is>
          <t>Provides an interface for checking the integrity of BibTeX entries in JabRef.</t>
        </is>
      </c>
      <c r="I707" t="n">
        <v>0</v>
      </c>
      <c r="J707" t="n">
        <v>0</v>
      </c>
      <c r="K707" t="n">
        <v>0</v>
      </c>
      <c r="L707" t="inlineStr">
        <is>
          <t>The `EntryChecker` interface defines a method that takes a `BibEntry` object as input and returns a list of `IntegrityMessage` objects indicating any issues found during validation. The implementation complexity is O(N), where N is the number of fields in the BibEntry.</t>
        </is>
      </c>
      <c r="M707" t="n">
        <v>0.0045</v>
      </c>
      <c r="N707" t="n">
        <v>0.04</v>
      </c>
      <c r="O707" t="n">
        <v>0.0885</v>
      </c>
    </row>
    <row r="708">
      <c r="A708" t="inlineStr">
        <is>
          <t>jabref</t>
        </is>
      </c>
      <c r="B708" t="inlineStr">
        <is>
          <t>jablib/src/main/java/org/jabref/logic/integrity/CitationKeyDeviationChecker.java</t>
        </is>
      </c>
      <c r="C708">
        <f>HYPERLINK("https://github.com/JabRef/jabref/blob/master/jablib/src/main/java/org/jabref/logic/integrity/CitationKeyDeviationChecker.java")</f>
        <v/>
      </c>
      <c r="D708" t="inlineStr">
        <is>
          <t>The `CitationKeyDeviationChecker` class is part of the JabRef application's integrity checking module. It checks for deviations in citation keys within a given BibTeX database based on specified patterns defined by the user through preferences. The checker uses a `BibDatabaseContext` to access the entries and their fields, along with a `CitationKeyPatternPreferences` object to determine which fields should</t>
        </is>
      </c>
      <c r="E708" t="n">
        <v>0.0033</v>
      </c>
      <c r="F708" t="n">
        <v>0.0615</v>
      </c>
      <c r="G708" t="n">
        <v>0.0781</v>
      </c>
      <c r="H708" t="inlineStr">
        <is>
          <t>This repository contains backend software components that implement core algorithms for processing and managing bibliographic data in JabRef. The complexity is O(N), indicating linear time complexity with respect to the number of entries or items being processed. The comments describe the implementation of these core algorithms, while the commits record the initial creation of the codebase. The total size of the codebase is 1000 lines.</t>
        </is>
      </c>
      <c r="I708" t="n">
        <v>0.004</v>
      </c>
      <c r="J708" t="n">
        <v>0.1351</v>
      </c>
      <c r="K708" t="n">
        <v>0.1825</v>
      </c>
      <c r="L708" t="inlineStr">
        <is>
          <t>The `CitationKeyDeviationChecker` is a component within the JabRef application that checks for deviations between existing bibliographic entries' citation keys and those generated by the default citation key pattern preferences. It uses the `BibDatabaseContext` to access the database and the `CitationKeyPatternPreferences` to define the desired citation key format. The checker iterates over each entry in the database</t>
        </is>
      </c>
      <c r="M708" t="n">
        <v>0.0033</v>
      </c>
      <c r="N708" t="n">
        <v>0.0312</v>
      </c>
      <c r="O708" t="n">
        <v>0.0781</v>
      </c>
    </row>
    <row r="709">
      <c r="A709" t="inlineStr">
        <is>
          <t>jabref</t>
        </is>
      </c>
      <c r="B709" t="inlineStr">
        <is>
          <t>jablib/src/main/java/org/jabref/logic/integrity/FileChecker.java</t>
        </is>
      </c>
      <c r="C709">
        <f>HYPERLINK("https://github.com/JabRef/jabref/blob/master/jablib/src/main/java/org/jabref/logic/integrity/FileChecker.java")</f>
        <v/>
      </c>
      <c r="D709" t="inlineStr">
        <is>
          <t>The `FileChecker` class in the `org.jabref.logic.integrity` package is designed to validate and clean up file-related entries in a JabRef database. It checks for blank values, parses file paths using `FileFieldParser`, and ensures that any invalid or missing files are removed from the database. The class uses `BibDatabaseContext` to access the current state of the database</t>
        </is>
      </c>
      <c r="E709" t="n">
        <v>0.0033</v>
      </c>
      <c r="F709" t="n">
        <v>0.0299</v>
      </c>
      <c r="G709" t="n">
        <v>0.07870000000000001</v>
      </c>
      <c r="H709" t="inlineStr">
        <is>
          <t>This repository contains backend software components that implement core algorithms for processing data in a database context. The complexity is O(N), indicating linear time performance with respect to input size. The implementation includes parsing and checking values related to files within bibliographic entries.</t>
        </is>
      </c>
      <c r="I709" t="n">
        <v>0.0061</v>
      </c>
      <c r="J709" t="n">
        <v>0.1923</v>
      </c>
      <c r="K709" t="n">
        <v>0.2174</v>
      </c>
      <c r="L709" t="inlineStr">
        <is>
          <t>The `FileChecker` class is responsible for validating file paths stored as values in JabRef entries. It checks if each path exists and whether it meets certain criteria specified by the user's preferences. The method `checkValue` takes a string input representing a file path, validates it using `FileFieldParser`, and returns an empty optional if the path is blank or invalid according to the parser. If</t>
        </is>
      </c>
      <c r="M709" t="n">
        <v>0.0028</v>
      </c>
      <c r="N709" t="n">
        <v>0.0274</v>
      </c>
      <c r="O709" t="n">
        <v>0.0735</v>
      </c>
    </row>
    <row r="710">
      <c r="A710" t="inlineStr">
        <is>
          <t>jabref</t>
        </is>
      </c>
      <c r="B710" t="inlineStr">
        <is>
          <t>jablib/src/main/java/org/jabref/logic/integrity/NoteChecker.java</t>
        </is>
      </c>
      <c r="C710">
        <f>HYPERLINK("https://github.com/JabRef/jabref/blob/master/jablib/src/main/java/org/jabref/logic/integrity/NoteChecker.java")</f>
        <v/>
      </c>
      <c r="D710" t="inlineStr">
        <is>
          <t>The `NoteChecker` class is part of the JabRef project's integrity checking system. It checks if the notes in a BibTeX database follow certain formatting rules, specifically ensuring that the first letter of each sentence in the note is capitalized according to standard English grammar conventions. This implementation uses regular expressions to identify sentences and capitalizes the first letter as necessary. The class takes a `BibDatabaseContext</t>
        </is>
      </c>
      <c r="E710" t="n">
        <v>0.0033</v>
      </c>
      <c r="F710" t="n">
        <v>0.08110000000000001</v>
      </c>
      <c r="G710" t="n">
        <v>0.146</v>
      </c>
      <c r="H710" t="inlineStr">
        <is>
          <t>The `NoteChecker` class in the `org.jabref.logic.integrity` package is designed to check if notes in a BibTeX database follow certain formatting rules. It uses regular expressions to ensure that the first letter of each note is capitalized according to specific guidelines from both BibLaTeX and official BibTeX specifications. This ensures consistency in how notes appear in bibliographic references.</t>
        </is>
      </c>
      <c r="I710" t="n">
        <v>0.0038</v>
      </c>
      <c r="J710" t="n">
        <v>0.0294</v>
      </c>
      <c r="K710" t="n">
        <v>0.1163</v>
      </c>
      <c r="L710" t="inlineStr">
        <is>
          <t>The `NoteChecker` class is designed to validate notes in a bibliographic database context. It checks if the first letter of each note is capitalized according to standard citation formatting rules, ensuring consistency across entries. The implementation uses regular expressions to identify notes where the first character is lowercase and ensures they are corrected by capitalizing the first letter before saving them back into the database.</t>
        </is>
      </c>
      <c r="M710" t="n">
        <v>0.0028</v>
      </c>
      <c r="N710" t="n">
        <v>0.0548</v>
      </c>
      <c r="O710" t="n">
        <v>0.1095</v>
      </c>
    </row>
    <row r="711">
      <c r="A711" t="inlineStr">
        <is>
          <t>jabref</t>
        </is>
      </c>
      <c r="B711" t="inlineStr">
        <is>
          <t>jablib/src/main/java/org/jabref/logic/integrity/UTF8Checker.java</t>
        </is>
      </c>
      <c r="C711">
        <f>HYPERLINK("https://github.com/JabRef/jabref/blob/master/jablib/src/main/java/org/jabref/logic/integrity/UTF8Checker.java")</f>
        <v/>
      </c>
      <c r="D711" t="inlineStr">
        <is>
          <t>The `UTF8Checker` class is designed to verify if all fields in a given BibTeX entry are correctly encoded in UTF-8. It performs the following steps:
1. **Initialization**: The constructor takes a `Charset` object as input, which specifies the encoding standard for decoding BibTeX fields.
2. **Field Checking**:
   - For each field in the BibTeX entry, it</t>
        </is>
      </c>
      <c r="E711" t="n">
        <v>0</v>
      </c>
      <c r="F711" t="n">
        <v>0</v>
      </c>
      <c r="G711" t="n">
        <v>0</v>
      </c>
      <c r="H711" t="inlineStr">
        <is>
          <t>The `UTF8Checker` class in the `org.jabref.logic.integrity` package is designed to check if all fields in a given BibTeX entry are correctly encoded in UTF-8. It performs the following steps:
1. Decodes each string field from the BibTeX entry into a byte array.
2. Attempts to decode the byte array into a character array using the specified UTF-</t>
        </is>
      </c>
      <c r="I711" t="n">
        <v>0</v>
      </c>
      <c r="J711" t="n">
        <v>0.029</v>
      </c>
      <c r="K711" t="n">
        <v>0.0388</v>
      </c>
      <c r="L711" t="inlineStr">
        <is>
          <t>The `UTF8Checker` class is designed to verify if all fields in a given `BibEntry` are encoded in UTF-8. It uses Java's NIO library to convert strings to byte arrays and then attempt to decode these byte arrays back into character arrays using the specified charset (defaulting to UTF-8). If decoding fails due to non-UTF-8 characters, it returns</t>
        </is>
      </c>
      <c r="M711" t="n">
        <v>0.0032</v>
      </c>
      <c r="N711" t="n">
        <v>0.0286</v>
      </c>
      <c r="O711" t="n">
        <v>0.0775</v>
      </c>
    </row>
    <row r="712">
      <c r="A712" t="inlineStr">
        <is>
          <t>jabref</t>
        </is>
      </c>
      <c r="B712" t="inlineStr">
        <is>
          <t>jablib/src/main/java/org/jabref/logic/integrity/IntegrityCheckResultCsvWriter.java</t>
        </is>
      </c>
      <c r="C712">
        <f>HYPERLINK("https://github.com/JabRef/jabref/blob/master/jablib/src/main/java/org/jabref/logic/integrity/IntegrityCheckResultCsvWriter.java")</f>
        <v/>
      </c>
      <c r="D712" t="inlineStr">
        <is>
          <t>The `IntegrityCheckResultCsvWriter` class is responsible for writing integrity check results to a CSV file. It takes a list of `IntegrityMessage` objects as input and writes each message's citation key, field name, and message content into a CSV format. The constructor initializes the superclass with the given writer and messages, while the `writeFindings` method sets up a CSV printer and</t>
        </is>
      </c>
      <c r="E712" t="n">
        <v>0.0031</v>
      </c>
      <c r="F712" t="n">
        <v>0.0294</v>
      </c>
      <c r="G712" t="n">
        <v>0.0382</v>
      </c>
      <c r="H712" t="inlineStr">
        <is>
          <t>Writes integrity check results to a CSV file with columns for citation key, field name, and error message.</t>
        </is>
      </c>
      <c r="I712" t="n">
        <v>0.0108</v>
      </c>
      <c r="J712" t="n">
        <v>0.0769</v>
      </c>
      <c r="K712" t="n">
        <v>0.0556</v>
      </c>
      <c r="L712" t="inlineStr">
        <is>
          <t>This Java class `IntegrityCheckResultCsvWriter` is designed to output integrity check results from JabRef into a CSV format. It takes a list of `IntegrityMessage` objects as input and writes them to a specified `Writer`, formatted with columns for citation keys, fields, and error messages. The constructor initializes the writer and sets up the CSV printer using Apache Commons CSV library. The `</t>
        </is>
      </c>
      <c r="M712" t="n">
        <v>0.0036</v>
      </c>
      <c r="N712" t="n">
        <v>0.0588</v>
      </c>
      <c r="O712" t="n">
        <v>0.1128</v>
      </c>
    </row>
    <row r="713">
      <c r="A713" t="inlineStr">
        <is>
          <t>jabref</t>
        </is>
      </c>
      <c r="B713" t="inlineStr">
        <is>
          <t>jablib/src/main/java/org/jabref/logic/integrity/AmpersandChecker.java</t>
        </is>
      </c>
      <c r="C713">
        <f>HYPERLINK("https://github.com/JabRef/jabref/blob/master/jablib/src/main/java/org/jabref/logic/integrity/AmpersandChecker.java")</f>
        <v/>
      </c>
      <c r="D713" t="inlineStr">
        <is>
          <t>The `AmpersandChecker` class checks BibEntries for unescaped ampersands in non-verbatim fields. It uses regular expressions to identify such occurrences and returns corresponding integrity messages. This implementation is distinct from the `LatexIntegrityChecker`, which cannot handle unescaped ampersands.</t>
        </is>
      </c>
      <c r="E713" t="n">
        <v>0.0061</v>
      </c>
      <c r="F713" t="n">
        <v>0.08890000000000001</v>
      </c>
      <c r="G713" t="n">
        <v>0.1852</v>
      </c>
      <c r="H713" t="inlineStr">
        <is>
          <t>The repository contains backend software components that implement core algorithms. Complexity is O(N), indicating linear time complexity with respect to input size N. Comments describe the implementation as "core algorithms," and commits indicate it was initially created. Code size is 1000 lines.</t>
        </is>
      </c>
      <c r="I713" t="n">
        <v>0.0058</v>
      </c>
      <c r="J713" t="n">
        <v>0.1569</v>
      </c>
      <c r="K713" t="n">
        <v>0.1754</v>
      </c>
      <c r="L713" t="inlineStr">
        <is>
          <t>The `AmpersandChecker` class checks BibEntries for unescaped ampersands in non-verbatim fields, ensuring they comply with LaTeX standards. It uses regular expressions to identify such cases and provides integrity messages accordingly.</t>
        </is>
      </c>
      <c r="M713" t="n">
        <v>0.0062</v>
      </c>
      <c r="N713" t="n">
        <v>0.0513</v>
      </c>
      <c r="O713" t="n">
        <v>0.098</v>
      </c>
    </row>
    <row r="714">
      <c r="A714" t="inlineStr">
        <is>
          <t>jabref</t>
        </is>
      </c>
      <c r="B714" t="inlineStr">
        <is>
          <t>jablib/src/main/java/org/jabref/logic/integrity/DoiValidityChecker.java</t>
        </is>
      </c>
      <c r="C714">
        <f>HYPERLINK("https://github.com/JabRef/jabref/blob/master/jablib/src/main/java/org/jabref/logic/integrity/DoiValidityChecker.java")</f>
        <v/>
      </c>
      <c r="D714" t="inlineStr">
        <is>
          <t>The `DoiValidityChecker` class in the `org.jabref.logic.integrity` package checks whether a given DOI string is valid according to the DOI standard. It returns an empty optional if the DOI is valid or an error message if it is not. The method first checks if the input string is blank and returns an empty optional if true. Then, it uses the `DOI.isValid()`</t>
        </is>
      </c>
      <c r="E714" t="n">
        <v>0.003</v>
      </c>
      <c r="F714" t="n">
        <v>0.0278</v>
      </c>
      <c r="G714" t="n">
        <v>0.07580000000000001</v>
      </c>
      <c r="H714" t="inlineStr">
        <is>
          <t>Checks if a given DOI string is valid according to JabRef's standards. If the DOI is blank or invalid, returns an error message; otherwise, returns an empty optional.</t>
        </is>
      </c>
      <c r="I714" t="n">
        <v>0</v>
      </c>
      <c r="J714" t="n">
        <v>0</v>
      </c>
      <c r="K714" t="n">
        <v>0</v>
      </c>
      <c r="L714" t="inlineStr">
        <is>
          <t>The `DoiValidityChecker` class checks whether a given DOI string is valid according to standard formats. It returns an empty optional if the input is blank or null, otherwise, it returns an optional containing an error message indicating that the DOI is invalid. The method uses the `DOI.isValid()` function from the `org.jabref.model.entry.identifier.DOI` class for validation.</t>
        </is>
      </c>
      <c r="M714" t="n">
        <v>0</v>
      </c>
      <c r="N714" t="n">
        <v>0.0294</v>
      </c>
      <c r="O714" t="n">
        <v>0.0397</v>
      </c>
    </row>
    <row r="715">
      <c r="A715" t="inlineStr">
        <is>
          <t>jabref</t>
        </is>
      </c>
      <c r="B715" t="inlineStr">
        <is>
          <t>jablib/src/main/java/org/jabref/logic/integrity/ValidCitationKeyChecker.java</t>
        </is>
      </c>
      <c r="C715">
        <f>HYPERLINK("https://github.com/JabRef/jabref/blob/master/jablib/src/main/java/org/jabref/logic/integrity/ValidCitationKeyChecker.java")</f>
        <v/>
      </c>
      <c r="D715" t="inlineStr">
        <is>
          <t>The `ValidCitationKeyChecker` class checks whether a given citation key is valid according to certain rules defined by the `unwantedCharacters` parameter. It removes any characters from the input string that are present in the `unwantedCharacters` set using the `removeUnwantedCharactersWithKeepDiacritics` method from the `CitationKeyGenerator`. If the resulting string is different from</t>
        </is>
      </c>
      <c r="E715" t="n">
        <v>0</v>
      </c>
      <c r="F715" t="n">
        <v>0</v>
      </c>
      <c r="G715" t="n">
        <v>0.0413</v>
      </c>
      <c r="H715" t="inlineStr">
        <is>
          <t>Validates citation keys by removing unwanted characters and checking for emptiness or invalidity based on predefined rules.</t>
        </is>
      </c>
      <c r="I715" t="n">
        <v>0.0115</v>
      </c>
      <c r="J715" t="n">
        <v>0.08</v>
      </c>
      <c r="K715" t="n">
        <v>0.0562</v>
      </c>
      <c r="L715" t="inlineStr">
        <is>
          <t>The `ValidCitationKeyChecker` class ensures that a given citation key is valid by removing unwanted characters using a predefined set of characters. It checks for empty keys and returns appropriate error messages based on whether the cleaned key matches the original input. The implementation uses the `CitationKeyGenerator` to handle character removal while preserving diacritical marks.</t>
        </is>
      </c>
      <c r="M715" t="n">
        <v>0.0034</v>
      </c>
      <c r="N715" t="n">
        <v>0.0323</v>
      </c>
      <c r="O715" t="n">
        <v>0.119</v>
      </c>
    </row>
    <row r="716">
      <c r="A716" t="inlineStr">
        <is>
          <t>jabref</t>
        </is>
      </c>
      <c r="B716" t="inlineStr">
        <is>
          <t>jablib/src/main/java/org/jabref/logic/integrity/IntegrityCheckResultErrorFormatWriter.java</t>
        </is>
      </c>
      <c r="C716">
        <f>HYPERLINK("https://github.com/JabRef/jabref/blob/master/jablib/src/main/java/org/jabref/logic/integrity/IntegrityCheckResultErrorFormatWriter.java")</f>
        <v/>
      </c>
      <c r="D716" t="inlineStr">
        <is>
          <t>The `IntegrityCheckResultErrorFormatWriter` class is responsible for writing integrity check results in a specific error format to a given output file. It takes a list of `IntegrityMessage`, a `ParserResult`, and an input file path as parameters. The method `writeFindings()` iterates over each message, retrieves the corresponding field range from the `ParserResult`, and writes formatted information</t>
        </is>
      </c>
      <c r="E716" t="n">
        <v>0.0034</v>
      </c>
      <c r="F716" t="n">
        <v>0.0323</v>
      </c>
      <c r="G716" t="n">
        <v>0.0397</v>
      </c>
      <c r="H716" t="inlineStr">
        <is>
          <t>The provided Java code defines a class `IntegrityCheckResultErrorFormatWriter` within the package `org.jabref.logic.integrity`. This class is responsible for writing integrity check results in error format to a specified writer. It takes a list of `IntegrityMessage`, a `ParserResult`, and an input file path as parameters. The `writeFindings` method iterates over each message</t>
        </is>
      </c>
      <c r="I716" t="n">
        <v>0.0044</v>
      </c>
      <c r="J716" t="n">
        <v>0.06560000000000001</v>
      </c>
      <c r="K716" t="n">
        <v>0.082</v>
      </c>
      <c r="L716" t="inlineStr">
        <is>
          <t>This class writes integrity check results in error format to a specified output writer. It takes a list of `IntegrityMessage` objects, a `ParserResult`, and an input file path as parameters. The `writeFindings` method iterates over each message, retrieves the corresponding field range from the `ParserResult`, and appends formatted error messages to the writer, including the input file name,</t>
        </is>
      </c>
      <c r="M716" t="n">
        <v>0.0037</v>
      </c>
      <c r="N716" t="n">
        <v>0.0606</v>
      </c>
      <c r="O716" t="n">
        <v>0.0769</v>
      </c>
    </row>
    <row r="717">
      <c r="A717" t="inlineStr">
        <is>
          <t>jabref</t>
        </is>
      </c>
      <c r="B717" t="inlineStr">
        <is>
          <t>jablib/src/main/java/org/jabref/logic/integrity/PagesChecker.java</t>
        </is>
      </c>
      <c r="C717">
        <f>HYPERLINK("https://github.com/JabRef/jabref/blob/master/jablib/src/main/java/org/jabref/logic/integrity/PagesChecker.java")</f>
        <v/>
      </c>
      <c r="D717" t="inlineStr">
        <is>
          <t>The `PagesChecker` class in the `org.jabref.logic.integrity` package is designed to validate page numbers in BibTeX format. It uses regular expressions to ensure that page ranges or single page numbers adhere to standard BibTeX syntax rules for Roman numerals, decimal numbers, and optional prefixes/suffixes. The class includes constants for different types of page formats and methods to check if a</t>
        </is>
      </c>
      <c r="E717" t="n">
        <v>0.0031</v>
      </c>
      <c r="F717" t="n">
        <v>0.0282</v>
      </c>
      <c r="G717" t="n">
        <v>0.07630000000000001</v>
      </c>
      <c r="H717" t="inlineStr">
        <is>
          <t>This repository contains backend software components implementing core algorithms. Complexity is O(N), with comments indicating implementation details. The code size is 1000 lines.</t>
        </is>
      </c>
      <c r="I717" t="n">
        <v>0.0109</v>
      </c>
      <c r="J717" t="n">
        <v>0.25</v>
      </c>
      <c r="K717" t="n">
        <v>0.2105</v>
      </c>
      <c r="L717" t="inlineStr">
        <is>
          <t>The `PagesChecker` class is designed to validate page numbers in BibTeX format according to specific rules for Roman numerals, decimal numbers, and optional prefixes/suffixes. It uses regular expressions to match valid page ranges and ensures that each page number adheres to the specified formats. The class provides methods to check if a given string represents a valid page range or individual page number, returning an `</t>
        </is>
      </c>
      <c r="M717" t="n">
        <v>0.0028</v>
      </c>
      <c r="N717" t="n">
        <v>0.027</v>
      </c>
      <c r="O717" t="n">
        <v>0.0725</v>
      </c>
    </row>
    <row r="718">
      <c r="A718" t="inlineStr">
        <is>
          <t>jabref</t>
        </is>
      </c>
      <c r="B718" t="inlineStr">
        <is>
          <t>jablib/src/main/java/org/jabref/logic/integrity/IntegrityCheckResultTxtWriter.java</t>
        </is>
      </c>
      <c r="C718">
        <f>HYPERLINK("https://github.com/JabRef/jabref/blob/master/jablib/src/main/java/org/jabref/logic/integrity/IntegrityCheckResultTxtWriter.java")</f>
        <v/>
      </c>
      <c r="D718" t="inlineStr">
        <is>
          <t>The `IntegrityCheckResultTxtWriter` class is a subclass of `IntegrityCheckResultWriter`. It writes integrity check results to a text file using a given `Writer` object. The constructor initializes the superclass with the provided `Writer` and list of `IntegrityMessage` objects. The `writeFindings` method iterates over each message in the list, writing its string representation followed</t>
        </is>
      </c>
      <c r="E718" t="n">
        <v>0.0036</v>
      </c>
      <c r="F718" t="n">
        <v>0.0339</v>
      </c>
      <c r="G718" t="n">
        <v>0.0813</v>
      </c>
      <c r="H718" t="inlineStr">
        <is>
          <t>Writes integrity check results to a text file in a structured format.</t>
        </is>
      </c>
      <c r="I718" t="n">
        <v>0</v>
      </c>
      <c r="J718" t="n">
        <v>0</v>
      </c>
      <c r="K718" t="n">
        <v>0</v>
      </c>
      <c r="L718" t="inlineStr">
        <is>
          <t>This Java class `IntegrityCheckResultTxtWriter` is responsible for writing integrity check results to a text file. It takes a list of `IntegrityMessage` objects and writes each message to the specified `Writer`, followed by a newline character. The constructor initializes the superclass with the given writer and messages. The `writeFindings` method iterates over the list of messages, converting each one</t>
        </is>
      </c>
      <c r="M718" t="n">
        <v>0.0037</v>
      </c>
      <c r="N718" t="n">
        <v>0.0606</v>
      </c>
      <c r="O718" t="n">
        <v>0.0769</v>
      </c>
    </row>
    <row r="719">
      <c r="A719" t="inlineStr">
        <is>
          <t>jabref</t>
        </is>
      </c>
      <c r="B719" t="inlineStr">
        <is>
          <t>jablib/src/main/java/org/jabref/logic/integrity/EntryLinkChecker.java</t>
        </is>
      </c>
      <c r="C719">
        <f>HYPERLINK("https://github.com/JabRef/jabref/blob/master/jablib/src/main/java/org/jabref/logic/integrity/EntryLinkChecker.java")</f>
        <v/>
      </c>
      <c r="D719" t="inlineStr">
        <is>
          <t>The `EntryLinkChecker` class in the `org.jabref.logic.integrity` package is designed to verify the integrity of entries within a BibTeX database by checking for link fields that may contain multiple or single-entry references. It iterates over each field in the given BibEntry, examining its properties to determine if it should be checked for link consistency. If the field has the "MULTIPLE</t>
        </is>
      </c>
      <c r="E719" t="n">
        <v>0</v>
      </c>
      <c r="F719" t="n">
        <v>0.0282</v>
      </c>
      <c r="G719" t="n">
        <v>0</v>
      </c>
      <c r="H719" t="inlineStr">
        <is>
          <t>The repository contains backend software components that implement core algorithms. The complexity is O(N), indicating linear time complexity in relation to the number of entries or fields processed. The implementation includes features such as checking integrity messages for BibEntries based on their link properties.</t>
        </is>
      </c>
      <c r="I719" t="n">
        <v>0.005</v>
      </c>
      <c r="J719" t="n">
        <v>0.1132</v>
      </c>
      <c r="K719" t="n">
        <v>0.1293</v>
      </c>
      <c r="L719" t="inlineStr">
        <is>
          <t>The `EntryLinkChecker` class is responsible for verifying that all link fields in a given BibTeX entry are valid references within the same database. It iterates over each field in the entry's map, checking if any links point to entries that exist in the database. If a link points to a non-existent entry, it generates an integrity message indicating the invalid link. The method returns a list of</t>
        </is>
      </c>
      <c r="M719" t="n">
        <v>0</v>
      </c>
      <c r="N719" t="n">
        <v>0</v>
      </c>
      <c r="O719" t="n">
        <v>0</v>
      </c>
    </row>
    <row r="720">
      <c r="A720" t="inlineStr">
        <is>
          <t>jabref</t>
        </is>
      </c>
      <c r="B720" t="inlineStr">
        <is>
          <t>jablib/src/main/java/org/jabref/logic/integrity/NoBibtexFieldChecker.java</t>
        </is>
      </c>
      <c r="C720">
        <f>HYPERLINK("https://github.com/JabRef/jabref/blob/master/jablib/src/main/java/org/jabref/logic/integrity/NoBibtexFieldChecker.java")</f>
        <v/>
      </c>
      <c r="D720" t="inlineStr">
        <is>
          <t>The `NoBibtexFieldChecker` is a Java class that implements the `EntryChecker` interface from the JabRef library. It checks if a given BibEntry object contains any fields that are specific to BibLaTeX but not present in BibTeX. The method `getAllBiblatexOnlyFields()` retrieves a set of fields defined exclusively for BibLaTeX entries by comparing the fields of all</t>
        </is>
      </c>
      <c r="E720" t="n">
        <v>0.0034</v>
      </c>
      <c r="F720" t="n">
        <v>0.0323</v>
      </c>
      <c r="G720" t="n">
        <v>0.0397</v>
      </c>
      <c r="H720" t="inlineStr">
        <is>
          <t>The repository contains backend software components implementing core algorithms with a time complexity of \(O(N)\). The implementation includes comments explaining the purpose and functionality of each part of the code. The code size is 1000 lines.</t>
        </is>
      </c>
      <c r="I720" t="n">
        <v>0.0073</v>
      </c>
      <c r="J720" t="n">
        <v>0.1778</v>
      </c>
      <c r="K720" t="n">
        <v>0.2315</v>
      </c>
      <c r="L720" t="inlineStr">
        <is>
          <t>The `NoBibtexFieldChecker` class is designed to ensure that entries do not contain fields specific to BibLaTeX but not present in BibTeX. It compares the set of all BibTeX fields against those defined specifically for BibLaTeX and returns a list of such fields found in the entry. The implementation uses Java Streams to filter out these unique fields efficiently.</t>
        </is>
      </c>
      <c r="M720" t="n">
        <v>0.0031</v>
      </c>
      <c r="N720" t="n">
        <v>0.0303</v>
      </c>
      <c r="O720" t="n">
        <v>0.1154</v>
      </c>
    </row>
    <row r="721">
      <c r="A721" t="inlineStr">
        <is>
          <t>jabref</t>
        </is>
      </c>
      <c r="B721" t="inlineStr">
        <is>
          <t>jablib/src/main/java/org/jabref/logic/integrity/FieldCheckers.java</t>
        </is>
      </c>
      <c r="C721">
        <f>HYPERLINK("https://github.com/JabRef/jabref/blob/master/jablib/src/main/java/org/jabref/logic/integrity/FieldCheckers.java")</f>
        <v/>
      </c>
      <c r="D721" t="inlineStr">
        <is>
          <t>The `FieldCheckers` class in the `org.jabref.logic.integrity` package is designed to perform various checks on fields within BibTeX entries. It uses multimap data structures to associate each field with its corresponding value checker. The constructor initializes this map based on the provided parameters such as the Bib database context, file preferences, journal abbreviation repository, integer edition allowance, and unwanted characters.</t>
        </is>
      </c>
      <c r="E721" t="n">
        <v>0.0031</v>
      </c>
      <c r="F721" t="n">
        <v>0.0571</v>
      </c>
      <c r="G721" t="n">
        <v>0.1145</v>
      </c>
      <c r="H721" t="inlineStr">
        <is>
          <t>The provided Java code defines a `FieldCheckers` class within the `org.jabref.logic.integrity` package. This class is responsible for checking fields in a BibTeX database context to ensure they meet certain criteria. It uses multimap data structures from Google Guava to map fields to their respective value checkers. The constructor initializes these mappings based on various parameters such as the database context,</t>
        </is>
      </c>
      <c r="I721" t="n">
        <v>0.003</v>
      </c>
      <c r="J721" t="n">
        <v>0.0282</v>
      </c>
      <c r="K721" t="n">
        <v>0.07580000000000001</v>
      </c>
      <c r="L721" t="inlineStr">
        <is>
          <t>The `FieldCheckers` class is responsible for checking various fields in a BibTeX database context against predefined rules. It uses multimap structures to map each field type to corresponding value checkers. The constructor initializes these mappings based on the given parameters such as database context, file preferences, journal abbreviation repository, integer edition allowance, and unwanted characters. The class provides methods to perform checks on specific fields,</t>
        </is>
      </c>
      <c r="M721" t="n">
        <v>0.0028</v>
      </c>
      <c r="N721" t="n">
        <v>0.0274</v>
      </c>
      <c r="O721" t="n">
        <v>0.073</v>
      </c>
    </row>
    <row r="722">
      <c r="A722" t="inlineStr">
        <is>
          <t>jabref</t>
        </is>
      </c>
      <c r="B722" t="inlineStr">
        <is>
          <t>jablib/src/main/java/org/jabref/logic/integrity/HTMLCharacterChecker.java</t>
        </is>
      </c>
      <c r="C722">
        <f>HYPERLINK("https://github.com/JabRef/jabref/blob/master/jablib/src/main/java/org/jabref/logic/integrity/HTMLCharacterChecker.java")</f>
        <v/>
      </c>
      <c r="D722" t="inlineStr">
        <is>
          <t>The `HTMLCharacterChecker` class is designed to identify entries with HTML-encoded characters in non-verbatim fields. It uses a regular expression pattern to detect such characters and returns a list of integrity messages for each entry that matches this criterion. The method checks all fields in a given BibEntry, excluding those marked as verbatim, and filters out fields containing HTML entities. If an HTML entity is found,</t>
        </is>
      </c>
      <c r="E722" t="n">
        <v>0.0028</v>
      </c>
      <c r="F722" t="n">
        <v>0.0533</v>
      </c>
      <c r="G722" t="n">
        <v>0.1095</v>
      </c>
      <c r="H722" t="inlineStr">
        <is>
          <t>Checks for HTML-encoded characters in non-verbatim BibTeX fields. Complexity is O(N), where N is the number of entries.</t>
        </is>
      </c>
      <c r="I722" t="n">
        <v>0</v>
      </c>
      <c r="J722" t="n">
        <v>0</v>
      </c>
      <c r="K722" t="n">
        <v>0</v>
      </c>
      <c r="L722" t="inlineStr">
        <is>
          <t>The `HTMLCharacterChecker` class is designed to verify that no HTML-encoded characters exist in non-verbatim BibTeX entries. It uses a regular expression pattern to detect such characters and returns a list of integrity messages indicating which fields contain them. The method checks each field's value against the pattern, ensuring compliance with the requirement for non-verbatim fields to be free from HTML encoding.</t>
        </is>
      </c>
      <c r="M722" t="n">
        <v>0.003</v>
      </c>
      <c r="N722" t="n">
        <v>0.0274</v>
      </c>
      <c r="O722" t="n">
        <v>0.0752</v>
      </c>
    </row>
    <row r="723">
      <c r="A723" t="inlineStr">
        <is>
          <t>jabref</t>
        </is>
      </c>
      <c r="B723" t="inlineStr">
        <is>
          <t>jablib/src/main/java/org/jabref/logic/integrity/ISSNChecker.java</t>
        </is>
      </c>
      <c r="C723">
        <f>HYPERLINK("https://github.com/JabRef/jabref/blob/master/jablib/src/main/java/org/jabref/logic/integrity/ISSNChecker.java")</f>
        <v/>
      </c>
      <c r="D723" t="inlineStr">
        <is>
          <t>The `ISSNChecker` class in the `org.jabref.logic.integrity` package provides functionality to validate International Standard Serial Numbers (ISSNs). It checks whether an input string represents a valid ISSN by ensuring it follows the standard format and has a correct checksum. If the input is blank or does not meet these criteria, it returns an error message indicating the issue. The method uses the `</t>
        </is>
      </c>
      <c r="E723" t="n">
        <v>0.0035</v>
      </c>
      <c r="F723" t="n">
        <v>0.0556</v>
      </c>
      <c r="G723" t="n">
        <v>0.0746</v>
      </c>
      <c r="H723" t="inlineStr">
        <is>
          <t>Checks the validity of an International Standard Serial Number (ISSN). It validates both the format and checksum to ensure the ISSN is correctly formatted and has a valid control digit.</t>
        </is>
      </c>
      <c r="I723" t="n">
        <v>0.0062</v>
      </c>
      <c r="J723" t="n">
        <v>0.0526</v>
      </c>
      <c r="K723" t="n">
        <v>0.049</v>
      </c>
      <c r="L723" t="inlineStr">
        <is>
          <t>The `ISSNChecker` class provides a method `checkValue` that validates whether an input string represents a valid International Standard Serial Number (ISSN). It checks for blank values, ensures the format matches the standard ISSN pattern, and verifies the checksum using the ISO/IEC 7096-1:1996 standard. If any validation fails, it returns an error message</t>
        </is>
      </c>
      <c r="M723" t="n">
        <v>0.0035</v>
      </c>
      <c r="N723" t="n">
        <v>0.0317</v>
      </c>
      <c r="O723" t="n">
        <v>0.0806</v>
      </c>
    </row>
    <row r="724">
      <c r="A724" t="inlineStr">
        <is>
          <t>jabref</t>
        </is>
      </c>
      <c r="B724" t="inlineStr">
        <is>
          <t>jablib/src/main/java/org/jabref/logic/integrity/LatexIntegrityChecker.java</t>
        </is>
      </c>
      <c r="C724">
        <f>HYPERLINK("https://github.com/JabRef/jabref/blob/master/jablib/src/main/java/org/jabref/logic/integrity/LatexIntegrityChecker.java")</f>
        <v/>
      </c>
      <c r="D724" t="inlineStr">
        <is>
          <t>The provided Java code is part of the JabRef project, specifically within the `org.jabref.logic.integrity` package. It appears to be focused on validating BibTeX entries for errors using SnuggleTeX, a library for parsing LaTeX documents. The main functionalities include:
1. **Parsing BibTeX Entries**: The code processes BibTeX entries to check for various types of errors.
2. **</t>
        </is>
      </c>
      <c r="E724" t="n">
        <v>0</v>
      </c>
      <c r="F724" t="n">
        <v>0.0303</v>
      </c>
      <c r="G724" t="n">
        <v>0.0391</v>
      </c>
      <c r="H724" t="inlineStr">
        <is>
          <t>The code is part of a Java library for processing BibTeX entries using SnuggleTeX, which is a tool for parsing and validating LaTeX documents. It includes methods to validate fields in BibTeX entries, such as checking for duplicate keys or invalid field values. The complexity is O(N) due to potential operations on large datasets, and it implements core algorithms for handling BibTeX data integrity checks.</t>
        </is>
      </c>
      <c r="I724" t="n">
        <v>0.0066</v>
      </c>
      <c r="J724" t="n">
        <v>0.0541</v>
      </c>
      <c r="K724" t="n">
        <v>0.2304</v>
      </c>
      <c r="L724" t="inlineStr">
        <is>
          <t>This Java package provides functionality for validating BibTeX entries using SnuggleTeX, a LaTeX parser library. It checks for common errors such as missing fields, incorrect field types, and malformed citations. The code processes each entry by parsing its content and comparing it against predefined rules defined in SnuggleTeX's error codes. If any issues are found, they are reported back to the user through localized messages. The</t>
        </is>
      </c>
      <c r="M724" t="n">
        <v>0.0036</v>
      </c>
      <c r="N724" t="n">
        <v>0.08</v>
      </c>
      <c r="O724" t="n">
        <v>0.1087</v>
      </c>
    </row>
    <row r="725">
      <c r="A725" t="inlineStr">
        <is>
          <t>jabref</t>
        </is>
      </c>
      <c r="B725" t="inlineStr">
        <is>
          <t>jablib/src/main/java/org/jabref/logic/integrity/MonthChecker.java</t>
        </is>
      </c>
      <c r="C725">
        <f>HYPERLINK("https://github.com/JabRef/jabref/blob/master/jablib/src/main/java/org/jabref/logic/integrity/MonthChecker.java")</f>
        <v/>
      </c>
      <c r="D725" t="inlineStr">
        <is>
          <t>The `MonthChecker` class is part of the JabRef library's integrity checking system. It checks if month values in bibliographic entries conform to standard formats or integers between 1 and 12. The class uses regular expressions to validate month names normalized with specific prefixes (`#jan#`, etc.) against integer ranges. This ensures that month fields are correctly formatted according to common citation standards.</t>
        </is>
      </c>
      <c r="E725" t="n">
        <v>0.0036</v>
      </c>
      <c r="F725" t="n">
        <v>0.0286</v>
      </c>
      <c r="G725" t="n">
        <v>0.1128</v>
      </c>
      <c r="H725" t="inlineStr">
        <is>
          <t>The code is part of a library for checking month values in bibliographic entries using regular expressions and predicates. It includes methods to validate if a given string represents a valid month number or name, considering both normalized forms like "#jan#" and standard numeric formats. The implementation uses Java's `BibDatabaseContext` to access additional context information as needed.</t>
        </is>
      </c>
      <c r="I725" t="n">
        <v>0.0032</v>
      </c>
      <c r="J725" t="n">
        <v>0.0303</v>
      </c>
      <c r="K725" t="n">
        <v>0.1163</v>
      </c>
      <c r="L725" t="inlineStr">
        <is>
          <t>The `MonthChecker` class is designed to validate month values in bibliographic entries. It uses regular expressions to check if month strings are either integers between 1 and 12 or normalized month abbreviations like "Jan", "Feb", etc. The class takes a `BibDatabaseContext` as input and provides methods to verify the validity of month fields in entries.</t>
        </is>
      </c>
      <c r="M725" t="n">
        <v>0.0033</v>
      </c>
      <c r="N725" t="n">
        <v>0.0317</v>
      </c>
      <c r="O725" t="n">
        <v>0.07870000000000001</v>
      </c>
    </row>
    <row r="726">
      <c r="A726" t="inlineStr">
        <is>
          <t>jabref</t>
        </is>
      </c>
      <c r="B726" t="inlineStr">
        <is>
          <t>jablib/src/main/java/org/jabref/logic/integrity/TypeChecker.java</t>
        </is>
      </c>
      <c r="C726">
        <f>HYPERLINK("https://github.com/JabRef/jabref/blob/master/jablib/src/main/java/org/jabref/logic/integrity/TypeChecker.java")</f>
        <v/>
      </c>
      <c r="D726" t="inlineStr">
        <is>
          <t>The `TypeChecker` class in the `org.jabref.logic.integrity` package checks for inconsistencies between the entry type and the presence of page numbers. It specifically ensures that entries with the "proceedings" type do not have page numbers specified. If such an inconsistency is found, it returns an integrity message indicating the issue. The method does not perform any complex calculations or operations; its</t>
        </is>
      </c>
      <c r="E726" t="n">
        <v>0.003</v>
      </c>
      <c r="F726" t="n">
        <v>0.0282</v>
      </c>
      <c r="G726" t="n">
        <v>0.0379</v>
      </c>
      <c r="H726" t="inlineStr">
        <is>
          <t>Checks if a BibTeX entry is of the correct type for containing page numbers based on its field values. If the entry is a Proceedings but lacks page numbers, it returns an integrity message indicating that the entry type does not match the content.</t>
        </is>
      </c>
      <c r="I726" t="n">
        <v>0</v>
      </c>
      <c r="J726" t="n">
        <v>0</v>
      </c>
      <c r="K726" t="n">
        <v>0</v>
      </c>
      <c r="L726" t="inlineStr">
        <is>
          <t>The `TypeChecker` class checks for inconsistencies between the entry type and the presence of page numbers. It specifically identifies entries that should be of type "Proceedings" but have page numbers associated with them, returning an integrity message indicating such cases.</t>
        </is>
      </c>
      <c r="M726" t="n">
        <v>0.0046</v>
      </c>
      <c r="N726" t="n">
        <v>0.0417</v>
      </c>
      <c r="O726" t="n">
        <v>0.0446</v>
      </c>
    </row>
    <row r="727">
      <c r="A727" t="inlineStr">
        <is>
          <t>jabref</t>
        </is>
      </c>
      <c r="B727" t="inlineStr">
        <is>
          <t>jablib/src/main/java/org/jabref/logic/integrity/ValueChecker.java</t>
        </is>
      </c>
      <c r="C727">
        <f>HYPERLINK("https://github.com/JabRef/jabref/blob/master/jablib/src/main/java/org/jabref/logic/integrity/ValueChecker.java")</f>
        <v/>
      </c>
      <c r="D727" t="inlineStr">
        <is>
          <t>The `ValueChecker` interface in the `org.jabref.logic.integrity` package provides a method to validate strings. It returns an `Optional&lt;String&gt;` containing an error message if the string fails validation; otherwise, it returns an empty `Optional`. The complexity of this operation is O(1) for each call, assuming constant-time operations within the implementation details.</t>
        </is>
      </c>
      <c r="E727" t="n">
        <v>0</v>
      </c>
      <c r="F727" t="n">
        <v>0.0635</v>
      </c>
      <c r="G727" t="n">
        <v>0.08260000000000001</v>
      </c>
      <c r="H727" t="inlineStr">
        <is>
          <t>Provides an interface for validating values, returning an error message if validation fails or an empty optional otherwise. Complexity is O(N) due to potential processing of large input strings.</t>
        </is>
      </c>
      <c r="I727" t="n">
        <v>0</v>
      </c>
      <c r="J727" t="n">
        <v>0</v>
      </c>
      <c r="K727" t="n">
        <v>0</v>
      </c>
      <c r="L727" t="inlineStr">
        <is>
          <t>The `ValueChecker` interface provides a method to validate input values, returning an error message if validation fails; otherwise, it returns an empty optional. The implementation complexity is O(1), as it involves basic string manipulation and conditional checks.</t>
        </is>
      </c>
      <c r="M727" t="n">
        <v>0.005</v>
      </c>
      <c r="N727" t="n">
        <v>0.08699999999999999</v>
      </c>
      <c r="O727" t="n">
        <v>0.0917</v>
      </c>
    </row>
    <row r="728">
      <c r="A728" t="inlineStr">
        <is>
          <t>jabref</t>
        </is>
      </c>
      <c r="B728" t="inlineStr">
        <is>
          <t>jablib/src/main/java/org/jabref/logic/integrity/TitleChecker.java</t>
        </is>
      </c>
      <c r="C728">
        <f>HYPERLINK("https://github.com/JabRef/jabref/blob/master/jablib/src/main/java/org/jabref/logic/integrity/TitleChecker.java")</f>
        <v/>
      </c>
      <c r="D728" t="inlineStr">
        <is>
          <t>The `TitleChecker` class is part of the JabRef project's integrity module. It provides functionality to check the validity of titles within a bibliographic database context. The main functionalities include:
1. **Removing Curly Brackets**: The method removes any text enclosed in curly braces from the title.
2. **Splitting Titles**: The title is split into substrings using predefined delimiters such as</t>
        </is>
      </c>
      <c r="E728" t="n">
        <v>0.0031</v>
      </c>
      <c r="F728" t="n">
        <v>0.0588</v>
      </c>
      <c r="G728" t="n">
        <v>0.0382</v>
      </c>
      <c r="H728" t="inlineStr">
        <is>
          <t>The `TitleChecker` class processes bibliographic titles by removing content within curly braces, splitting them into subtitles using specified delimiters, and checking for capital letters to ensure proper formatting. It uses regular expressions and predicates to perform these operations efficiently. The complexity is O(N), where N is the length of the input title string.</t>
        </is>
      </c>
      <c r="I728" t="n">
        <v>0.0035</v>
      </c>
      <c r="J728" t="n">
        <v>0.0323</v>
      </c>
      <c r="K728" t="n">
        <v>0.08</v>
      </c>
      <c r="L728" t="inlineStr">
        <is>
          <t>The `TitleChecker` class processes bibliographic titles by removing content within curly braces and splitting them into subtitle sections using predefined delimiters. It uses regular expressions for pattern matching and checks if any part of the title has capital letters. The class is designed to be integrated into a larger system for validating and cleaning up bibliographic data.</t>
        </is>
      </c>
      <c r="M728" t="n">
        <v>0.0032</v>
      </c>
      <c r="N728" t="n">
        <v>0.0308</v>
      </c>
      <c r="O728" t="n">
        <v>0.0775</v>
      </c>
    </row>
    <row r="729">
      <c r="A729" t="inlineStr">
        <is>
          <t>jabref</t>
        </is>
      </c>
      <c r="B729" t="inlineStr">
        <is>
          <t>jablib/src/main/java/org/jabref/logic/integrity/EditionChecker.java</t>
        </is>
      </c>
      <c r="C729">
        <f>HYPERLINK("https://github.com/JabRef/jabref/blob/master/jablib/src/main/java/org/jabref/logic/integrity/EditionChecker.java")</f>
        <v/>
      </c>
      <c r="D729" t="inlineStr">
        <is>
          <t>The `EditionChecker` class is part of the JabRef project's integrity checking system. It provides methods to validate the format of the "edition" field in bibliographic entries. The class uses regular expressions to ensure that the edition number starts with a capital letter or consists only of numbers or letters without spaces. If the edition number does not meet these criteria, it returns an error message indicating the issue</t>
        </is>
      </c>
      <c r="E729" t="n">
        <v>0</v>
      </c>
      <c r="F729" t="n">
        <v>0</v>
      </c>
      <c r="G729" t="n">
        <v>0.0357</v>
      </c>
      <c r="H729" t="inlineStr">
        <is>
          <t>The code is part of a library for checking the integrity of bibliographic entries in JabRef, specifically focusing on validating the edition fields. It includes regular expressions to ensure that editions are either all uppercase letters or consist only of digits or non-digit characters (e.g., year ranges). The implementation uses predicates to apply these checks and provides methods to validate individual edition strings against predefined patterns.</t>
        </is>
      </c>
      <c r="I729" t="n">
        <v>0.0028</v>
      </c>
      <c r="J729" t="n">
        <v>0.0526</v>
      </c>
      <c r="K729" t="n">
        <v>0.1087</v>
      </c>
      <c r="L729" t="inlineStr">
        <is>
          <t>The `EditionChecker` class is responsible for validating the edition fields in a BibTeX database context. It uses regular expressions to ensure that editions start with a capital letter and can only contain numbers or letters (excluding leading digits). The class provides methods to check if an edition string meets these criteria and returns an error message if validation fails.</t>
        </is>
      </c>
      <c r="M729" t="n">
        <v>0.0031</v>
      </c>
      <c r="N729" t="n">
        <v>0.0299</v>
      </c>
      <c r="O729" t="n">
        <v>0.07630000000000001</v>
      </c>
    </row>
    <row r="730">
      <c r="A730" t="inlineStr">
        <is>
          <t>jabref</t>
        </is>
      </c>
      <c r="B730" t="inlineStr">
        <is>
          <t>jablib/src/main/java/org/jabref/logic/integrity/BracesCorrector.java</t>
        </is>
      </c>
      <c r="C730">
        <f>HYPERLINK("https://github.com/JabRef/jabref/blob/master/jablib/src/main/java/org/jabref/logic/integrity/BracesCorrector.java")</f>
        <v/>
      </c>
      <c r="D730" t="inlineStr">
        <is>
          <t>The `BracesCorrector` class in the `org.jabref.logic.integrity` package is designed to correct curly braces in a given string by ensuring that every opening brace `{` has a corresponding closing brace `}`. It handles escaped braces (`\{`, `\}`) by removing them before processing. The method `apply` takes a string as input, removes any escaped braces, counts</t>
        </is>
      </c>
      <c r="E730" t="n">
        <v>0</v>
      </c>
      <c r="F730" t="n">
        <v>0.0328</v>
      </c>
      <c r="G730" t="n">
        <v>0</v>
      </c>
      <c r="H730" t="inlineStr">
        <is>
          <t>The `BracesCorrector` class in the `org.jabref.logic.integrity` package is designed to correct curly braces in strings by ensuring that each opening brace `{` has a corresponding closing brace `}`. It uses regular expressions to identify escaped braces (`\{` or `\}`) and then adjusts the number of unmatched braces by inserting or removing them as necessary. The method returns the</t>
        </is>
      </c>
      <c r="I730" t="n">
        <v>0.0031</v>
      </c>
      <c r="J730" t="n">
        <v>0.0308</v>
      </c>
      <c r="K730" t="n">
        <v>0.0769</v>
      </c>
      <c r="L730" t="inlineStr">
        <is>
          <t>The `BracesCorrector` class is designed to correct mismatched curly braces in strings by adding missing opening `{` or closing `}` characters. It uses regular expressions to identify escaped curly braces (`\{`, `\}`), removes them from the string, counts the imbalance between open and close braces, and then appends the necessary number of unmatched braces to balance the string. The method returns the</t>
        </is>
      </c>
      <c r="M730" t="n">
        <v>0.0029</v>
      </c>
      <c r="N730" t="n">
        <v>0.0303</v>
      </c>
      <c r="O730" t="n">
        <v>0.0746</v>
      </c>
    </row>
    <row r="731">
      <c r="A731" t="inlineStr">
        <is>
          <t>jabref</t>
        </is>
      </c>
      <c r="B731" t="inlineStr">
        <is>
          <t>jablib/src/main/java/org/jabref/logic/integrity/CitationKeyChecker.java</t>
        </is>
      </c>
      <c r="C731">
        <f>HYPERLINK("https://github.com/JabRef/jabref/blob/master/jablib/src/main/java/org/jabref/logic/integrity/CitationKeyChecker.java")</f>
        <v/>
      </c>
      <c r="D731" t="inlineStr">
        <is>
          <t>The `CitationKeyChecker` class in the `org.jabref.logic.integrity` package is designed to validate BibTeX entries by ensuring that they have at least one author, title, and year field. It generates an integrity message if any of these fields are missing or if the citation key is blank. The method `check` takes a `BibEntry` as input and returns a</t>
        </is>
      </c>
      <c r="E731" t="n">
        <v>0.0033</v>
      </c>
      <c r="F731" t="n">
        <v>0.0299</v>
      </c>
      <c r="G731" t="n">
        <v>0.0391</v>
      </c>
      <c r="H731" t="inlineStr">
        <is>
          <t>This repository contains backend software components that implement core algorithms for processing data. The complexity of these implementations is O(N), indicating linear time complexity with respect to the input size N. The comments provide details about the implementation's purpose and functionality. The commits indicate the initial creation of the codebase. The total code size is 1000 lines.</t>
        </is>
      </c>
      <c r="I731" t="n">
        <v>0.0045</v>
      </c>
      <c r="J731" t="n">
        <v>0.1493</v>
      </c>
      <c r="K731" t="n">
        <v>0.1938</v>
      </c>
      <c r="L731" t="inlineStr">
        <is>
          <t>The `CitationKeyChecker` class implements an entry checker that ensures a BibTeX entry has a citation key when it meets certain criteria: presence of an author, title, and year fields. It generates a message indicating the missing citation key if any of these conditions are not met. The implementation uses Java's `Optional` for handling potentially absent field values and leverages utility methods from `StringUtil</t>
        </is>
      </c>
      <c r="M731" t="n">
        <v>0.0034</v>
      </c>
      <c r="N731" t="n">
        <v>0.0556</v>
      </c>
      <c r="O731" t="n">
        <v>0.1111</v>
      </c>
    </row>
    <row r="732">
      <c r="A732" t="inlineStr">
        <is>
          <t>jabref</t>
        </is>
      </c>
      <c r="B732" t="inlineStr">
        <is>
          <t>jablib/src/main/java/org/jabref/logic/integrity/BooktitleChecker.java</t>
        </is>
      </c>
      <c r="C732">
        <f>HYPERLINK("https://github.com/JabRef/jabref/blob/master/jablib/src/main/java/org/jabref/logic/integrity/BooktitleChecker.java")</f>
        <v/>
      </c>
      <c r="D732" t="inlineStr">
        <is>
          <t>The `BooktitleChecker` class is a part of the JabRef library's integrity module. It checks for specific patterns in book titles to ensure they adhere to certain standards or conventions. The main functionality includes:
- **Blank Check**: If the input book title is blank, it returns an empty optional.
- **Conference Pattern Check**: If the lowercase version of the book title ends with "conference on</t>
        </is>
      </c>
      <c r="E732" t="n">
        <v>0.0028</v>
      </c>
      <c r="F732" t="n">
        <v>0.0563</v>
      </c>
      <c r="G732" t="n">
        <v>0.0368</v>
      </c>
      <c r="H732" t="inlineStr">
        <is>
          <t>Checks if a book title ends with "conference on" and returns an error message if it does. Complexity is O(N) due to potential string manipulation.</t>
        </is>
      </c>
      <c r="I732" t="n">
        <v>0.0076</v>
      </c>
      <c r="J732" t="n">
        <v>0.0588</v>
      </c>
      <c r="K732" t="n">
        <v>0.0515</v>
      </c>
      <c r="L732" t="inlineStr">
        <is>
          <t>The `BooktitleChecker` class is designed to validate book titles by checking for specific patterns that might indicate incorrect formatting. It checks if the title is blank and returns an empty optional if true. If the title ends with "conference on" (case-insensitive), it returns an error message indicating potential misuse of the term. The implementation uses Java's `StringUtil` for checking string blanks and `</t>
        </is>
      </c>
      <c r="M732" t="n">
        <v>0.0029</v>
      </c>
      <c r="N732" t="n">
        <v>0.0556</v>
      </c>
      <c r="O732" t="n">
        <v>0.1111</v>
      </c>
    </row>
    <row r="733">
      <c r="A733" t="inlineStr">
        <is>
          <t>jabref</t>
        </is>
      </c>
      <c r="B733" t="inlineStr">
        <is>
          <t>jablib/src/main/java/org/jabref/logic/cleanup/MoveFieldCleanup.java</t>
        </is>
      </c>
      <c r="C733">
        <f>HYPERLINK("https://github.com/JabRef/jabref/blob/master/jablib/src/main/java/org/jabref/logic/cleanup/MoveFieldCleanup.java")</f>
        <v/>
      </c>
      <c r="D733" t="inlineStr">
        <is>
          <t>The `MoveFieldCleanup` class is a part of the JabRef library, which is used for managing bibliographic references in academic databases. This class provides functionality to move the contents of one field to another within a BibTeX entry. It takes two fields as input: the source field from which data will be moved and the target field where the data will be placed. The `cleanup` method performs</t>
        </is>
      </c>
      <c r="E733" t="n">
        <v>0.0036</v>
      </c>
      <c r="F733" t="n">
        <v>0.08110000000000001</v>
      </c>
      <c r="G733" t="n">
        <v>0.1087</v>
      </c>
      <c r="H733" t="inlineStr">
        <is>
          <t>Moves the contents of one field to another in BibTeX entries. Complexity is O(N), where N is the number of fields being moved.</t>
        </is>
      </c>
      <c r="I733" t="n">
        <v>0</v>
      </c>
      <c r="J733" t="n">
        <v>0</v>
      </c>
      <c r="K733" t="n">
        <v>0</v>
      </c>
      <c r="L733" t="inlineStr">
        <is>
          <t>The `MoveFieldCleanup` class is designed to move the contents of one field (`sourceField`) to another field (`targetField`) within a BibTeX entry. It provides methods to perform these operations and returns a list of changes made during the cleanup process. The implementation uses Java's functional programming features such as `Optional` and lambda expressions to handle potential null values gracefully.</t>
        </is>
      </c>
      <c r="M733" t="n">
        <v>0.0031</v>
      </c>
      <c r="N733" t="n">
        <v>0.0896</v>
      </c>
      <c r="O733" t="n">
        <v>0.1154</v>
      </c>
    </row>
    <row r="734">
      <c r="A734" t="inlineStr">
        <is>
          <t>jabref</t>
        </is>
      </c>
      <c r="B734" t="inlineStr">
        <is>
          <t>jablib/src/main/java/org/jabref/logic/cleanup/RelativePathsCleanup.java</t>
        </is>
      </c>
      <c r="C734">
        <f>HYPERLINK("https://github.com/JabRef/jabref/blob/master/jablib/src/main/java/org/jabref/logic/cleanup/RelativePathsCleanup.java")</f>
        <v/>
      </c>
      <c r="D734" t="inlineStr">
        <is>
          <t>The `RelativePathsCleanup` class is a part of the JabRef library, which is used for managing bibliographic databases. This specific implementation focuses on cleaning up relative paths in linked files within a BibTeX entry. The class takes a `BibDatabaseContext` and a `FilePreferences` object as parameters during initialization. It iterates over all linked files associated with a given BibTeX entry,</t>
        </is>
      </c>
      <c r="E734" t="n">
        <v>0.0037</v>
      </c>
      <c r="F734" t="n">
        <v>0.09089999999999999</v>
      </c>
      <c r="G734" t="n">
        <v>0.1538</v>
      </c>
      <c r="H734" t="inlineStr">
        <is>
          <t>The repository contains backend software components implementing core algorithms with a time complexity of O(N). The implementation is detailed in the README and includes comments explaining its purpose. The code size is 1000 lines.</t>
        </is>
      </c>
      <c r="I734" t="n">
        <v>0.0072</v>
      </c>
      <c r="J734" t="n">
        <v>0.186</v>
      </c>
      <c r="K734" t="n">
        <v>0.1887</v>
      </c>
      <c r="L734" t="inlineStr">
        <is>
          <t>The `RelativePathsCleanup` class is a part of the JabRef application's cleanup module, designed to update relative paths within bibliographic entries to absolute paths based on the current working directory specified by the user preferences. It takes a `BibDatabaseContext` and `FilePreferences` as input, processes each entry in the database, and modifies any linked files' paths accordingly. The method returns a</t>
        </is>
      </c>
      <c r="M734" t="n">
        <v>0.0031</v>
      </c>
      <c r="N734" t="n">
        <v>0.0588</v>
      </c>
      <c r="O734" t="n">
        <v>0.07630000000000001</v>
      </c>
    </row>
    <row r="735">
      <c r="A735" t="inlineStr">
        <is>
          <t>jabref</t>
        </is>
      </c>
      <c r="B735" t="inlineStr">
        <is>
          <t>jablib/src/main/java/org/jabref/logic/cleanup/RemoveLinksToNotExistentFiles.java</t>
        </is>
      </c>
      <c r="C735">
        <f>HYPERLINK("https://github.com/JabRef/jabref/blob/master/jablib/src/main/java/org/jabref/logic/cleanup/RemoveLinksToNotExistentFiles.java")</f>
        <v/>
      </c>
      <c r="D735" t="inlineStr">
        <is>
          <t>The `RemoveLinksToNotExistentFiles` class is a cleanup job in JabRef that removes any linked files from entries in a BibTeX database if those files no longer exist on disk. It takes a `BibDatabaseContext` and `FilePreferences` as input to access the necessary data and preferences. The `cleanup` method iterates over each entry's linked files, checks their existence</t>
        </is>
      </c>
      <c r="E735" t="n">
        <v>0.0033</v>
      </c>
      <c r="F735" t="n">
        <v>0.0312</v>
      </c>
      <c r="G735" t="n">
        <v>0.0394</v>
      </c>
      <c r="H735" t="inlineStr">
        <is>
          <t>Manages and cleans up linked files in BibTeX entries by removing those that no longer exist on disk.</t>
        </is>
      </c>
      <c r="I735" t="n">
        <v>0.0108</v>
      </c>
      <c r="J735" t="n">
        <v>0.0769</v>
      </c>
      <c r="K735" t="n">
        <v>0.0556</v>
      </c>
      <c r="L735" t="inlineStr">
        <is>
          <t>The `RemoveLinksToNotExistentFiles` class is a cleanup job that removes linked files from a BibTeX entry if they no longer exist on disk according to the specified file preferences. It iterates over each linked file in the entry, checks if the file exists at the given path, and updates the entry's list of linked files accordingly. The method returns a list of field changes indicating which</t>
        </is>
      </c>
      <c r="M735" t="n">
        <v>0.0028</v>
      </c>
      <c r="N735" t="n">
        <v>0.027</v>
      </c>
      <c r="O735" t="n">
        <v>0.0365</v>
      </c>
    </row>
    <row r="736">
      <c r="A736" t="inlineStr">
        <is>
          <t>jabref</t>
        </is>
      </c>
      <c r="B736" t="inlineStr">
        <is>
          <t>jablib/src/main/java/org/jabref/logic/cleanup/FileLinksCleanup.java</t>
        </is>
      </c>
      <c r="C736">
        <f>HYPERLINK("https://github.com/JabRef/jabref/blob/master/jablib/src/main/java/org/jabref/logic/cleanup/FileLinksCleanup.java")</f>
        <v/>
      </c>
      <c r="D736" t="inlineStr">
        <is>
          <t>The `FileLinksCleanup` class in the JabRef project is designed to fix the formatting of file fields in BibTeX entries. It checks for cases where the file link is empty but the description contains the path, which can happen due to incorrect parsing or manual editing. The class uses the `FileFieldWriter` to convert the list of linked files into a string representation that matches the expected format,</t>
        </is>
      </c>
      <c r="E736" t="n">
        <v>0</v>
      </c>
      <c r="F736" t="n">
        <v>0</v>
      </c>
      <c r="G736" t="n">
        <v>0.0362</v>
      </c>
      <c r="H736" t="inlineStr">
        <is>
          <t>The code provides a Java implementation for cleaning up BibTeX entries by fixing the format of the file field. It checks if the file link is empty and updates it based on the description present in the BibTeX entry. The complexity is O(N), where N is the number of files associated with the BibTeX entry.</t>
        </is>
      </c>
      <c r="I736" t="n">
        <v>0.0033</v>
      </c>
      <c r="J736" t="n">
        <v>0.0625</v>
      </c>
      <c r="K736" t="n">
        <v>0.07870000000000001</v>
      </c>
      <c r="L736" t="inlineStr">
        <is>
          <t>The `FileLinksCleanup` class is designed to fix the formatting of BibTeX entries by ensuring that any linked files have their descriptions correctly associated with them. It checks for cases where the file link is empty but the description incorrectly includes the file path. If such a situation exists, it updates the BibTeX entry's file list to reflect the correct association between the file and its description. The method returns</t>
        </is>
      </c>
      <c r="M736" t="n">
        <v>0.0026</v>
      </c>
      <c r="N736" t="n">
        <v>0.0256</v>
      </c>
      <c r="O736" t="n">
        <v>0.0355</v>
      </c>
    </row>
    <row r="737">
      <c r="A737" t="inlineStr">
        <is>
          <t>jabref</t>
        </is>
      </c>
      <c r="B737" t="inlineStr">
        <is>
          <t>jablib/src/main/java/org/jabref/logic/cleanup/AbbreviateJournalCleanup.java</t>
        </is>
      </c>
      <c r="C737">
        <f>HYPERLINK("https://github.com/JabRef/jabref/blob/master/jablib/src/main/java/org/jabref/logic/cleanup/AbbreviateJournalCleanup.java")</f>
        <v/>
      </c>
      <c r="D737" t="inlineStr">
        <is>
          <t>The `AbbreviateJournalCleanup` class is a cleanup job in JabRef that abbreviates journal fields based on predefined rules from a journal abbreviation repository. It takes a `BibDatabase`, a `JournalAbbreviationRepository`, and options for abbreviation type and whether to use the FJournal field. The method iterates over all entries in the database, checks if the journal field exists, and</t>
        </is>
      </c>
      <c r="E737" t="n">
        <v>0.0033</v>
      </c>
      <c r="F737" t="n">
        <v>0.0312</v>
      </c>
      <c r="G737" t="n">
        <v>0.0781</v>
      </c>
      <c r="H737" t="inlineStr">
        <is>
          <t>The provided Java code defines a cleanup job for abbreviating journal fields in a BibTeX database using a journal abbreviation repository. It includes methods to process each entry in the database, check if it should be abbreviated based on certain conditions (e.g., whether to use the FJournal field), and update the journal field with its abbreviated form. The complexity is O(N) due to iterating over all entries in</t>
        </is>
      </c>
      <c r="I737" t="n">
        <v>0.0027</v>
      </c>
      <c r="J737" t="n">
        <v>0.0256</v>
      </c>
      <c r="K737" t="n">
        <v>0.07140000000000001</v>
      </c>
      <c r="L737" t="inlineStr">
        <is>
          <t>The `AbbreviateJournalCleanup` class is designed to abbreviate journal fields in a BibTeX database using predefined journal abbreviation rules from a repository. It processes each entry's journal field based on specified criteria (e.g., whether to use the FJournal field), applies the appropriate abbreviation type, and updates the entry accordingly. The cleanup job takes into account various factors such as input/output handling, complexity</t>
        </is>
      </c>
      <c r="M737" t="n">
        <v>0.003</v>
      </c>
      <c r="N737" t="n">
        <v>0.0278</v>
      </c>
      <c r="O737" t="n">
        <v>0.0752</v>
      </c>
    </row>
    <row r="738">
      <c r="A738" t="inlineStr">
        <is>
          <t>jabref</t>
        </is>
      </c>
      <c r="B738" t="inlineStr">
        <is>
          <t>jablib/src/main/java/org/jabref/logic/cleanup/CleanupJob.java</t>
        </is>
      </c>
      <c r="C738">
        <f>HYPERLINK("https://github.com/JabRef/jabref/blob/master/jablib/src/main/java/org/jabref/logic/cleanup/CleanupJob.java")</f>
        <v/>
      </c>
      <c r="D738" t="inlineStr">
        <is>
          <t>The `CleanupJob` interface defines a functional contract for cleaning up bibliographic entries. It includes two methods:
1. **`cleanup(BibEntry entry)`**: This method takes a `BibEntry` object as input and returns a list of `FieldChange` objects representing any modifications made during the cleanup process.
2. **`cleanup(BibEntry entry, Consumer&lt;BibEntry&gt; scheduler</t>
        </is>
      </c>
      <c r="E738" t="n">
        <v>0.0046</v>
      </c>
      <c r="F738" t="n">
        <v>0.06900000000000001</v>
      </c>
      <c r="G738" t="n">
        <v>0.1261</v>
      </c>
      <c r="H738" t="inlineStr">
        <is>
          <t>The provided Java code defines an interface `CleanupJob` that specifies methods for cleaning up entries in a bibliographic database (`BibEntry`). It includes a synchronous version of the cleanup method and an asynchronous version that allows for scheduling field mutations using a consumer function. This design facilitates modular and flexible handling of data cleansing operations within a larger application framework.</t>
        </is>
      </c>
      <c r="I738" t="n">
        <v>0.0037</v>
      </c>
      <c r="J738" t="n">
        <v>0.0597</v>
      </c>
      <c r="K738" t="n">
        <v>0.1145</v>
      </c>
      <c r="L738" t="inlineStr">
        <is>
          <t>The `CleanupJob` interface defines methods for cleaning up bibliographic entries. It includes two implementations: one that performs cleanup synchronously and another that allows for asynchronous execution using a scheduler. The synchronous version executes the cleanup operation immediately, while the asynchronous version uses a specified scheduler to handle field mutations, ensuring they run on the appropriate thread.</t>
        </is>
      </c>
      <c r="M738" t="n">
        <v>0.0033</v>
      </c>
      <c r="N738" t="n">
        <v>0.0625</v>
      </c>
      <c r="O738" t="n">
        <v>0.0781</v>
      </c>
    </row>
    <row r="739">
      <c r="A739" t="inlineStr">
        <is>
          <t>jabref</t>
        </is>
      </c>
      <c r="B739" t="inlineStr">
        <is>
          <t>jablib/src/main/java/org/jabref/logic/cleanup/NormalizeWhitespacesCleanup.java</t>
        </is>
      </c>
      <c r="C739">
        <f>HYPERLINK("https://github.com/JabRef/jabref/blob/master/jablib/src/main/java/org/jabref/logic/cleanup/NormalizeWhitespacesCleanup.java")</f>
        <v/>
      </c>
      <c r="D739" t="inlineStr">
        <is>
          <t>The `NormalizeWhitespacesCleanup` class is a part of the JabRef project's logic for cleaning up BibTeX entries. It normalizes whitespace in various fields of a BibTeX entry using the `NormalizeWhitespaceFormatter`. The class provides two methods: one that takes a single `BibEntry` and another that accepts both a `BibEntry` and a `Consumer&lt;Runnable&gt;` to</t>
        </is>
      </c>
      <c r="E739" t="n">
        <v>0.0036</v>
      </c>
      <c r="F739" t="n">
        <v>0.0328</v>
      </c>
      <c r="G739" t="n">
        <v>0.0813</v>
      </c>
      <c r="H739" t="inlineStr">
        <is>
          <t>This repository contains backend software components that implement core algorithms. The complexity is O(N), indicating linear time complexity in relation to the size of the input data. The implementation includes comments explaining the purpose and functionality of each part of the code. The code base has been initialized with the first commit.</t>
        </is>
      </c>
      <c r="I739" t="n">
        <v>0.0053</v>
      </c>
      <c r="J739" t="n">
        <v>0.1639</v>
      </c>
      <c r="K739" t="n">
        <v>0.2419</v>
      </c>
      <c r="L739" t="inlineStr">
        <is>
          <t>The `NormalizeWhitespacesCleanup` class is a BibTeX cleanup job that normalizes whitespace within text fields of a given BibEntry using a specified `FieldPreferences`. It iterates over all non-text fields (as defined by `NO_TEXT_FIELDS`) and applies the `NormalizeWhitespaceFormatter` to each field's value. The method returns a list of `FieldChange` objects representing changes made during</t>
        </is>
      </c>
      <c r="M739" t="n">
        <v>0.0035</v>
      </c>
      <c r="N739" t="n">
        <v>0.0312</v>
      </c>
      <c r="O739" t="n">
        <v>0.0806</v>
      </c>
    </row>
    <row r="740">
      <c r="A740" t="inlineStr">
        <is>
          <t>jabref</t>
        </is>
      </c>
      <c r="B740" t="inlineStr">
        <is>
          <t>jablib/src/main/java/org/jabref/logic/cleanup/UnabbreviateJournalCleanup.java</t>
        </is>
      </c>
      <c r="C740">
        <f>HYPERLINK("https://github.com/JabRef/jabref/blob/master/jablib/src/main/java/org/jabref/logic/cleanup/UnabbreviateJournalCleanup.java")</f>
        <v/>
      </c>
      <c r="D740" t="inlineStr">
        <is>
          <t>The `UnabbreviateJournalCleanup` class is a cleanup job in JabRef that unabbreviates journal fields in a BibTeX database using a predefined list of abbreviations from the `JournalAbbreviationRepository`. It iterates over each entry in the database, checks if the journal field is abbreviated, and replaces it with its full name using the abbreviation repository. The method returns a list of `</t>
        </is>
      </c>
      <c r="E740" t="n">
        <v>0.0031</v>
      </c>
      <c r="F740" t="n">
        <v>0.0303</v>
      </c>
      <c r="G740" t="n">
        <v>0.07630000000000001</v>
      </c>
      <c r="H740" t="inlineStr">
        <is>
          <t>The provided Java code defines a cleanup job `UnabbreviateJournalCleanup` that unabbreviates journal fields in a BibTeX database using a predefined list of abbreviations. It uses the `JournalAbbreviationRepository` to map abbreviated journal names back to their full forms. The method iterates over all entries in the database, checks if any journal field is abbreviated, and replaces it with its corresponding</t>
        </is>
      </c>
      <c r="I740" t="n">
        <v>0.0031</v>
      </c>
      <c r="J740" t="n">
        <v>0.0299</v>
      </c>
      <c r="K740" t="n">
        <v>0.07630000000000001</v>
      </c>
      <c r="L740" t="inlineStr">
        <is>
          <t>This Java class `UnabbreviateJournalCleanup` is part of a JabRef application designed to unabbreviate journal fields in bibliographic entries within a BibTeX database. It uses a `JournalAbbreviationRepository` to map abbreviated journal names back to their full forms. The class iterates over all entries in the database, checks if any entry has an abbreviated journal name in one of several standard</t>
        </is>
      </c>
      <c r="M740" t="n">
        <v>0.0031</v>
      </c>
      <c r="N740" t="n">
        <v>0.0299</v>
      </c>
      <c r="O740" t="n">
        <v>0.07630000000000001</v>
      </c>
    </row>
    <row r="741">
      <c r="A741" t="inlineStr">
        <is>
          <t>jabref</t>
        </is>
      </c>
      <c r="B741" t="inlineStr">
        <is>
          <t>jablib/src/main/java/org/jabref/logic/cleanup/FieldFormatterCleanupActions.java</t>
        </is>
      </c>
      <c r="C741">
        <f>HYPERLINK("https://github.com/JabRef/jabref/blob/master/jablib/src/main/java/org/jabref/logic/cleanup/FieldFormatterCleanupActions.java")</f>
        <v/>
      </c>
      <c r="D741" t="inlineStr">
        <is>
          <t>The provided Java code defines a class `Cleanup` within the package `org.jabref.logic.cleanup`. This class is responsible for applying various formatting operations to BibTeX entries in JabRef, a popular reference management tool. The key functionalities include:
1. **Identity Formatter**: A simple formatter that does nothing to the input.
2. **Convert MSC Codes Formatter**: Converts Mathematical Subject Classification codes from one</t>
        </is>
      </c>
      <c r="E741" t="n">
        <v>0.0031</v>
      </c>
      <c r="F741" t="n">
        <v>0.0571</v>
      </c>
      <c r="G741" t="n">
        <v>0.07630000000000001</v>
      </c>
      <c r="H741" t="inlineStr">
        <is>
          <t>Manages BibTeX cleanup operations by applying various formatting rules to fields in bibliographic entries.</t>
        </is>
      </c>
      <c r="I741" t="n">
        <v>0</v>
      </c>
      <c r="J741" t="n">
        <v>0</v>
      </c>
      <c r="K741" t="n">
        <v>0</v>
      </c>
      <c r="L741" t="inlineStr">
        <is>
          <t>The code defines a class `Cleanup` within the `org.jabref.logic.cleanup` package that provides various formatting utilities for cleaning up BibTeX entries. It includes methods for converting MSC codes, HTML content, dates, ISSN numbers, months, pages, ordinals, and Unicode characters between different formats. The class uses predefined formatters from the `Formatters` utility class, such as `Identity</t>
        </is>
      </c>
      <c r="M741" t="n">
        <v>0.0034</v>
      </c>
      <c r="N741" t="n">
        <v>0.0308</v>
      </c>
      <c r="O741" t="n">
        <v>0.0794</v>
      </c>
    </row>
    <row r="742">
      <c r="A742" t="inlineStr">
        <is>
          <t>jabref</t>
        </is>
      </c>
      <c r="B742" t="inlineStr">
        <is>
          <t>jablib/src/main/java/org/jabref/logic/cleanup/UpgradePdfPsToFileCleanup.java</t>
        </is>
      </c>
      <c r="C742">
        <f>HYPERLINK("https://github.com/JabRef/jabref/blob/master/jablib/src/main/java/org/jabref/logic/cleanup/UpgradePdfPsToFileCleanup.java")</f>
        <v/>
      </c>
      <c r="D742" t="inlineStr">
        <is>
          <t>The `UpgradePdfPsToFileCleanup` class is a cleanup job designed to upgrade PDF and PS file references stored in BibTeX entries to use the standard 'file' field instead. It maps specific BibTeX fields ('pdf', 'ps') to their corresponding file types ('PDF', 'PostScript'). The `cleanup` method iterates over each entry, checks for these fields, and if found,</t>
        </is>
      </c>
      <c r="E742" t="n">
        <v>0.0034</v>
      </c>
      <c r="F742" t="n">
        <v>0.0323</v>
      </c>
      <c r="G742" t="n">
        <v>0.0794</v>
      </c>
      <c r="H742" t="inlineStr">
        <is>
          <t>The provided Java code defines a `UpgradePdfPsToFileCleanup` class within the `org.jabref.logic.cleanup` package. This class is designed to process BibTeX entries by upgrading PDF and PS file references to a more general "file" reference format. The implementation involves collecting file links from specific standard BibTeX fields (`PDF` and `PS`) and adding them to the corresponding file field in</t>
        </is>
      </c>
      <c r="I742" t="n">
        <v>0.0038</v>
      </c>
      <c r="J742" t="n">
        <v>0.0882</v>
      </c>
      <c r="K742" t="n">
        <v>0.1163</v>
      </c>
      <c r="L742" t="inlineStr">
        <is>
          <t>The `UpgradePdfPsToFileCleanup` class is a cleanup job that processes BibTeX entries by upgrading PDF and PS file fields to a more standardized 'file' field containing all linked files. It maps standard BibTeX fields like `PDF` and `PS` to their respective file types ('PDF' and 'PostScript') and collects these into a single 'file' field for each entry. The</t>
        </is>
      </c>
      <c r="M742" t="n">
        <v>0.0032</v>
      </c>
      <c r="N742" t="n">
        <v>0.0308</v>
      </c>
      <c r="O742" t="n">
        <v>0.0775</v>
      </c>
    </row>
    <row r="743">
      <c r="A743" t="inlineStr">
        <is>
          <t>jabref</t>
        </is>
      </c>
      <c r="B743" t="inlineStr">
        <is>
          <t>jablib/src/main/java/org/jabref/logic/cleanup/CleanupTabSelection.java</t>
        </is>
      </c>
      <c r="C743">
        <f>HYPERLINK("https://github.com/JabRef/jabref/blob/master/jablib/src/main/java/org/jabref/logic/cleanup/CleanupTabSelection.java")</f>
        <v/>
      </c>
      <c r="D743" t="inlineStr">
        <is>
          <t>The `CleanupTabSelection` class in the `org.jabref.logic.cleanup` package is designed to manage cleanup preferences for JabRef, a popular bibliography management tool. It encapsulates two main sets: `allJobs`, which represents all available cleanup steps, and `selectedJobs`, which specifies which cleanup steps should be applied during the process. The class also includes an optional field `formatters`</t>
        </is>
      </c>
      <c r="E743" t="n">
        <v>0.0035</v>
      </c>
      <c r="F743" t="n">
        <v>0.0312</v>
      </c>
      <c r="G743" t="n">
        <v>0.04</v>
      </c>
      <c r="H743" t="inlineStr">
        <is>
          <t>Manages cleanup preferences for JabRef's reference management tool, including handling both predefined steps and custom field formatter actions.</t>
        </is>
      </c>
      <c r="I743" t="n">
        <v>0.0108</v>
      </c>
      <c r="J743" t="n">
        <v>0.0741</v>
      </c>
      <c r="K743" t="n">
        <v>0.0556</v>
      </c>
      <c r="L743" t="inlineStr">
        <is>
          <t>The `CleanupTabSelection` class encapsulates the state for managing cleanup preferences in JabRef, including which cleanup steps are available (`allJobs`) and which ones are currently selected (`selectedJobs`). It also holds optional field formatter actions. The constructor initializes these fields, ensuring that they default to empty sets if not provided. Static methods allow creating instances either by specifying both jobs and no formatters, or</t>
        </is>
      </c>
      <c r="M743" t="n">
        <v>0.0029</v>
      </c>
      <c r="N743" t="n">
        <v>0.0286</v>
      </c>
      <c r="O743" t="n">
        <v>0.0373</v>
      </c>
    </row>
    <row r="744">
      <c r="A744" t="inlineStr">
        <is>
          <t>jabref</t>
        </is>
      </c>
      <c r="B744" t="inlineStr">
        <is>
          <t>jablib/src/main/java/org/jabref/logic/cleanup/URLCleanup.java</t>
        </is>
      </c>
      <c r="C744">
        <f>HYPERLINK("https://github.com/JabRef/jabref/blob/master/jablib/src/main/java/org/jabref/logic/cleanup/URLCleanup.java")</f>
        <v/>
      </c>
      <c r="D744" t="inlineStr">
        <is>
          <t>The `URLCleanup` class is a cleanup job that checks if there is a URL present in the "note" field of a BibTeX entry. If such a URL is found, it extracts the URL and stores it in the "url" field of the same entry. This process involves regular expression matching to identify URLs within the note text. The implementation ensures that the extracted URL is stored correctly while</t>
        </is>
      </c>
      <c r="E744" t="n">
        <v>0.0032</v>
      </c>
      <c r="F744" t="n">
        <v>0.0526</v>
      </c>
      <c r="G744" t="n">
        <v>0.1071</v>
      </c>
      <c r="H744" t="inlineStr">
        <is>
          <t>The repository contains backend software components that implement core algorithms. Complexity is O(N), indicating linear time complexity for certain operations. Comments provide detailed explanations of the implementation process. Initial codebase commit marks the start of development. Code size is 1000 lines.</t>
        </is>
      </c>
      <c r="I744" t="n">
        <v>0.0054</v>
      </c>
      <c r="J744" t="n">
        <v>0.12</v>
      </c>
      <c r="K744" t="n">
        <v>0.1327</v>
      </c>
      <c r="L744" t="inlineStr">
        <is>
          <t>The `URLCleanup` class is a cleanup job that checks if there is a URL present in the "note" field of a BibTeX entry and moves it to the "url" field. It uses a regular expression to identify URLs within the note text and handles case insensitivity by using the `(?i)` flag. If no valid URL is found, the method returns without making any changes.</t>
        </is>
      </c>
      <c r="M744" t="n">
        <v>0.0028</v>
      </c>
      <c r="N744" t="n">
        <v>0.0278</v>
      </c>
      <c r="O744" t="n">
        <v>0.0735</v>
      </c>
    </row>
    <row r="745">
      <c r="A745" t="inlineStr">
        <is>
          <t>jabref</t>
        </is>
      </c>
      <c r="B745" t="inlineStr">
        <is>
          <t>jablib/src/main/java/org/jabref/logic/cleanup/RenamePdfCleanup.java</t>
        </is>
      </c>
      <c r="C745">
        <f>HYPERLINK("https://github.com/JabRef/jabref/blob/master/jablib/src/main/java/org/jabref/logic/cleanup/RenamePdfCleanup.java")</f>
        <v/>
      </c>
      <c r="D745" t="inlineStr">
        <is>
          <t>The `RenamePdfCleanup` class is a cleanup job in JabRef that renames PDF files linked to BibTeX entries based on specified preferences. It takes a supplier for the current database context, a flag indicating whether to use relative paths, and a `FilePreferences` object. The class processes each entry in the database, checks if there are any linked PDFs, and updates their names according to</t>
        </is>
      </c>
      <c r="E745" t="n">
        <v>0.0029</v>
      </c>
      <c r="F745" t="n">
        <v>0.0282</v>
      </c>
      <c r="G745" t="n">
        <v>0.0741</v>
      </c>
      <c r="H745" t="inlineStr">
        <is>
          <t>This repository contains backend software components that implement core algorithms for processing BibTeX databases. The complexity is O(N), indicating linear time operations based on the number of entries in the database.</t>
        </is>
      </c>
      <c r="I745" t="n">
        <v>0.007900000000000001</v>
      </c>
      <c r="J745" t="n">
        <v>0.2</v>
      </c>
      <c r="K745" t="n">
        <v>0.3064</v>
      </c>
      <c r="L745" t="inlineStr">
        <is>
          <t>The `RenamePdfCleanup` class is a cleanup job designed to rename PDF files linked within BibTeX entries based on specified preferences. It takes a supplier for the current database context, a flag indicating whether relative paths should be used, and a `FilePreferences` object to determine how PDFs should be renamed. The class processes each entry in the database, checks if there are any linked PDF files,</t>
        </is>
      </c>
      <c r="M745" t="n">
        <v>0.0028</v>
      </c>
      <c r="N745" t="n">
        <v>0.0274</v>
      </c>
      <c r="O745" t="n">
        <v>0.0365</v>
      </c>
    </row>
    <row r="746">
      <c r="A746" t="inlineStr">
        <is>
          <t>jabref</t>
        </is>
      </c>
      <c r="B746" t="inlineStr">
        <is>
          <t>jablib/src/main/java/org/jabref/logic/cleanup/DoiCleanup.java</t>
        </is>
      </c>
      <c r="C746">
        <f>HYPERLINK("https://github.com/JabRef/jabref/blob/master/jablib/src/main/java/org/jabref/logic/cleanup/DoiCleanup.java")</f>
        <v/>
      </c>
      <c r="D746" t="inlineStr">
        <is>
          <t>The `DoiCleanup` class is a cleanup job in JabRef that formats DOIs by removing any HTTP/HTTPS prefix and attempts to infer DOIs from various fields such as `NOTE`, `URL`, `EPRINT`, and `ee`. It uses the `ClearFormatter` to remove unnecessary parts from URLs and checks these fields for potential DOIs using regular expressions. The class processes each entry</t>
        </is>
      </c>
      <c r="E746" t="n">
        <v>0.0032</v>
      </c>
      <c r="F746" t="n">
        <v>0.0303</v>
      </c>
      <c r="G746" t="n">
        <v>0.0775</v>
      </c>
      <c r="H746" t="inlineStr">
        <is>
          <t>Implements core algorithms for processing BibTeX entries in JabRef.</t>
        </is>
      </c>
      <c r="I746" t="n">
        <v>0.024</v>
      </c>
      <c r="J746" t="n">
        <v>0.2353</v>
      </c>
      <c r="K746" t="n">
        <v>0.2315</v>
      </c>
      <c r="L746" t="inlineStr">
        <is>
          <t>The `DoiCleanup` class is a cleanup job that formats DOIs by removing the "http" prefix and infers DOIs from specific fields such as `NOTE`, `URL`, `EPRINT`, and `ee`. It uses the `ClearFormatter` to remove unnecessary parts from URLs and checks these fields for potential DOIs. The class processes each entry's specified fields and updates any found</t>
        </is>
      </c>
      <c r="M746" t="n">
        <v>0.0033</v>
      </c>
      <c r="N746" t="n">
        <v>0.0308</v>
      </c>
      <c r="O746" t="n">
        <v>0.0781</v>
      </c>
    </row>
    <row r="747">
      <c r="A747" t="inlineStr">
        <is>
          <t>jabref</t>
        </is>
      </c>
      <c r="B747" t="inlineStr">
        <is>
          <t>jablib/src/main/java/org/jabref/logic/cleanup/ConvertToBiblatexCleanup.java</t>
        </is>
      </c>
      <c r="C747">
        <f>HYPERLINK("https://github.com/JabRef/jabref/blob/master/jablib/src/main/java/org/jabref/logic/cleanup/ConvertToBiblatexCleanup.java")</f>
        <v/>
      </c>
      <c r="D747" t="inlineStr">
        <is>
          <t>The `ConvertToBiblatexCleanup` class is a part of the JabRef library, specifically within the logic package. It is designed to convert BibTeX entries into BibLaTeX format by updating field names according to predefined aliases. The class iterates over a list of field name mappings from BibTeX to BibLaTeX, checks if each field in the input BibTeX entry has a corresponding value</t>
        </is>
      </c>
      <c r="E747" t="n">
        <v>0</v>
      </c>
      <c r="F747" t="n">
        <v>0.0294</v>
      </c>
      <c r="G747" t="n">
        <v>0.0379</v>
      </c>
      <c r="H747" t="inlineStr">
        <is>
          <t>The code is part of a Java library that provides backend software components for handling BibTeX entries in JabRef. It includes implementations of core algorithms for converting entries between different formats, such as BibTeX to BibLaTeX. The complexity is linear with respect to the number of fields in the BibTeX entry being processed.</t>
        </is>
      </c>
      <c r="I747" t="n">
        <v>0.0041</v>
      </c>
      <c r="J747" t="n">
        <v>0.0984</v>
      </c>
      <c r="K747" t="n">
        <v>0.16</v>
      </c>
      <c r="L747" t="inlineStr">
        <is>
          <t>The `ConvertToBiblatexCleanup` class is a cleanup job that converts BibTeX entries to BibLaTeX format by replacing certain fields according to predefined aliases. It iterates over a list of field mappings from BibTeX to BibLaTeX and updates the corresponding fields in the input BibEntry object. The method returns a list of `FieldChange` objects indicating which fields were modified during the conversion</t>
        </is>
      </c>
      <c r="M747" t="n">
        <v>0.003</v>
      </c>
      <c r="N747" t="n">
        <v>0.0294</v>
      </c>
      <c r="O747" t="n">
        <v>0.07580000000000001</v>
      </c>
    </row>
    <row r="748">
      <c r="A748" t="inlineStr">
        <is>
          <t>jabref</t>
        </is>
      </c>
      <c r="B748" t="inlineStr">
        <is>
          <t>jablib/src/main/java/org/jabref/logic/cleanup/TimeStampToModificationDate.java</t>
        </is>
      </c>
      <c r="C748">
        <f>HYPERLINK("https://github.com/JabRef/jabref/blob/master/jablib/src/main/java/org/jabref/logic/cleanup/TimeStampToModificationDate.java")</f>
        <v/>
      </c>
      <c r="D748" t="inlineStr">
        <is>
          <t>The `TimeStampToModificationDate` class in the JabRef project is designed to migrate entries' timestamps from the deprecated `updateTimestamp` field to either the `creationdate` or `modificationdate` fields based on user preferences. The class uses Java's `DateTimeFormatter` and `ChronoUnit` to handle date parsing and conversion between different formats. It processes each BibEntry in the database,</t>
        </is>
      </c>
      <c r="E748" t="n">
        <v>0.0035</v>
      </c>
      <c r="F748" t="n">
        <v>0.0328</v>
      </c>
      <c r="G748" t="n">
        <v>0.0806</v>
      </c>
      <c r="H748" t="inlineStr">
        <is>
          <t>This repository contains backend software components that implement core algorithms. The complexity is O(N), indicating linear time complexity in relation to the size of the input data. The comments describe the implementation as "core algorithms," while the commits indicate the initial codebase commit. The total code size is 1000 lines.</t>
        </is>
      </c>
      <c r="I748" t="n">
        <v>0.0048</v>
      </c>
      <c r="J748" t="n">
        <v>0.1356</v>
      </c>
      <c r="K748" t="n">
        <v>0.1639</v>
      </c>
      <c r="L748" t="inlineStr">
        <is>
          <t>This Java class, `TimeStampToModificationDate`, serves as a cleanup job that migrates timestamps stored in the `updateTimestamp` field of BibTeX entries to either the `date-modified` or `date-added` fields based on the current settings. The class utilizes `DateTimeFormatter` and `ChronoUnit` to handle date conversions and updates accordingly. It processes all entries in the database and</t>
        </is>
      </c>
      <c r="M748" t="n">
        <v>0.0041</v>
      </c>
      <c r="N748" t="n">
        <v>0.0635</v>
      </c>
      <c r="O748" t="n">
        <v>0.08</v>
      </c>
    </row>
    <row r="749">
      <c r="A749" t="inlineStr">
        <is>
          <t>jabref</t>
        </is>
      </c>
      <c r="B749" t="inlineStr">
        <is>
          <t>jablib/src/main/java/org/jabref/logic/cleanup/XmpMetadataCleanup.java</t>
        </is>
      </c>
      <c r="C749">
        <f>HYPERLINK("https://github.com/JabRef/jabref/blob/master/jablib/src/main/java/org/jabref/logic/cleanup/XmpMetadataCleanup.java")</f>
        <v/>
      </c>
      <c r="D749" t="inlineStr">
        <is>
          <t>The `XmpMetadataCleanup` class is a cleanup job in JabRef that handles metadata cleaning for entries with associated XML Paper Specification (XMP) files. It processes each entry in the given BibDatabaseContext to remove or update certain fields based on their values. The process involves checking if there are linked XMP files, reading existing XMP data, updating specific fields as needed, and writing back</t>
        </is>
      </c>
      <c r="E749" t="n">
        <v>0.0029</v>
      </c>
      <c r="F749" t="n">
        <v>0.0286</v>
      </c>
      <c r="G749" t="n">
        <v>0.0373</v>
      </c>
      <c r="H749" t="inlineStr">
        <is>
          <t>The code is part of a JabRef project that handles cleanup operations for XML metadata in bibliographic entries. It includes methods to read, modify, and write XMP (Extensible Metadata Platform) data associated with BibTeX entries. The complexity is O(N), where N represents the number of entries being processed, as it involves iterating over each entry's linked files and updating their XMP metadata.</t>
        </is>
      </c>
      <c r="I749" t="n">
        <v>0.0029</v>
      </c>
      <c r="J749" t="n">
        <v>0.0278</v>
      </c>
      <c r="K749" t="n">
        <v>0.0746</v>
      </c>
      <c r="L749" t="inlineStr">
        <is>
          <t>The `XmpMetadataCleanup` class is a cleanup job designed to remove specific metadata fields from `.bib` entries that contain linked files. It processes each entry in the given `BibDatabaseContext`, checks for linked files, and removes any associated metadata fields if they exist. The process involves iterating over all entries, checking their linked files, and updating the database accordingly. If no changes are made</t>
        </is>
      </c>
      <c r="M749" t="n">
        <v>0.0029</v>
      </c>
      <c r="N749" t="n">
        <v>0.0286</v>
      </c>
      <c r="O749" t="n">
        <v>0.0373</v>
      </c>
    </row>
    <row r="750">
      <c r="A750" t="inlineStr">
        <is>
          <t>jabref</t>
        </is>
      </c>
      <c r="B750" t="inlineStr">
        <is>
          <t>jablib/src/main/java/org/jabref/logic/cleanup/ConvertToBibtexCleanup.java</t>
        </is>
      </c>
      <c r="C750">
        <f>HYPERLINK("https://github.com/JabRef/jabref/blob/master/jablib/src/main/java/org/jabref/logic/cleanup/ConvertToBibtexCleanup.java")</f>
        <v/>
      </c>
      <c r="D750" t="inlineStr">
        <is>
          <t>The `ConvertToBibtexCleanup` class in the `org.jabref.logic.cleanup` package provides a method to convert BibTeX entries into a specific format using Java. The implementation includes handling dates by extracting the year and month from the publication date and setting them as fields in the BibTeX entry. It also ensures that existing values for these fields are not overwritten unless they are blank or empty</t>
        </is>
      </c>
      <c r="E750" t="n">
        <v>0.0029</v>
      </c>
      <c r="F750" t="n">
        <v>0.0548</v>
      </c>
      <c r="G750" t="n">
        <v>0.1119</v>
      </c>
      <c r="H750" t="inlineStr">
        <is>
          <t>This repository contains backend software components implementing core algorithms with a time complexity of O(N). The implementation includes comments explaining the logic and commits tracking the initial creation of the codebase. The total size of the codebase is 1000 lines.</t>
        </is>
      </c>
      <c r="I750" t="n">
        <v>0.0065</v>
      </c>
      <c r="J750" t="n">
        <v>0.2041</v>
      </c>
      <c r="K750" t="n">
        <v>0.2232</v>
      </c>
      <c r="L750" t="inlineStr">
        <is>
          <t>This Java class `ConvertToBibtexCleanup` implements a `CleanupJob` interface to convert BibTeX entries into BibLaTeX format. It processes dates by extracting the year and month from the publication date and setting them as fields in the BibTeX entry if they are not already present. The method returns a list of `FieldChange` objects indicating any modifications made during the conversion process.</t>
        </is>
      </c>
      <c r="M750" t="n">
        <v>0.0041</v>
      </c>
      <c r="N750" t="n">
        <v>0.0896</v>
      </c>
      <c r="O750" t="n">
        <v>0.1145</v>
      </c>
    </row>
    <row r="751">
      <c r="A751" t="inlineStr">
        <is>
          <t>jabref</t>
        </is>
      </c>
      <c r="B751" t="inlineStr">
        <is>
          <t>jablib/src/main/java/org/jabref/logic/cleanup/FieldFormatterCleanup.java</t>
        </is>
      </c>
      <c r="C751">
        <f>HYPERLINK("https://github.com/JabRef/jabref/blob/master/jablib/src/main/java/org/jabref/logic/cleanup/FieldFormatterCleanup.java")</f>
        <v/>
      </c>
      <c r="D751" t="inlineStr">
        <is>
          <t>The `FieldFormatterCleanup` class is a part of the JabRef library's cleanup system. It formats a specific field in a BibTeX entry using a given formatter. The class provides two methods for cleaning up entries: one that takes a consumer to apply changes directly and another that returns a list of `FieldChange` objects representing the modifications made. This allows for flexible handling of formatting operations within the</t>
        </is>
      </c>
      <c r="E751" t="n">
        <v>0.0033</v>
      </c>
      <c r="F751" t="n">
        <v>0.0267</v>
      </c>
      <c r="G751" t="n">
        <v>0.1087</v>
      </c>
      <c r="H751" t="inlineStr">
        <is>
          <t>This repository contains backend software components that implement core algorithms for processing BibTeX entries. The complexity is O(N), indicating linear time performance in relation to the number of entries being processed. The comments describe the implementation of these core algorithms, while the commits record the initial creation of the codebase. The total size of the codebase is 1000 lines.</t>
        </is>
      </c>
      <c r="I751" t="n">
        <v>0.0041</v>
      </c>
      <c r="J751" t="n">
        <v>0.1176</v>
      </c>
      <c r="K751" t="n">
        <v>0.1527</v>
      </c>
      <c r="L751" t="inlineStr">
        <is>
          <t>This Java class `FieldFormatterCleanup` is part of a JabRef application designed to clean up BibTeX entries by applying formatters to specific fields. It takes a `BibEntry`, a `Field`, and a `Formatter` as input and returns a list of `FieldChange` objects indicating changes made to the entry's fields. The method `cleanup` applies the formatter to the specified field</t>
        </is>
      </c>
      <c r="M751" t="n">
        <v>0.0038</v>
      </c>
      <c r="N751" t="n">
        <v>0.0606</v>
      </c>
      <c r="O751" t="n">
        <v>0.1163</v>
      </c>
    </row>
    <row r="752">
      <c r="A752" t="inlineStr">
        <is>
          <t>jabref</t>
        </is>
      </c>
      <c r="B752" t="inlineStr">
        <is>
          <t>jablib/src/main/java/org/jabref/logic/cleanup/CleanupPreferences.java</t>
        </is>
      </c>
      <c r="C752">
        <f>HYPERLINK("https://github.com/JabRef/jabref/blob/master/jablib/src/main/java/org/jabref/logic/cleanup/CleanupPreferences.java")</f>
        <v/>
      </c>
      <c r="D752" t="inlineStr">
        <is>
          <t>The `CleanupPreferences` class in the `org.jabref.logic.cleanup` package manages cleanup preferences for JabRef, including which cleanup steps to perform and how to format fields during these steps. It uses JavaFX properties to encapsulate observable sets and objects, allowing dynamic updates to the preferences. The class provides constructors to initialize different states based on either specific cleanup steps or formatting actions.</t>
        </is>
      </c>
      <c r="E752" t="n">
        <v>0.0031</v>
      </c>
      <c r="F752" t="n">
        <v>0.0286</v>
      </c>
      <c r="G752" t="n">
        <v>0.07630000000000001</v>
      </c>
      <c r="H752" t="inlineStr">
        <is>
          <t>Manages cleanup preferences for JabRef, including setting active jobs and customizing field formatter cleanups.</t>
        </is>
      </c>
      <c r="I752" t="n">
        <v>0.0143</v>
      </c>
      <c r="J752" t="n">
        <v>0.09089999999999999</v>
      </c>
      <c r="K752" t="n">
        <v>0.0581</v>
      </c>
      <c r="L752" t="inlineStr">
        <is>
          <t>The `CleanupPreferences` class manages preferences for cleaning up bibliographic entries in JabRef. It allows users to specify which cleanup steps (e.g., removing duplicate entries, formatting fields) should be applied during import or export processes. The class uses JavaFX properties to manage these settings, providing observable sets for active cleanup jobs and an object property for handling field formatter cleanups. The constructor initializes the preferences</t>
        </is>
      </c>
      <c r="M752" t="n">
        <v>0.0028</v>
      </c>
      <c r="N752" t="n">
        <v>0.0274</v>
      </c>
      <c r="O752" t="n">
        <v>0.0735</v>
      </c>
    </row>
    <row r="753">
      <c r="A753" t="inlineStr">
        <is>
          <t>jabref</t>
        </is>
      </c>
      <c r="B753" t="inlineStr">
        <is>
          <t>jablib/src/main/java/org/jabref/logic/cleanup/EprintCleanup.java</t>
        </is>
      </c>
      <c r="C753">
        <f>HYPERLINK("https://github.com/JabRef/jabref/blob/master/jablib/src/main/java/org/jabref/logic/cleanup/EprintCleanup.java")</f>
        <v/>
      </c>
      <c r="D753" t="inlineStr">
        <is>
          <t>The `EprintCleanup` class is a Java implementation of a cleanup job in JabRef, which is a popular bibliography management tool. Its primary function is to format DOIs by removing any HTTP prefix and move them from fields like `note`, `url`, or `ee` into the `doi` field if they contain the term "arxiv." The class uses various methods from the JabRef</t>
        </is>
      </c>
      <c r="E753" t="n">
        <v>0.003</v>
      </c>
      <c r="F753" t="n">
        <v>0.0882</v>
      </c>
      <c r="G753" t="n">
        <v>0.1136</v>
      </c>
      <c r="H753" t="inlineStr">
        <is>
          <t>This repository contains backend software components that implement core algorithms. The complexity is O(N), indicating linear time performance in relation to input size. The comments describe the implementation as providing core functionalities. The commits include an initial codebase commit. The total code size is 1000 lines.</t>
        </is>
      </c>
      <c r="I753" t="n">
        <v>0.0053</v>
      </c>
      <c r="J753" t="n">
        <v>0.1818</v>
      </c>
      <c r="K753" t="n">
        <v>0.1695</v>
      </c>
      <c r="L753" t="inlineStr">
        <is>
          <t>The `EprintCleanup` class formats DOIs by removing HTTP parts and moves them from fields like `note`, `url`, or `ee` to the `doi` field for entries related to ArXiv identifiers. It ensures that BibTeX entries conform to standard formatting guidelines for ArXiv references.</t>
        </is>
      </c>
      <c r="M753" t="n">
        <v>0.0044</v>
      </c>
      <c r="N753" t="n">
        <v>0.04</v>
      </c>
      <c r="O753" t="n">
        <v>0.1645</v>
      </c>
    </row>
    <row r="754">
      <c r="A754" t="inlineStr">
        <is>
          <t>jabref</t>
        </is>
      </c>
      <c r="B754" t="inlineStr">
        <is>
          <t>jablib/src/main/java/org/jabref/logic/cleanup/FieldFormatterCleanupMapper.java</t>
        </is>
      </c>
      <c r="C754">
        <f>HYPERLINK("https://github.com/JabRef/jabref/blob/master/jablib/src/main/java/org/jabref/logic/cleanup/FieldFormatterCleanupMapper.java")</f>
        <v/>
      </c>
      <c r="D754" t="inlineStr">
        <is>
          <t>The `FieldFormatterCleanupMapper` class in the `org.jabref.logic.cleanup` package is responsible for parsing and applying cleanup operations to BibTeX entry fields based on specified formatters. It uses regular expressions to identify patterns within field names that indicate formatting instructions. The class processes each field's name and applies the corresponding cleanup rules defined by the formatter strings. The implementation is designed to handle multiple cleanup</t>
        </is>
      </c>
      <c r="E754" t="n">
        <v>0.0029</v>
      </c>
      <c r="F754" t="n">
        <v>0.027</v>
      </c>
      <c r="G754" t="n">
        <v>0.1119</v>
      </c>
      <c r="H754" t="inlineStr">
        <is>
          <t>Manages cleanup mappings for BibTeX entries by parsing field keys and associated formatter lists.</t>
        </is>
      </c>
      <c r="I754" t="n">
        <v>0.0143</v>
      </c>
      <c r="J754" t="n">
        <v>0.09089999999999999</v>
      </c>
      <c r="K754" t="n">
        <v>0.1163</v>
      </c>
      <c r="L754" t="inlineStr">
        <is>
          <t>The `FieldFormatterCleanupMapper` class processes BibTeX entries by parsing and applying cleanup formats specified in their metadata fields. It uses regular expressions to identify and extract formatter names from these fields, allowing for flexible cleaning of bibliographic data during import or export processes. The class is designed to handle multiple cleanup formats per entry efficiently, ensuring that each field's formatting can be customized according to specific requirements.</t>
        </is>
      </c>
      <c r="M754" t="n">
        <v>0.0028</v>
      </c>
      <c r="N754" t="n">
        <v>0.0267</v>
      </c>
      <c r="O754" t="n">
        <v>0.0725</v>
      </c>
    </row>
    <row r="755">
      <c r="A755" t="inlineStr">
        <is>
          <t>jabref</t>
        </is>
      </c>
      <c r="B755" t="inlineStr">
        <is>
          <t>jablib/src/main/java/org/jabref/logic/cleanup/CleanupWorker.java</t>
        </is>
      </c>
      <c r="C755">
        <f>HYPERLINK("https://github.com/JabRef/jabref/blob/master/jablib/src/main/java/org/jabref/logic/cleanup/CleanupWorker.java")</f>
        <v/>
      </c>
      <c r="D755" t="inlineStr">
        <is>
          <t>The `CleanupWorker` class is responsible for performing cleanup operations on a JabRef database context. It includes methods to update journal abbreviations, handle timestamps, and perform other necessary cleanups based on preferences set in `FilePreferences`, `TimestampPreferences`, and using a `JournalAbbreviationRepository`. The class uses Java's functional programming features with `Consumer` to process entries in the database.</t>
        </is>
      </c>
      <c r="E755" t="n">
        <v>0.0034</v>
      </c>
      <c r="F755" t="n">
        <v>0.0317</v>
      </c>
      <c r="G755" t="n">
        <v>0.0794</v>
      </c>
      <c r="H755" t="inlineStr">
        <is>
          <t>The `CleanupWorker` class in the JabRef project is responsible for performing various cleanup operations on bibliographic entries within a BibTeX database. It includes methods to update journal abbreviations, handle timestamps, and perform other necessary data manipulations. The complexity of this task depends on the size of the database being processed, making it \(O(N)\) where \(N\) is the number of entries.</t>
        </is>
      </c>
      <c r="I755" t="n">
        <v>0.003</v>
      </c>
      <c r="J755" t="n">
        <v>0.029</v>
      </c>
      <c r="K755" t="n">
        <v>0.07580000000000001</v>
      </c>
      <c r="L755" t="inlineStr">
        <is>
          <t>The `CleanupWorker` class is responsible for performing various cleanup tasks on a BibTeX database. It processes entries based on preferences such as journal abbreviations, timestamps, and file settings. The class uses a combination of Java Streams and functional programming constructs to efficiently update entry fields according to these rules. The implementation includes methods for handling different types of field changes, logging updates, and applying these changes to the</t>
        </is>
      </c>
      <c r="M755" t="n">
        <v>0.0027</v>
      </c>
      <c r="N755" t="n">
        <v>0.0526</v>
      </c>
      <c r="O755" t="n">
        <v>0.1071</v>
      </c>
    </row>
    <row r="756">
      <c r="A756" t="inlineStr">
        <is>
          <t>jabref</t>
        </is>
      </c>
      <c r="B756" t="inlineStr">
        <is>
          <t>jablib/src/main/java/org/jabref/logic/cleanup/MoveFilesCleanup.java</t>
        </is>
      </c>
      <c r="C756">
        <f>HYPERLINK("https://github.com/JabRef/jabref/blob/master/jablib/src/main/java/org/jabref/logic/cleanup/MoveFilesCleanup.java")</f>
        <v/>
      </c>
      <c r="D756" t="inlineStr">
        <is>
          <t>The `MoveFilesCleanup` class is a cleanup job in JabRef that moves linked files to their default directories without renaming them. It uses the `LinkedFileHandler` to handle the file operations and updates the entry's fields accordingly. The method processes each BibEntry in the database context, retrieves its linked files, and attempts to move them to the specified directory using the `LinkedFileHandler`. If</t>
        </is>
      </c>
      <c r="E756" t="n">
        <v>0.003</v>
      </c>
      <c r="F756" t="n">
        <v>0.0286</v>
      </c>
      <c r="G756" t="n">
        <v>0.0752</v>
      </c>
      <c r="H756" t="inlineStr">
        <is>
          <t>Moves files to their default directories without renaming them in a BibTeX database context.</t>
        </is>
      </c>
      <c r="I756" t="n">
        <v>0</v>
      </c>
      <c r="J756" t="n">
        <v>0</v>
      </c>
      <c r="K756" t="n">
        <v>0</v>
      </c>
      <c r="L756" t="inlineStr">
        <is>
          <t>The `MoveFilesCleanup` class is a cleanup job that moves linked files from their current locations to the default file directory specified by the user's preferences. It uses the `LinkedFileHandler` to handle the actual moving of files and updates the entry fields accordingly. The method processes each BibEntry in the database context, checking for linked files and moving them if they exist. If any errors occur during</t>
        </is>
      </c>
      <c r="M756" t="n">
        <v>0.0028</v>
      </c>
      <c r="N756" t="n">
        <v>0.0267</v>
      </c>
      <c r="O756" t="n">
        <v>0.0725</v>
      </c>
    </row>
    <row r="757">
      <c r="A757" t="inlineStr">
        <is>
          <t>jabref</t>
        </is>
      </c>
      <c r="B757" t="inlineStr">
        <is>
          <t>jablib/src/main/java/org/jabref/logic/cleanup/TimeStampToCreationDate.java</t>
        </is>
      </c>
      <c r="C757">
        <f>HYPERLINK("https://github.com/JabRef/jabref/blob/master/jablib/src/main/java/org/jabref/logic/cleanup/TimeStampToCreationDate.java")</f>
        <v/>
      </c>
      <c r="D757" t="inlineStr">
        <is>
          <t>The `TimeStampToCreationDate` class in the JabRef project is designed to migrate entries' timestamps from the `updateTimestamp` field to either the `creationdate` or `modificationdate` fields based on the user's preferences. It processes each BibEntry in the library, checking if the `updateTimestamp` field exists and then updates it accordingly by creating new Date objects using the current system time</t>
        </is>
      </c>
      <c r="E757" t="n">
        <v>0.0032</v>
      </c>
      <c r="F757" t="n">
        <v>0.0303</v>
      </c>
      <c r="G757" t="n">
        <v>0.0775</v>
      </c>
      <c r="H757" t="inlineStr">
        <is>
          <t>The code in this repository contains backend software components that implement core algorithms. The complexity of these algorithms is O(N), indicating they scale linearly with input size N. The implementation includes features such as handling timestamps and dates, which are crucial for managing data integrity and version control in databases or applications.</t>
        </is>
      </c>
      <c r="I757" t="n">
        <v>0.0046</v>
      </c>
      <c r="J757" t="n">
        <v>0.1639</v>
      </c>
      <c r="K757" t="n">
        <v>0.2016</v>
      </c>
      <c r="L757" t="inlineStr">
        <is>
          <t>This Java class `TimeStampToCreationDate` is part of the JabRef project's cleanup feature. It migrates entries' timestamps (stored in the `timestamp` field) to either the `creationdate` or `modificationdate` fields based on the user's preference settings (`updateTimestamp`). The class processes each BibEntry in the database, updating the appropriate date field accordingly.</t>
        </is>
      </c>
      <c r="M757" t="n">
        <v>0.0037</v>
      </c>
      <c r="N757" t="n">
        <v>0.0339</v>
      </c>
      <c r="O757" t="n">
        <v>0.08260000000000001</v>
      </c>
    </row>
    <row r="758">
      <c r="A758" t="inlineStr">
        <is>
          <t>jabref</t>
        </is>
      </c>
      <c r="B758" t="inlineStr">
        <is>
          <t>jablib/src/main/java/org/jabref/logic/database/DatabaseMerger.java</t>
        </is>
      </c>
      <c r="C758">
        <f>HYPERLINK("https://github.com/JabRef/jabref/blob/master/jablib/src/main/java/org/jabref/logic/database/DatabaseMerger.java")</f>
        <v/>
      </c>
      <c r="D758" t="inlineStr">
        <is>
          <t>The `DatabaseMerger` class in the `org.jabref.logic.database` package is designed to merge multiple BibTeX databases into one. It takes a list of `BibDatabase` objects as input and combines their entries, strings, groups, and metadata. The class uses Java Streams for efficient processing of lists. The constructor initializes with a delimiter character used to separate keywords when merging entries.</t>
        </is>
      </c>
      <c r="E758" t="n">
        <v>0.0032</v>
      </c>
      <c r="F758" t="n">
        <v>0.0294</v>
      </c>
      <c r="G758" t="n">
        <v>0.0775</v>
      </c>
      <c r="H758" t="inlineStr">
        <is>
          <t>Manages merging operations for BibTeX databases.</t>
        </is>
      </c>
      <c r="I758" t="n">
        <v>0</v>
      </c>
      <c r="J758" t="n">
        <v>0</v>
      </c>
      <c r="K758" t="n">
        <v>0</v>
      </c>
      <c r="L758" t="inlineStr">
        <is>
          <t>The `DatabaseMerger` class is responsible for merging multiple BibTeX databases into one. It takes a list of `BibDatabase` objects as input and merges them based on certain criteria such as group hierarchy types and content selectors. The class uses Java Streams to process each database entry, updating the metadata accordingly. The `keywordDelimiter` parameter allows specifying how keywords should be handled during the merge process</t>
        </is>
      </c>
      <c r="M758" t="n">
        <v>0.0028</v>
      </c>
      <c r="N758" t="n">
        <v>0.0278</v>
      </c>
      <c r="O758" t="n">
        <v>0.0735</v>
      </c>
    </row>
    <row r="759">
      <c r="A759" t="inlineStr">
        <is>
          <t>jabref</t>
        </is>
      </c>
      <c r="B759" t="inlineStr">
        <is>
          <t>jablib/src/main/java/org/jabref/logic/database/DuplicateCheck.java</t>
        </is>
      </c>
      <c r="C759">
        <f>HYPERLINK("https://github.com/JabRef/jabref/blob/master/jablib/src/main/java/org/jabref/logic/database/DuplicateCheck.java")</f>
        <v/>
      </c>
      <c r="D759" t="inlineStr">
        <is>
          <t>The provided Java code is part of the JabRef project, which is a popular reference management tool for academic research. The specific class `org.jabref.logic.database.Database` appears to be responsible for managing bibliographic databases in various formats (e.g., BibTeX). It includes methods for handling entries, such as adding, removing, and searching for entries based on different fields like authors, titles,</t>
        </is>
      </c>
      <c r="E759" t="n">
        <v>0.0031</v>
      </c>
      <c r="F759" t="n">
        <v>0.0282</v>
      </c>
      <c r="G759" t="n">
        <v>0.0769</v>
      </c>
      <c r="H759" t="inlineStr">
        <is>
          <t>Manages BibTeX database operations including entry creation, modification, and retrieval. Handles various fields such as authors, titles, ISBNs, etc., with support for sorting and searching entries based on different criteria. Complexity is O(N) due to potential processing of large datasets.</t>
        </is>
      </c>
      <c r="I759" t="n">
        <v>0.0046</v>
      </c>
      <c r="J759" t="n">
        <v>0.0408</v>
      </c>
      <c r="K759" t="n">
        <v>0.0446</v>
      </c>
      <c r="L759" t="inlineStr">
        <is>
          <t>This Java package contains logic for managing BibTeX databases, including importing entries from various sources, updating entry fields, and performing basic database queries. The code is designed to be efficient, handling large datasets through optimized data structures and stream processing techniques. It supports multiple operating systems and provides utilities for string similarity comparison and field manipulation.</t>
        </is>
      </c>
      <c r="M759" t="n">
        <v>0.0039</v>
      </c>
      <c r="N759" t="n">
        <v>0.0625</v>
      </c>
      <c r="O759" t="n">
        <v>0.0781</v>
      </c>
    </row>
    <row r="760">
      <c r="A760" t="inlineStr">
        <is>
          <t>jabref</t>
        </is>
      </c>
      <c r="B760" t="inlineStr">
        <is>
          <t>jablib/src/main/java/org/jabref/logic/groups/GroupsFactory.java</t>
        </is>
      </c>
      <c r="C760">
        <f>HYPERLINK("https://github.com/JabRef/jabref/blob/master/jablib/src/main/java/org/jabref/logic/groups/GroupsFactory.java")</f>
        <v/>
      </c>
      <c r="D760" t="inlineStr">
        <is>
          <t>The `GroupsFactory` class in the `org.jabref.logic.groups` package provides methods to create instances of different types of groups used in JabRef, such as all entries and search-based groups. It includes:
- A method to create an instance of `AllEntriesGroup`, which represents all entries in the database.
- A method to create an instance of `SearchGroup`, specifically for entries</t>
        </is>
      </c>
      <c r="E760" t="n">
        <v>0.0032</v>
      </c>
      <c r="F760" t="n">
        <v>0.0299</v>
      </c>
      <c r="G760" t="n">
        <v>0.0775</v>
      </c>
      <c r="H760" t="inlineStr">
        <is>
          <t>Manages creation of various groups in JabRef, including all entries and those without linked files.</t>
        </is>
      </c>
      <c r="I760" t="n">
        <v>0.0132</v>
      </c>
      <c r="J760" t="n">
        <v>0.08699999999999999</v>
      </c>
      <c r="K760" t="n">
        <v>0.0575</v>
      </c>
      <c r="L760" t="inlineStr">
        <is>
          <t>The `GroupsFactory` class provides methods for creating instances of different types of groups used in JabRef's entry management system. It includes methods to create an all-entries group and a search group that filters out entries without linked files. The factory uses localization for group names and sets default icons for certain groups.</t>
        </is>
      </c>
      <c r="M760" t="n">
        <v>0.0035</v>
      </c>
      <c r="N760" t="n">
        <v>0.0323</v>
      </c>
      <c r="O760" t="n">
        <v>0.0806</v>
      </c>
    </row>
    <row r="761">
      <c r="A761" t="inlineStr">
        <is>
          <t>jabref</t>
        </is>
      </c>
      <c r="B761" t="inlineStr">
        <is>
          <t>jablib/src/main/java/org/jabref/logic/bibtex/BibEntryWriter.java</t>
        </is>
      </c>
      <c r="C761">
        <f>HYPERLINK("https://github.com/JabRef/jabref/blob/master/jablib/src/main/java/org/jabref/logic/bibtex/BibEntryWriter.java")</f>
        <v/>
      </c>
      <c r="D761" t="inlineStr">
        <is>
          <t>The provided Java code is part of the JabRef project's BibTeX logic package. It includes classes for handling BibTeX entries, such as sorting them by various fields, filtering based on specific criteria, and exporting to different formats like BibTeX or HTML. The code uses Java Streams for efficient data processing and manipulation.</t>
        </is>
      </c>
      <c r="E761" t="n">
        <v>0.0035</v>
      </c>
      <c r="F761" t="n">
        <v>0.0328</v>
      </c>
      <c r="G761" t="n">
        <v>0.0806</v>
      </c>
      <c r="H761" t="inlineStr">
        <is>
          <t>Manages BibTeX entries in a database with various operations such as adding, removing, and searching for entries based on different criteria. Uses Java and includes features like sorting and filtering by fields. Complexity is O(N) due to potential operations involving large datasets.</t>
        </is>
      </c>
      <c r="I761" t="n">
        <v>0.0044</v>
      </c>
      <c r="J761" t="n">
        <v>0.0392</v>
      </c>
      <c r="K761" t="n">
        <v>0.0877</v>
      </c>
      <c r="L761" t="inlineStr">
        <is>
          <t>This Java package provides functionalities for managing BibTeX entries within JabRef, including exporting them to various formats, handling database modes, entry types, fields, sorting, filtering, and string manipulation. The code is designed to be efficient and easy to understand, leveraging modern Java features such as streams and lambda expressions.</t>
        </is>
      </c>
      <c r="M761" t="n">
        <v>0.0045</v>
      </c>
      <c r="N761" t="n">
        <v>0.1053</v>
      </c>
      <c r="O761" t="n">
        <v>0.124</v>
      </c>
    </row>
    <row r="762">
      <c r="A762" t="inlineStr">
        <is>
          <t>jabref</t>
        </is>
      </c>
      <c r="B762" t="inlineStr">
        <is>
          <t>jablib/src/main/java/org/jabref/logic/bibtex/InvalidFieldValueException.java</t>
        </is>
      </c>
      <c r="C762">
        <f>HYPERLINK("https://github.com/JabRef/jabref/blob/master/jablib/src/main/java/org/jabref/logic/bibtex/InvalidFieldValueException.java")</f>
        <v/>
      </c>
      <c r="D762" t="inlineStr">
        <is>
          <t>The `InvalidFieldValueException` class is deprecated in favor of implementing integrity checks using the `IntegrityCheck` interface. It provides a simple exception for handling invalid field values in BibTeX entries.</t>
        </is>
      </c>
      <c r="E762" t="n">
        <v>0</v>
      </c>
      <c r="F762" t="n">
        <v>0.0556</v>
      </c>
      <c r="G762" t="n">
        <v>0.1</v>
      </c>
      <c r="H762" t="inlineStr">
        <is>
          <t>The code defines a deprecated exception class called `InvalidFieldValueException`, which is used in the JabRef project for handling invalid field values. It provides a constructor that takes a message and passes it to the superclass `Exception`. This class is marked as deprecated, suggesting that users should use alternative implementations such as `IntegrityCheck` from the same package instead.</t>
        </is>
      </c>
      <c r="I762" t="n">
        <v>0.0038</v>
      </c>
      <c r="J762" t="n">
        <v>0.0615</v>
      </c>
      <c r="K762" t="n">
        <v>0.155</v>
      </c>
      <c r="L762" t="inlineStr">
        <is>
          <t>This deprecated exception is used to indicate that a field value in a BibTeX entry is invalid. It provides a constructor for creating exceptions with custom error messages.</t>
        </is>
      </c>
      <c r="M762" t="n">
        <v>0.0067</v>
      </c>
      <c r="N762" t="n">
        <v>0.0556</v>
      </c>
      <c r="O762" t="n">
        <v>0.1</v>
      </c>
    </row>
    <row r="763">
      <c r="A763" t="inlineStr">
        <is>
          <t>jabref</t>
        </is>
      </c>
      <c r="B763" t="inlineStr">
        <is>
          <t>jablib/src/main/java/org/jabref/logic/bibtex/FileFieldWriter.java</t>
        </is>
      </c>
      <c r="C763">
        <f>HYPERLINK("https://github.com/JabRef/jabref/blob/master/jablib/src/main/java/org/jabref/logic/bibtex/FileFieldWriter.java")</f>
        <v/>
      </c>
      <c r="D763" t="inlineStr">
        <is>
          <t>The `FileFieldWriter` class in the `org.jabref.logic.bibtex` package provides methods to convert lists or individual instances of `LinkedFile` objects into their string representations suitable for BibTeX format. The method `getStringRepresentation(List&lt;LinkedFile&gt;)` takes a list of linked files and returns a single string containing all file details separated by semicolons. If a file has</t>
        </is>
      </c>
      <c r="E763" t="n">
        <v>0.0036</v>
      </c>
      <c r="F763" t="n">
        <v>0.0312</v>
      </c>
      <c r="G763" t="n">
        <v>0.0407</v>
      </c>
      <c r="H763" t="inlineStr">
        <is>
          <t>The repository contains backend software components that implement core algorithms. The complexity is O(N), indicating linear time complexity with respect to input size N. The implementation includes methods for encoding string arrays and generating string representations of linked files.</t>
        </is>
      </c>
      <c r="I763" t="n">
        <v>0.0062</v>
      </c>
      <c r="J763" t="n">
        <v>0.1667</v>
      </c>
      <c r="K763" t="n">
        <v>0.1802</v>
      </c>
      <c r="L763" t="inlineStr">
        <is>
          <t>The `FileFieldWriter` class provides methods to convert lists and individual instances of `LinkedFile` objects into string representations suitable for BibTeX format. It handles different types of linked files, including those with URLs, by appending URL-related details to their respective entries. The `getStringRepresentation` method constructs arrays of strings based on the properties of each `LinkedFile`, then encodes these arrays into a</t>
        </is>
      </c>
      <c r="M763" t="n">
        <v>0.003</v>
      </c>
      <c r="N763" t="n">
        <v>0.029</v>
      </c>
      <c r="O763" t="n">
        <v>0.0379</v>
      </c>
    </row>
    <row r="764">
      <c r="A764" t="inlineStr">
        <is>
          <t>jabref</t>
        </is>
      </c>
      <c r="B764" t="inlineStr">
        <is>
          <t>jablib/src/main/java/org/jabref/logic/bibtex/TypedBibEntry.java</t>
        </is>
      </c>
      <c r="C764">
        <f>HYPERLINK("https://github.com/JabRef/jabref/blob/master/jablib/src/main/java/org/jabref/logic/bibtex/TypedBibEntry.java")</f>
        <v/>
      </c>
      <c r="D764" t="inlineStr">
        <is>
          <t>The `TypedBibEntry` class is a wrapper that provides methods to access specific properties of a `BibEntry`, depending on its associated `BibDatabaseMode`. It allows developers to retrieve information such as field values or types in different contexts (e.g., editing vs. viewing). The class takes either a `BibEntry` and a `BibDatabaseMode` or a `</t>
        </is>
      </c>
      <c r="E764" t="n">
        <v>0.0035</v>
      </c>
      <c r="F764" t="n">
        <v>0.0333</v>
      </c>
      <c r="G764" t="n">
        <v>0.0403</v>
      </c>
      <c r="H764" t="inlineStr">
        <is>
          <t>This repository contains backend software components that implement core algorithms. The complexity is O(N), indicating linear time complexity in relation to input size.</t>
        </is>
      </c>
      <c r="I764" t="n">
        <v>0.0109</v>
      </c>
      <c r="J764" t="n">
        <v>0.25</v>
      </c>
      <c r="K764" t="n">
        <v>0.3322</v>
      </c>
      <c r="L764" t="inlineStr">
        <is>
          <t>The `TypedBibEntry` class provides a wrapper around a `BibEntry`, allowing access to specific fields based on the current `BibDatabaseMode`. It supports both standalone entries without a database context and those within a `BibDatabaseContext`, enabling retrieval of bibliographic data tailored to different modes such as editing or display. The class is designed to facilitate efficient handling of bibliographic entries</t>
        </is>
      </c>
      <c r="M764" t="n">
        <v>0.0031</v>
      </c>
      <c r="N764" t="n">
        <v>0.0303</v>
      </c>
      <c r="O764" t="n">
        <v>0.0385</v>
      </c>
    </row>
    <row r="765">
      <c r="A765" t="inlineStr">
        <is>
          <t>jabref</t>
        </is>
      </c>
      <c r="B765" t="inlineStr">
        <is>
          <t>jablib/src/main/java/org/jabref/logic/bibtex/FieldWriter.java</t>
        </is>
      </c>
      <c r="C765">
        <f>HYPERLINK("https://github.com/JabRef/jabref/blob/master/jablib/src/main/java/org/jabref/logic/bibtex/FieldWriter.java")</f>
        <v/>
      </c>
      <c r="D765" t="inlineStr">
        <is>
          <t>The `FieldWriter` class in the `org.jabref.logic.bibtex` package is responsible for converting JabRef's internal BibTeX representation of fields into their corresponding BibTeX text format. It handles various aspects such as escaping special characters within fields, managing nested structures, and ensuring that certain characters (like hashes) are handled correctly based on configuration settings. The class uses a stack-based approach</t>
        </is>
      </c>
      <c r="E765" t="n">
        <v>0.0032</v>
      </c>
      <c r="F765" t="n">
        <v>0.0286</v>
      </c>
      <c r="G765" t="n">
        <v>0.0775</v>
      </c>
      <c r="H765" t="inlineStr">
        <is>
          <t>This Java package contains backend software components for handling BibTeX fields in JabRef. It includes classes such as `FieldWriter` that convert JabRef's internal BibTeX representation of a field into its text representation. The code is designed to handle various field types and preferences, with options to avoid failing on hash symbols if necessary. The complexity is high due to the need to manage multiple data structures and perform</t>
        </is>
      </c>
      <c r="I765" t="n">
        <v>0.0035</v>
      </c>
      <c r="J765" t="n">
        <v>0.0779</v>
      </c>
      <c r="K765" t="n">
        <v>0.1071</v>
      </c>
      <c r="L765" t="inlineStr">
        <is>
          <t>The `FieldWriter` class converts JabRef's internal BibTeX representation of fields into their corresponding BibTeX text format. It handles various types of fields, including strings, numbers, dates, and URLs, while ensuring that special characters like hashes (`#`) are properly escaped if necessary. The class uses a stack-based approach to manage nested structures within fields and provides options for handling hash symbols without failing.</t>
        </is>
      </c>
      <c r="M765" t="n">
        <v>0.0029</v>
      </c>
      <c r="N765" t="n">
        <v>0.0282</v>
      </c>
      <c r="O765" t="n">
        <v>0.0746</v>
      </c>
    </row>
    <row r="766">
      <c r="A766" t="inlineStr">
        <is>
          <t>jabref</t>
        </is>
      </c>
      <c r="B766" t="inlineStr">
        <is>
          <t>jablib/src/main/java/org/jabref/logic/bibtex/FieldPreferences.java</t>
        </is>
      </c>
      <c r="C766">
        <f>HYPERLINK("https://github.com/JabRef/jabref/blob/master/jablib/src/main/java/org/jabref/logic/bibtex/FieldPreferences.java")</f>
        <v/>
      </c>
      <c r="D766" t="inlineStr">
        <is>
          <t>The `FieldPreferences` class in the `org.jabref.logic.bibtex` package manages preferences for handling fields in BibTeX entries. It includes properties to control whether strings should be resolved and lists of default fields that can be resolved or those that should not be wrapped when displayed. This class is part of the JabRef application's logic layer responsible for managing BibTeX entry data.</t>
        </is>
      </c>
      <c r="E766" t="n">
        <v>0.0037</v>
      </c>
      <c r="F766" t="n">
        <v>0.0563</v>
      </c>
      <c r="G766" t="n">
        <v>0.1145</v>
      </c>
      <c r="H766" t="inlineStr">
        <is>
          <t>Manages field preferences for BibTeX entries in JabRef, including resolving strings and handling non-wrappable fields.</t>
        </is>
      </c>
      <c r="I766" t="n">
        <v>0.0132</v>
      </c>
      <c r="J766" t="n">
        <v>0.0833</v>
      </c>
      <c r="K766" t="n">
        <v>0.0575</v>
      </c>
      <c r="L766" t="inlineStr">
        <is>
          <t>The `FieldPreferences` class manages preferences for resolving strings and handling non-wrapping fields in BibTeX entries. It includes properties for whether to resolve strings and lists of resolvable and non-wrappable fields, which can be configured through various methods.</t>
        </is>
      </c>
      <c r="M766" t="n">
        <v>0.005</v>
      </c>
      <c r="N766" t="n">
        <v>0.0426</v>
      </c>
      <c r="O766" t="n">
        <v>0.0459</v>
      </c>
    </row>
    <row r="767">
      <c r="A767" t="inlineStr">
        <is>
          <t>jabref</t>
        </is>
      </c>
      <c r="B767" t="inlineStr">
        <is>
          <t>jablib/src/main/java/org/jabref/logic/bibtex/comparator/BibtexStringComparator.java</t>
        </is>
      </c>
      <c r="C767">
        <f>HYPERLINK("https://github.com/JabRef/jabref/blob/master/jablib/src/main/java/org/jabref/logic/bibtex/comparator/BibtexStringComparator.java")</f>
        <v/>
      </c>
      <c r="D767" t="inlineStr">
        <is>
          <t>The `BibtexStringComparator` is a Java class that compares two `BibtexString` objects based on their names. It can optionally sort them considering internal references as well. The comparison first sorts by the lowercase version of each string's name using the root locale for case-insensitive comparison. If the names are identical, it returns zero; otherwise, it checks if both strings refer to</t>
        </is>
      </c>
      <c r="E767" t="n">
        <v>0</v>
      </c>
      <c r="F767" t="n">
        <v>0</v>
      </c>
      <c r="G767" t="n">
        <v>0.0379</v>
      </c>
      <c r="H767" t="inlineStr">
        <is>
          <t>The code defines a `BibtexStringComparator` class that compares `BibtexString` objects based on their names. It can optionally sort them by considering internal references as well. The complexity is linear with respect to the number of strings being compared (`N`).</t>
        </is>
      </c>
      <c r="I767" t="n">
        <v>0</v>
      </c>
      <c r="J767" t="n">
        <v>0</v>
      </c>
      <c r="K767" t="n">
        <v>0</v>
      </c>
      <c r="L767" t="inlineStr">
        <is>
          <t>The `BibtexStringComparator` sorts BibTeX strings alphabetically by default. It can also sort them based on internal references if specified during initialization. The comparator first compares the names of the strings in lowercase, then checks for reference relationships between them if required.</t>
        </is>
      </c>
      <c r="M767" t="n">
        <v>0</v>
      </c>
      <c r="N767" t="n">
        <v>0</v>
      </c>
      <c r="O767" t="n">
        <v>0</v>
      </c>
    </row>
    <row r="768">
      <c r="A768" t="inlineStr">
        <is>
          <t>jcabi</t>
        </is>
      </c>
      <c r="B768" t="inlineStr">
        <is>
          <t>src/main/java/com/jcabi/github/Blobs.java</t>
        </is>
      </c>
      <c r="C768">
        <f>HYPERLINK("https://github.com/jcabi/jcabi-github/blob/master/src/main/java/com/jcabi/github/Blobs.java")</f>
        <v/>
      </c>
      <c r="D768" t="inlineStr">
        <is>
          <t>The provided code defines an `Blobs` interface in Java that represents GitHub's Git blobs. It includes methods to interact with blobs such as retrieving a specific blob by its SHA and creating a new blob with given content and encoding. The class uses the Jcabi library for aspect-oriented programming and handles exceptions related to input/output operations.</t>
        </is>
      </c>
      <c r="E768" t="n">
        <v>0.0033</v>
      </c>
      <c r="F768" t="n">
        <v>0.0299</v>
      </c>
      <c r="G768" t="n">
        <v>0.0781</v>
      </c>
      <c r="H768" t="inlineStr">
        <is>
          <t>Manages backend software components with core algorithm implementations.</t>
        </is>
      </c>
      <c r="I768" t="n">
        <v>0.033</v>
      </c>
      <c r="J768" t="n">
        <v>0.25</v>
      </c>
      <c r="K768" t="n">
        <v>0.125</v>
      </c>
      <c r="L768" t="inlineStr">
        <is>
          <t>The `Blobs` interface provides methods for interacting with blobs in a GitHub repository, including retrieving existing blobs by their SHA and creating new ones with specified content and encoding. It encapsulates the necessary operations for managing git data within repositories using the GitHub REST API.</t>
        </is>
      </c>
      <c r="M768" t="n">
        <v>0.0041</v>
      </c>
      <c r="N768" t="n">
        <v>0.0377</v>
      </c>
      <c r="O768" t="n">
        <v>0.08550000000000001</v>
      </c>
    </row>
    <row r="769">
      <c r="A769" t="inlineStr">
        <is>
          <t>jcabi</t>
        </is>
      </c>
      <c r="B769" t="inlineStr">
        <is>
          <t>src/main/java/com/jcabi/github/Trees.java</t>
        </is>
      </c>
      <c r="C769">
        <f>HYPERLINK("https://github.com/jcabi/jcabi-github/blob/master/src/main/java/com/jcabi/github/Trees.java")</f>
        <v/>
      </c>
      <c r="D769" t="inlineStr">
        <is>
          <t>The provided code defines an `Trees` interface in Java that represents GitHub's Git data trees. It includes methods for retrieving specific trees by SHA, getting trees recursively, and creating new trees with specified parameters. The class is marked as immutable using the `@Immutable` annotation from the Javax Annotations library. The implementation details are omitted due to brevity but can be inferred based on the method signatures</t>
        </is>
      </c>
      <c r="E769" t="n">
        <v>0.0028</v>
      </c>
      <c r="F769" t="n">
        <v>0.0267</v>
      </c>
      <c r="G769" t="n">
        <v>0.1087</v>
      </c>
      <c r="H769" t="inlineStr">
        <is>
          <t>The repository contains backend software components with complexity O(N), implementing core algorithms. The README provides information about the project's purpose and structure.</t>
        </is>
      </c>
      <c r="I769" t="n">
        <v>0.0114</v>
      </c>
      <c r="J769" t="n">
        <v>0.25</v>
      </c>
      <c r="K769" t="n">
        <v>0.3358</v>
      </c>
      <c r="L769" t="inlineStr">
        <is>
          <t>This Java library provides access to GitHub's Git trees through RESTful APIs. It includes methods for retrieving specific trees by SHA, getting trees recursively, and creating new trees using specified parameters. The class is immutable and uses JSON objects for data exchange.</t>
        </is>
      </c>
      <c r="M769" t="n">
        <v>0.0052</v>
      </c>
      <c r="N769" t="n">
        <v>0.0784</v>
      </c>
      <c r="O769" t="n">
        <v>0.1316</v>
      </c>
    </row>
    <row r="770">
      <c r="A770" t="inlineStr">
        <is>
          <t>jcabi</t>
        </is>
      </c>
      <c r="B770" t="inlineStr">
        <is>
          <t>src/main/java/com/jcabi/github/Repo.java</t>
        </is>
      </c>
      <c r="C770">
        <f>HYPERLINK("https://github.com/jcabi/jcabi-github/blob/master/src/main/java/com/jcabi/github/Repo.java")</f>
        <v/>
      </c>
      <c r="D770" t="inlineStr">
        <is>
          <t>The provided Java code defines an `interface` named `Repo`, which represents a GitHub repository. It includes methods for interacting with various aspects of the repository such as retrieving its owner, coordinates, iterating over issues, and managing milestones. The class is marked as immutable to ensure that once created, it cannot be modified. The interface also implements several other interfaces like `JsonReadable`, `JsonPatchable`,</t>
        </is>
      </c>
      <c r="E770" t="n">
        <v>0.0035</v>
      </c>
      <c r="F770" t="n">
        <v>0.0286</v>
      </c>
      <c r="G770" t="n">
        <v>0.0746</v>
      </c>
      <c r="H770" t="inlineStr">
        <is>
          <t>The repository contains backend software components with complexity O(N), implementing core algorithms. The README provides information about the project's purpose, license, package structure, class hierarchy, method signatures, and comments explaining the implementation details.</t>
        </is>
      </c>
      <c r="I770" t="n">
        <v>0.0074</v>
      </c>
      <c r="J770" t="n">
        <v>0.186</v>
      </c>
      <c r="K770" t="n">
        <v>0.1905</v>
      </c>
      <c r="L770" t="inlineStr">
        <is>
          <t>The `Repo` interface represents a GitHub repository, providing methods for interacting with various aspects such as getting the owner, coordinates, iterating over issues, and managing milestones. It is immutable and includes logging annotations for better performance monitoring. The class uses JSON for data representation and supports read and patch operations.</t>
        </is>
      </c>
      <c r="M770" t="n">
        <v>0.0037</v>
      </c>
      <c r="N770" t="n">
        <v>0.0345</v>
      </c>
      <c r="O770" t="n">
        <v>0.082</v>
      </c>
    </row>
    <row r="771">
      <c r="A771" t="inlineStr">
        <is>
          <t>jcabi</t>
        </is>
      </c>
      <c r="B771" t="inlineStr">
        <is>
          <t>src/main/java/com/jcabi/github/GistComments.java</t>
        </is>
      </c>
      <c r="C771">
        <f>HYPERLINK("https://github.com/jcabi/jcabi-github/blob/master/src/main/java/com/jcabi/github/GistComments.java")</f>
        <v/>
      </c>
      <c r="D771" t="inlineStr">
        <is>
          <t>The `GistComments` interface provides methods to interact with comments on GitHub gists. It allows retrieval of individual comments by their numbers and iteration over all comments associated with a specific gist. This is useful for managing and accessing comments related to GitHub gists programmatically.</t>
        </is>
      </c>
      <c r="E771" t="n">
        <v>0.005</v>
      </c>
      <c r="F771" t="n">
        <v>0.0769</v>
      </c>
      <c r="G771" t="n">
        <v>0.1724</v>
      </c>
      <c r="H771" t="inlineStr">
        <is>
          <t>Manages comments on GitHub gists. Provides methods to retrieve individual comments by their number and iterate over all comments in a gist. Complexity is linear with respect to the number of comments.</t>
        </is>
      </c>
      <c r="I771" t="n">
        <v>0.0058</v>
      </c>
      <c r="J771" t="n">
        <v>0.05</v>
      </c>
      <c r="K771" t="n">
        <v>0.0481</v>
      </c>
      <c r="L771" t="inlineStr">
        <is>
          <t>The `GistComments` interface provides methods to interact with comments associated with a GitHub gist. It allows retrieval of individual comments by their numbers and iteration over all comments within the gist.</t>
        </is>
      </c>
      <c r="M771" t="n">
        <v>0.006</v>
      </c>
      <c r="N771" t="n">
        <v>0.0513</v>
      </c>
      <c r="O771" t="n">
        <v>0.0485</v>
      </c>
    </row>
    <row r="772">
      <c r="A772" t="inlineStr">
        <is>
          <t>jcabi</t>
        </is>
      </c>
      <c r="B772" t="inlineStr">
        <is>
          <t>src/main/java/com/jcabi/github/RtReaction.java</t>
        </is>
      </c>
      <c r="C772">
        <f>HYPERLINK("https://github.com/jcabi/jcabi-github/blob/master/src/main/java/com/jcabi/github/RtReaction.java")</f>
        <v/>
      </c>
      <c r="D772" t="inlineStr">
        <is>
          <t>The provided code defines a `RtReaction` class that wraps another `Reaction` object and provides additional functionality by checking if the reaction is one of several predefined types before returning it. If the reaction is not recognized, it throws an `IllegalArgumentException`. The complexity of the implementation is O(1), as it involves a simple check against a fixed list of valid reactions.</t>
        </is>
      </c>
      <c r="E772" t="n">
        <v>0.0036</v>
      </c>
      <c r="F772" t="n">
        <v>0.029</v>
      </c>
      <c r="G772" t="n">
        <v>0.1136</v>
      </c>
      <c r="H772" t="inlineStr">
        <is>
          <t>This repository contains backend software components that implement core algorithms. The complexity is O(N), indicating linear time performance in relation to input size. Comments describe the implementation details, while commits track the initial creation of the codebase. The total code size is 1000 lines.</t>
        </is>
      </c>
      <c r="I772" t="n">
        <v>0.0055</v>
      </c>
      <c r="J772" t="n">
        <v>0.1509</v>
      </c>
      <c r="K772" t="n">
        <v>0.1724</v>
      </c>
      <c r="L772" t="inlineStr">
        <is>
          <t>The `RtReaction` class is a wrapper for another `Reaction` object that ensures only valid reactions are processed by checking against predefined types before returning them. It provides a simple interface for handling different types of GitHub reactions while maintaining compatibility with existing implementations.</t>
        </is>
      </c>
      <c r="M772" t="n">
        <v>0</v>
      </c>
      <c r="N772" t="n">
        <v>0.0392</v>
      </c>
      <c r="O772" t="n">
        <v>0</v>
      </c>
    </row>
    <row r="773">
      <c r="A773" t="inlineStr">
        <is>
          <t>jcabi</t>
        </is>
      </c>
      <c r="B773" t="inlineStr">
        <is>
          <t>src/main/java/com/jcabi/github/Comments.java</t>
        </is>
      </c>
      <c r="C773">
        <f>HYPERLINK("https://github.com/jcabi/jcabi-github/blob/master/src/main/java/com/jcabi/github/Comments.java")</f>
        <v/>
      </c>
      <c r="D773" t="inlineStr">
        <is>
          <t>The `Comments` interface provides methods to interact with comments on issues in a GitHub repository. It allows retrieval of individual comments by their numbers and iteration over all comments associated with an issue. This is useful for managing discussions related to specific issues within a project.</t>
        </is>
      </c>
      <c r="E773" t="n">
        <v>0.0048</v>
      </c>
      <c r="F773" t="n">
        <v>0.037</v>
      </c>
      <c r="G773" t="n">
        <v>0.1271</v>
      </c>
      <c r="H773" t="inlineStr">
        <is>
          <t>This repository contains backend software components that implement core algorithms. Complexity is O(N), indicating linear time complexity. The implementation includes comments explaining the purpose and usage of each component. Commits include an initial codebase commit. The total size of the codebase is 1000 lines.</t>
        </is>
      </c>
      <c r="I773" t="n">
        <v>0.0059</v>
      </c>
      <c r="J773" t="n">
        <v>0.1887</v>
      </c>
      <c r="K773" t="n">
        <v>0.2155</v>
      </c>
      <c r="L773" t="inlineStr">
        <is>
          <t>The `Comments` interface provides methods to interact with comments on GitHub issues. It allows retrieval of individual comments by their numbers and iteration over all comments associated with an issue. The implementation is immutable and focuses on accessing GitHub's Issue Comments API.</t>
        </is>
      </c>
      <c r="M773" t="n">
        <v>0.0044</v>
      </c>
      <c r="N773" t="n">
        <v>0.0784</v>
      </c>
      <c r="O773" t="n">
        <v>0.0877</v>
      </c>
    </row>
    <row r="774">
      <c r="A774" t="inlineStr">
        <is>
          <t>jcabi</t>
        </is>
      </c>
      <c r="B774" t="inlineStr">
        <is>
          <t>src/main/java/com/jcabi/github/RtPagination.java</t>
        </is>
      </c>
      <c r="C774">
        <f>HYPERLINK("https://github.com/jcabi/jcabi-github/blob/master/src/main/java/com/jcabi/github/RtPagination.java")</f>
        <v/>
      </c>
      <c r="D774" t="inlineStr">
        <is>
          <t>The `RtPagination` class provides a convenient way to iterate over paginated data from the GitHub API using HTTP requests. It handles pagination automatically by following the "Link" headers in responses to fetch subsequent pages until no more pages are available. The class uses Java's `Iterator` interface to allow iteration over the collection of items retrieved from each page. This makes it easy to work with large datasets</t>
        </is>
      </c>
      <c r="E774" t="n">
        <v>0.0027</v>
      </c>
      <c r="F774" t="n">
        <v>0.0263</v>
      </c>
      <c r="G774" t="n">
        <v>0.07190000000000001</v>
      </c>
      <c r="H774" t="inlineStr">
        <is>
          <t>This repository contains backend software components with implementations of core algorithms. The complexity is O(N), indicating linear time operations. The comments describe the implementation as "core algorithms," and there have been initial commits to establish the codebase. The total size of the codebase is 1000 lines.</t>
        </is>
      </c>
      <c r="I774" t="n">
        <v>0.0057</v>
      </c>
      <c r="J774" t="n">
        <v>0.1818</v>
      </c>
      <c r="K774" t="n">
        <v>0.2119</v>
      </c>
      <c r="L774" t="inlineStr">
        <is>
          <t>The `RtPagination` class provides a convenient way to iterate over paginated results from the GitHub API using HTTP requests. It handles pagination automatically by following the "Link" headers returned by the server, allowing users to easily access all pages of data without manually managing page numbers. The class supports two modes of operation: copying each object as it's fetched and returning references to the same objects across different</t>
        </is>
      </c>
      <c r="M774" t="n">
        <v>0.0027</v>
      </c>
      <c r="N774" t="n">
        <v>0.026</v>
      </c>
      <c r="O774" t="n">
        <v>0.07140000000000001</v>
      </c>
    </row>
    <row r="775">
      <c r="A775" t="inlineStr">
        <is>
          <t>jcabi</t>
        </is>
      </c>
      <c r="B775" t="inlineStr">
        <is>
          <t>src/main/java/com/jcabi/github/RepositoryStatistics.java</t>
        </is>
      </c>
      <c r="C775">
        <f>HYPERLINK("https://github.com/jcabi/jcabi-github/blob/master/src/main/java/com/jcabi/github/RepositoryStatistics.java")</f>
        <v/>
      </c>
      <c r="D775" t="inlineStr">
        <is>
          <t>The `RepositoryStatistics` class provides methods for retrieving various statistical data about a GitHub repository. It includes:
- A constructor that takes a `Repo` object representing the repository.
- The `toMap()` method, which fetches JSON data from the repository's API endpoint and converts it into a Java `Map`. This method handles different types of JSON values such as numbers, strings, and arrays,</t>
        </is>
      </c>
      <c r="E775" t="n">
        <v>0.0036</v>
      </c>
      <c r="F775" t="n">
        <v>0.0588</v>
      </c>
      <c r="G775" t="n">
        <v>0.0752</v>
      </c>
      <c r="H775" t="inlineStr">
        <is>
          <t>The repository contains backend software components with complexity O(N), implementing core algorithms. The README provides information about the project's license and copyright details.</t>
        </is>
      </c>
      <c r="I775" t="n">
        <v>0.0109</v>
      </c>
      <c r="J775" t="n">
        <v>0.2424</v>
      </c>
      <c r="K775" t="n">
        <v>0.3322</v>
      </c>
      <c r="L775" t="inlineStr">
        <is>
          <t>The `RepositoryStatistics` class provides methods to retrieve various statistical data about a GitHub repository. It includes methods to get the number of commits, stars, forks, watchers, open issues, closed issues, pull requests, and last updated date from the repository's JSON representation. The class uses the `Repo` object to fetch the necessary data and returns it as a map for easy access.</t>
        </is>
      </c>
      <c r="M775" t="n">
        <v>0.003</v>
      </c>
      <c r="N775" t="n">
        <v>0.0286</v>
      </c>
      <c r="O775" t="n">
        <v>0.0752</v>
      </c>
    </row>
    <row r="776">
      <c r="A776" t="inlineStr">
        <is>
          <t>jcabi</t>
        </is>
      </c>
      <c r="B776" t="inlineStr">
        <is>
          <t>src/main/java/com/jcabi/github/RtPullComment.java</t>
        </is>
      </c>
      <c r="C776">
        <f>HYPERLINK("https://github.com/jcabi/jcabi-github/blob/master/src/main/java/com/jcabi/github/RtPullComment.java")</f>
        <v/>
      </c>
      <c r="D776" t="inlineStr">
        <is>
          <t>The provided code defines a `RtPullComment` class that represents a comment on a specific pull request in a GitHub repository. It uses HTTP requests to interact with the GitHub API. The class is immutable, meaning its state cannot be changed after creation, and it includes logging for debugging purposes. The class has fields for the HTTP request, the pull request owner, and the comment number. It provides</t>
        </is>
      </c>
      <c r="E776" t="n">
        <v>0.0027</v>
      </c>
      <c r="F776" t="n">
        <v>0.0267</v>
      </c>
      <c r="G776" t="n">
        <v>0.07190000000000001</v>
      </c>
      <c r="H776" t="inlineStr">
        <is>
          <t>The repository contains backend software components that implement core algorithms. Complexity is O(N), indicating linear time complexity for operations involving collections or data structures with N elements. The README provides information about the project's purpose, structure, and development history.</t>
        </is>
      </c>
      <c r="I776" t="n">
        <v>0.0062</v>
      </c>
      <c r="J776" t="n">
        <v>0.1633</v>
      </c>
      <c r="K776" t="n">
        <v>0.2843</v>
      </c>
      <c r="L776" t="inlineStr">
        <is>
          <t>This Java class represents a GitHub pull comment using the JCabi library. It provides methods for retrieving and managing comments associated with a specific pull request. The class is immutable and uses logging annotations for debugging purposes. It includes fields for the RESTful request, the pull request owner, and the comment number. The `RtPullComment` class is part of a larger repository containing backend software components.</t>
        </is>
      </c>
      <c r="M776" t="n">
        <v>0.0037</v>
      </c>
      <c r="N776" t="n">
        <v>0.0548</v>
      </c>
      <c r="O776" t="n">
        <v>0.146</v>
      </c>
    </row>
    <row r="777">
      <c r="A777" t="inlineStr">
        <is>
          <t>jcabi</t>
        </is>
      </c>
      <c r="B777" t="inlineStr">
        <is>
          <t>src/main/java/com/jcabi/github/Users.java</t>
        </is>
      </c>
      <c r="C777">
        <f>HYPERLINK("https://github.com/jcabi/jcabi-github/blob/master/src/main/java/com/jcabi/github/Users.java")</f>
        <v/>
      </c>
      <c r="D777" t="inlineStr">
        <is>
          <t>The `Users` interface provides methods to interact with GitHub users, including retrieving information about yourself, fetching a specific user by their login, adding a new user, and iterating through all users starting from a specified point. It is part of a larger library for interacting with GitHub's REST API.</t>
        </is>
      </c>
      <c r="E777" t="n">
        <v>0.0037</v>
      </c>
      <c r="F777" t="n">
        <v>0.0345</v>
      </c>
      <c r="G777" t="n">
        <v>0.08260000000000001</v>
      </c>
      <c r="H777" t="inlineStr">
        <is>
          <t>Manages GitHub users through various operations such as retrieving information about yourself, fetching details for specific users by their logins, adding new users, and iterating over all users starting from a given point.</t>
        </is>
      </c>
      <c r="I777" t="n">
        <v>0.0056</v>
      </c>
      <c r="J777" t="n">
        <v>0.0488</v>
      </c>
      <c r="K777" t="n">
        <v>0.0476</v>
      </c>
      <c r="L777" t="inlineStr">
        <is>
          <t>The `Users` interface provides methods for interacting with GitHub users, including retrieving the current user, getting a specific user by their login, adding a new user, and iterating through all users starting from a given identifier. It is part of a larger library for working with GitHub repositories and follows best practices for immutability and aspect-oriented programming.</t>
        </is>
      </c>
      <c r="M777" t="n">
        <v>0.0032</v>
      </c>
      <c r="N777" t="n">
        <v>0.0303</v>
      </c>
      <c r="O777" t="n">
        <v>0.0775</v>
      </c>
    </row>
    <row r="778">
      <c r="A778" t="inlineStr">
        <is>
          <t>jcabi</t>
        </is>
      </c>
      <c r="B778" t="inlineStr">
        <is>
          <t>src/main/java/com/jcabi/github/JsonReadable.java</t>
        </is>
      </c>
      <c r="C778">
        <f>HYPERLINK("https://github.com/jcabi/jcabi-github/blob/master/src/main/java/com/jcabi/github/JsonReadable.java")</f>
        <v/>
      </c>
      <c r="D778" t="inlineStr">
        <is>
          <t>The `JsonReadable` interface provides a method to retrieve data as a JSON object from some source. It includes methods for reading JSON data and handling potential IO exceptions. The implementation is marked as immutable, ensuring that once created, its state cannot be changed. This interface is part of a larger library designed to interact with GitHub repositories using Java.</t>
        </is>
      </c>
      <c r="E778" t="n">
        <v>0.0037</v>
      </c>
      <c r="F778" t="n">
        <v>0.0299</v>
      </c>
      <c r="G778" t="n">
        <v>0.1527</v>
      </c>
      <c r="H778" t="inlineStr">
        <is>
          <t>The provided Java code defines an `JsonReadable` interface that represents a class capable of returning its data as a JSON object. The method `json()` takes no parameters and returns a `JsonObject`, which may throw an `IOException`. This interface is marked with the `@Immutable` annotation to indicate that instances of this type should be immutable. The README file describes the purpose of the repository as containing backend</t>
        </is>
      </c>
      <c r="I778" t="n">
        <v>0.0033</v>
      </c>
      <c r="J778" t="n">
        <v>0.027</v>
      </c>
      <c r="K778" t="n">
        <v>0.0725</v>
      </c>
      <c r="L778" t="inlineStr">
        <is>
          <t>This Java interface `JsonReadable` provides a method `json()` that returns a JSON representation of the implementing class as a `JsonObject`. It includes error handling for potential IO exceptions and adheres to immutability principles. The implementation complexity is O(1), assuming efficient JSON serialization.</t>
        </is>
      </c>
      <c r="M778" t="n">
        <v>0.0052</v>
      </c>
      <c r="N778" t="n">
        <v>0.1176</v>
      </c>
      <c r="O778" t="n">
        <v>0.1316</v>
      </c>
    </row>
    <row r="779">
      <c r="A779" t="inlineStr">
        <is>
          <t>jcabi</t>
        </is>
      </c>
      <c r="B779" t="inlineStr">
        <is>
          <t>src/main/java/com/jcabi/github/RtHook.java</t>
        </is>
      </c>
      <c r="C779">
        <f>HYPERLINK("https://github.com/jcabi/jcabi-github/blob/master/src/main/java/com/jcabi/github/RtHook.java")</f>
        <v/>
      </c>
      <c r="D779" t="inlineStr">
        <is>
          <t>The provided code defines a class `RtHook` that represents a hook for handling events related to issues in a GitHub repository. It uses HTTP requests to interact with the GitHub API. The class is immutable, meaning its state cannot be changed after it's created. It includes fields for a RESTful request object, a repository object, and an issue number. The class also has methods to retrieve information</t>
        </is>
      </c>
      <c r="E779" t="n">
        <v>0.0027</v>
      </c>
      <c r="F779" t="n">
        <v>0.0263</v>
      </c>
      <c r="G779" t="n">
        <v>0.07190000000000001</v>
      </c>
      <c r="H779" t="inlineStr">
        <is>
          <t>This repository contains backend software components that implement core algorithms. The complexity is O(N), indicating linear time complexity for certain operations. The implementation includes comments explaining the purpose of each part of the code. The commits include an initial codebase commit. The total size of the codebase is 1000 lines.</t>
        </is>
      </c>
      <c r="I779" t="n">
        <v>0.0048</v>
      </c>
      <c r="J779" t="n">
        <v>0.1356</v>
      </c>
      <c r="K779" t="n">
        <v>0.2049</v>
      </c>
      <c r="L779" t="inlineStr">
        <is>
          <t>This Java code defines a class `RtHook` that represents a hook for handling events related to issues in a GitHub repository. It uses HTTP requests to interact with the GitHub API and processes JSON responses. The class is immutable and includes logging annotations for debugging purposes. It takes a RESTful request, a repository object, and an issue number as parameters during construction. The class provides methods to retrieve and</t>
        </is>
      </c>
      <c r="M779" t="n">
        <v>0.0031</v>
      </c>
      <c r="N779" t="n">
        <v>0.0519</v>
      </c>
      <c r="O779" t="n">
        <v>0.1064</v>
      </c>
    </row>
    <row r="780">
      <c r="A780" t="inlineStr">
        <is>
          <t>jcabi</t>
        </is>
      </c>
      <c r="B780" t="inlineStr">
        <is>
          <t>src/main/java/com/jcabi/github/Checks.java</t>
        </is>
      </c>
      <c r="C780">
        <f>HYPERLINK("https://github.com/jcabi/jcabi-github/blob/master/src/main/java/com/jcabi/github/Checks.java")</f>
        <v/>
      </c>
      <c r="D780" t="inlineStr">
        <is>
          <t>The `Checks` interface provides methods to interact with GitHub's check runs API, allowing retrieval of all available checks for a given repository or organization. The implementation includes a method `all()` that returns a collection of `Check` objects, which may throw an `IOException` if there is an issue during the network request. This interface is part of a larger set of GitHub-related components in the project.</t>
        </is>
      </c>
      <c r="E780" t="n">
        <v>0.0028</v>
      </c>
      <c r="F780" t="n">
        <v>0.0267</v>
      </c>
      <c r="G780" t="n">
        <v>0.1095</v>
      </c>
      <c r="H780" t="inlineStr">
        <is>
          <t>Provides methods to interact with GitHub check runs using the REST API.</t>
        </is>
      </c>
      <c r="I780" t="n">
        <v>0</v>
      </c>
      <c r="J780" t="n">
        <v>0</v>
      </c>
      <c r="K780" t="n">
        <v>0.0595</v>
      </c>
      <c r="L780" t="inlineStr">
        <is>
          <t>The `Checks` interface provides methods for interacting with GitHub's check runs API, allowing retrieval of all available checks from a specified repository. It includes a method `all()` that returns a collection of `Check` objects, which can be used to access details about each check run. The implementation complexity is O(N), where N represents the number of checks retrieved.</t>
        </is>
      </c>
      <c r="M780" t="n">
        <v>0</v>
      </c>
      <c r="N780" t="n">
        <v>0.0294</v>
      </c>
      <c r="O780" t="n">
        <v>0.0769</v>
      </c>
    </row>
    <row r="781">
      <c r="A781" t="inlineStr">
        <is>
          <t>jcabi</t>
        </is>
      </c>
      <c r="B781" t="inlineStr">
        <is>
          <t>src/main/java/com/jcabi/github/Comment.java</t>
        </is>
      </c>
      <c r="C781">
        <f>HYPERLINK("https://github.com/jcabi/jcabi-github/blob/master/src/main/java/com/jcabi/github/Comment.java")</f>
        <v/>
      </c>
      <c r="D781" t="inlineStr">
        <is>
          <t>The provided code is for a Java library called `jcabi-github`, which provides access to GitHub repositories through RESTful APIs. The class `IssueComment` represents a single comment on a GitHub issue within a repository. It includes methods to retrieve various properties of the comment such as its ID, body, creation date, and author information. The class uses annotations like `@Immutable` and `@</t>
        </is>
      </c>
      <c r="E781" t="n">
        <v>0.003</v>
      </c>
      <c r="F781" t="n">
        <v>0.029</v>
      </c>
      <c r="G781" t="n">
        <v>0.0752</v>
      </c>
      <c r="H781" t="inlineStr">
        <is>
          <t>The repository contains backend software components with complexity O(N), implementing core algorithms. The code size is 1000 lines, and comments provide implementation details.</t>
        </is>
      </c>
      <c r="I781" t="n">
        <v>0.0109</v>
      </c>
      <c r="J781" t="n">
        <v>0.25</v>
      </c>
      <c r="K781" t="n">
        <v>0.2105</v>
      </c>
      <c r="L781" t="inlineStr">
        <is>
          <t>The code defines a class `IssueComment` within the package `com.jcabi.github`, implementing the `JsonReadable` interface. It represents a comment on a GitHub issue. The class provides methods to access various properties of the comment such as the user who made the comment, the creation date, and the content itself. The implementation includes logging for method calls and uses Lombok annotations for immut</t>
        </is>
      </c>
      <c r="M781" t="n">
        <v>0.003</v>
      </c>
      <c r="N781" t="n">
        <v>0.0563</v>
      </c>
      <c r="O781" t="n">
        <v>0.1128</v>
      </c>
    </row>
    <row r="782">
      <c r="A782" t="inlineStr">
        <is>
          <t>jcabi</t>
        </is>
      </c>
      <c r="B782" t="inlineStr">
        <is>
          <t>src/main/java/com/jcabi/github/Tag.java</t>
        </is>
      </c>
      <c r="C782">
        <f>HYPERLINK("https://github.com/jcabi/jcabi-github/blob/master/src/main/java/com/jcabi/github/Tag.java")</f>
        <v/>
      </c>
      <c r="D782" t="inlineStr">
        <is>
          <t>The provided Java code defines an immutable interface `Tag` within the `com.jcabi.github` package. This interface represents a tag in a GitHub repository and provides methods to access information about the tag's owner repository (`Repo`) and its SHA value (`String`). The class is annotated with `@Immutable`, indicating that it should be treated as an immutable object.</t>
        </is>
      </c>
      <c r="E782" t="n">
        <v>0.004</v>
      </c>
      <c r="F782" t="n">
        <v>0.0606</v>
      </c>
      <c r="G782" t="n">
        <v>0.07870000000000001</v>
      </c>
      <c r="H782" t="inlineStr">
        <is>
          <t>Provides an immutable interface for representing a tag in a GitHub repository, including methods to retrieve the owning repository and the SHA of the tag.</t>
        </is>
      </c>
      <c r="I782" t="n">
        <v>0.0076</v>
      </c>
      <c r="J782" t="n">
        <v>0.0606</v>
      </c>
      <c r="K782" t="n">
        <v>0.0515</v>
      </c>
      <c r="L782" t="inlineStr">
        <is>
          <t>The `Tag` interface represents a tag in a GitHub repository, providing methods to retrieve the associated repository and the SHA value of the tag. It is immutable and implements the `JsonReadable` interface for JSON serialization capabilities.</t>
        </is>
      </c>
      <c r="M782" t="n">
        <v>0.0061</v>
      </c>
      <c r="N782" t="n">
        <v>0.0455</v>
      </c>
      <c r="O782" t="n">
        <v>0.0926</v>
      </c>
    </row>
    <row r="783">
      <c r="A783" t="inlineStr">
        <is>
          <t>jcabi</t>
        </is>
      </c>
      <c r="B783" t="inlineStr">
        <is>
          <t>src/main/java/com/jcabi/github/CommitsComparison.java</t>
        </is>
      </c>
      <c r="C783">
        <f>HYPERLINK("https://github.com/jcabi/jcabi-github/blob/master/src/main/java/com/jcabi/github/CommitsComparison.java")</f>
        <v/>
      </c>
      <c r="D783" t="inlineStr">
        <is>
          <t>The provided Java code defines an `CommitsComparison` interface that represents a comparison between two commits in a Git repository. It includes methods to retrieve the parent repository and iterate over the file changes between the two commits. The implementation uses JSON for data exchange and handles exceptions related to input/output operations. This interface is part of a larger library designed to interact with GitHub repositories through RESTful APIs.</t>
        </is>
      </c>
      <c r="E783" t="n">
        <v>0.0032</v>
      </c>
      <c r="F783" t="n">
        <v>0.0519</v>
      </c>
      <c r="G783" t="n">
        <v>0.1429</v>
      </c>
      <c r="H783" t="inlineStr">
        <is>
          <t>This repository contains backend software components that implement core algorithms. The complexity of these implementations is O(N), indicating linear time complexity with respect to the input size. The comments provide details about the implementation's purpose and functionality. The initial codebase was committed. The total code size is 1000 lines.</t>
        </is>
      </c>
      <c r="I783" t="n">
        <v>0.0053</v>
      </c>
      <c r="J783" t="n">
        <v>0.1695</v>
      </c>
      <c r="K783" t="n">
        <v>0.2066</v>
      </c>
      <c r="L783" t="inlineStr">
        <is>
          <t>The `CommitsComparison` interface represents a comparison between two commits within a GitHub repository. It provides methods to access the parent repository and iterate through the file changes that occurred during the comparison. The implementation complexity is O(N), where N is the number of file changes, and existing comments indicate that the code implements core algorithms for comparing commits.</t>
        </is>
      </c>
      <c r="M783" t="n">
        <v>0.0074</v>
      </c>
      <c r="N783" t="n">
        <v>0.0597</v>
      </c>
      <c r="O783" t="n">
        <v>0.1966</v>
      </c>
    </row>
    <row r="784">
      <c r="A784" t="inlineStr">
        <is>
          <t>jcabi</t>
        </is>
      </c>
      <c r="B784" t="inlineStr">
        <is>
          <t>src/main/java/com/jcabi/github/UserOrganizations.java</t>
        </is>
      </c>
      <c r="C784">
        <f>HYPERLINK("https://github.com/jcabi/jcabi-github/blob/master/src/main/java/com/jcabi/github/UserOrganizations.java")</f>
        <v/>
      </c>
      <c r="D784" t="inlineStr">
        <is>
          <t>The provided code defines an `UserOrganizations` interface that represents the organizations associated with a specific GitHub user. It includes methods to access the GitHub instance, retrieve the owning user, and iterate over the list of organizations they belong to. The implementation details are omitted as per the request.</t>
        </is>
      </c>
      <c r="E784" t="n">
        <v>0.0038</v>
      </c>
      <c r="F784" t="n">
        <v>0.0357</v>
      </c>
      <c r="G784" t="n">
        <v>0.0833</v>
      </c>
      <c r="H784" t="inlineStr">
        <is>
          <t>The repository contains backend software components that implement core algorithms. The complexity of these implementations is O(N), indicating linear time complexity with respect to input size N.</t>
        </is>
      </c>
      <c r="I784" t="n">
        <v>0.0083</v>
      </c>
      <c r="J784" t="n">
        <v>0.1667</v>
      </c>
      <c r="K784" t="n">
        <v>0.1515</v>
      </c>
      <c r="L784" t="inlineStr">
        <is>
          <t>The `UserOrganizations` interface provides access to the organizations associated with a specific GitHub user. It includes methods to retrieve the GitHub instance, the user's profile, and an iterator over the user's organizations, which can be either public or private depending on authentication status. The implementation complexity is O(N), where N represents the number of organizations retrieved.</t>
        </is>
      </c>
      <c r="M784" t="n">
        <v>0.0033</v>
      </c>
      <c r="N784" t="n">
        <v>0.0299</v>
      </c>
      <c r="O784" t="n">
        <v>0.0781</v>
      </c>
    </row>
    <row r="785">
      <c r="A785" t="inlineStr">
        <is>
          <t>jcabi</t>
        </is>
      </c>
      <c r="B785" t="inlineStr">
        <is>
          <t>src/main/java/com/jcabi/github/Gist.java</t>
        </is>
      </c>
      <c r="C785">
        <f>HYPERLINK("https://github.com/jcabi/jcabi-github/blob/master/src/main/java/com/jcabi/github/Gist.java")</f>
        <v/>
      </c>
      <c r="D785" t="inlineStr">
        <is>
          <t>The provided code defines an `interface` named `Gist`, which represents a GitHub gist. It includes methods to interact with a GitHub account, retrieve information about the gist's identifier, read file contents from the gist, and apply JSON patches to modify the gist. The class uses annotations for immutability and logging, and it implements interfaces for reading and patching JSON data.</t>
        </is>
      </c>
      <c r="E785" t="n">
        <v>0.0036</v>
      </c>
      <c r="F785" t="n">
        <v>0.058</v>
      </c>
      <c r="G785" t="n">
        <v>0.1136</v>
      </c>
      <c r="H785" t="inlineStr">
        <is>
          <t>The repository contains backend software components that implement core algorithms. The complexity of these implementations is O(N), indicating linear time complexity with respect to input size N. The code base has been initialized with a single commit containing the initial implementation.</t>
        </is>
      </c>
      <c r="I785" t="n">
        <v>0.0054</v>
      </c>
      <c r="J785" t="n">
        <v>0.12</v>
      </c>
      <c r="K785" t="n">
        <v>0.1327</v>
      </c>
      <c r="L785" t="inlineStr">
        <is>
          <t>This Java interface `Gist` represents a GitHub gist, providing methods for interacting with individual gists through the GitHub API. It includes functionalities such as retrieving the GitHub instance associated with the gist, accessing the gist's unique identifier, reading file contents from the gist, and applying JSON patches to update the gist. The class uses annotations like `@Immutable`, `@Loggable`, and `@Equals</t>
        </is>
      </c>
      <c r="M785" t="n">
        <v>0.0036</v>
      </c>
      <c r="N785" t="n">
        <v>0.08699999999999999</v>
      </c>
      <c r="O785" t="n">
        <v>0.1515</v>
      </c>
    </row>
    <row r="786">
      <c r="A786" t="inlineStr">
        <is>
          <t>jcabi</t>
        </is>
      </c>
      <c r="B786" t="inlineStr">
        <is>
          <t>src/main/java/com/jcabi/github/UserEmails.java</t>
        </is>
      </c>
      <c r="C786">
        <f>HYPERLINK("https://github.com/jcabi/jcabi-github/blob/master/src/main/java/com/jcabi/github/UserEmails.java")</f>
        <v/>
      </c>
      <c r="D786" t="inlineStr">
        <is>
          <t>The `UserEmails` interface in this code provides methods to manage a GitHub user's email addresses. It includes:
- An `iterate()` method that returns an iterable collection of the user's current email addresses.
- An `add(Iterable&lt;String&gt;)` method that adds multiple new email addresses to the user's account.
- A `remove(Iterable&lt;String&gt;)` method that removes specified email addresses</t>
        </is>
      </c>
      <c r="E786" t="n">
        <v>0</v>
      </c>
      <c r="F786" t="n">
        <v>0.0299</v>
      </c>
      <c r="G786" t="n">
        <v>0.0394</v>
      </c>
      <c r="H786" t="inlineStr">
        <is>
          <t>Manages GitHub users' email addresses with methods to iterate, add, and remove them.</t>
        </is>
      </c>
      <c r="I786" t="n">
        <v>0.0155</v>
      </c>
      <c r="J786" t="n">
        <v>0.09520000000000001</v>
      </c>
      <c r="K786" t="n">
        <v>0.0588</v>
      </c>
      <c r="L786" t="inlineStr">
        <is>
          <t>This Java interface `UserEmails` provides methods for managing a GitHub user's email addresses. It includes functionalities to retrieve, add, and remove emails from the user's account. The class implements the `JsonReadable` interface, allowing for JSON serialization of the user's email data.</t>
        </is>
      </c>
      <c r="M786" t="n">
        <v>0.0059</v>
      </c>
      <c r="N786" t="n">
        <v>0.1154</v>
      </c>
      <c r="O786" t="n">
        <v>0.177</v>
      </c>
    </row>
    <row r="787">
      <c r="A787" t="inlineStr">
        <is>
          <t>jcabi</t>
        </is>
      </c>
      <c r="B787" t="inlineStr">
        <is>
          <t>src/main/java/com/jcabi/github/IssueLabels.java</t>
        </is>
      </c>
      <c r="C787">
        <f>HYPERLINK("https://github.com/jcabi/jcabi-github/blob/master/src/main/java/com/jcabi/github/IssueLabels.java")</f>
        <v/>
      </c>
      <c r="D787" t="inlineStr">
        <is>
          <t>The provided code defines an `IssueLabels` interface that represents the labels associated with a GitHub issue. It includes methods for adding labels to the issue and retrieving the current set of labels. The class uses annotations like `@Immutable`, `@Loggable`, and `@ToString` from the Lombok library for immutability, logging, and string representation, respectively. The complexity of the implementation is</t>
        </is>
      </c>
      <c r="E787" t="n">
        <v>0.0031</v>
      </c>
      <c r="F787" t="n">
        <v>0.0303</v>
      </c>
      <c r="G787" t="n">
        <v>0.1154</v>
      </c>
      <c r="H787" t="inlineStr">
        <is>
          <t>The code provides a repository for backend software components with complexity O(N), implementing core algorithms. It includes comments explaining its implementation and commits detailing the initial codebase creation. The total size of the codebase is 1000 lines.</t>
        </is>
      </c>
      <c r="I787" t="n">
        <v>0.0066</v>
      </c>
      <c r="J787" t="n">
        <v>0.1739</v>
      </c>
      <c r="K787" t="n">
        <v>0.1835</v>
      </c>
      <c r="L787" t="inlineStr">
        <is>
          <t>The `IssueLabels` interface provides methods for managing labels associated with issues in a GitHub repository. It includes methods to retrieve the issue itself, add new labels, remove existing ones, list all current labels, and check if a specific label exists. The implementation uses immutable objects and handles exceptions related to I/O operations.</t>
        </is>
      </c>
      <c r="M787" t="n">
        <v>0.0035</v>
      </c>
      <c r="N787" t="n">
        <v>0.06560000000000001</v>
      </c>
      <c r="O787" t="n">
        <v>0.121</v>
      </c>
    </row>
    <row r="788">
      <c r="A788" t="inlineStr">
        <is>
          <t>jcabi</t>
        </is>
      </c>
      <c r="B788" t="inlineStr">
        <is>
          <t>src/main/java/com/jcabi/github/Fork.java</t>
        </is>
      </c>
      <c r="C788">
        <f>HYPERLINK("https://github.com/jcabi/jcabi-github/blob/master/src/main/java/com/jcabi/github/Fork.java")</f>
        <v/>
      </c>
      <c r="D788" t="inlineStr">
        <is>
          <t>The provided code defines an interface `Fork` representing a GitHub fork in its JSON format. It includes methods to access the fork's ID and provides a smart implementation that enhances the base functionality using Lombok annotations for immutability, logging, and string representation. The complexity is O(1), as it involves basic operations on immutable data structures.</t>
        </is>
      </c>
      <c r="E788" t="n">
        <v>0.004</v>
      </c>
      <c r="F788" t="n">
        <v>0.09229999999999999</v>
      </c>
      <c r="G788" t="n">
        <v>0.1181</v>
      </c>
      <c r="H788" t="inlineStr">
        <is>
          <t>The repository contains backend software components that implement core algorithms. The complexity is O(N), indicating linear time complexity in relation to input size N. Comments describe the implementation as focusing on core algorithms. Commits include an initial codebase commit. The total code size is 1000 lines.</t>
        </is>
      </c>
      <c r="I788" t="n">
        <v>0.0048</v>
      </c>
      <c r="J788" t="n">
        <v>0.1091</v>
      </c>
      <c r="K788" t="n">
        <v>0.1271</v>
      </c>
      <c r="L788" t="inlineStr">
        <is>
          <t>This Java library provides an immutable interface `Fork` for interacting with GitHub forks using JSON data. It includes methods to retrieve the fork's ID and offers a smart implementation that extends basic functionalities like logging and equality checks. The code is designed to be efficient with a time complexity of O(1), making it suitable for handling large datasets.</t>
        </is>
      </c>
      <c r="M788" t="n">
        <v>0.0037</v>
      </c>
      <c r="N788" t="n">
        <v>0.1176</v>
      </c>
      <c r="O788" t="n">
        <v>0.1538</v>
      </c>
    </row>
    <row r="789">
      <c r="A789" t="inlineStr">
        <is>
          <t>jcabi</t>
        </is>
      </c>
      <c r="B789" t="inlineStr">
        <is>
          <t>src/main/java/com/jcabi/github/RtGists.java</t>
        </is>
      </c>
      <c r="C789">
        <f>HYPERLINK("https://github.com/jcabi/jcabi-github/blob/master/src/main/java/com/jcabi/github/RtGists.java")</f>
        <v/>
      </c>
      <c r="D789" t="inlineStr">
        <is>
          <t>The provided code defines a Java class `RtGists` that represents GitHub gists using HTTP requests to interact with the GitHub API. It includes methods for listing all gists, creating new gists, retrieving specific gists by ID, updating existing gists, deleting gists, and more. The class uses annotations from the Jcabi library to enhance logging and immutability.</t>
        </is>
      </c>
      <c r="E789" t="n">
        <v>0.0033</v>
      </c>
      <c r="F789" t="n">
        <v>0.0312</v>
      </c>
      <c r="G789" t="n">
        <v>0.1172</v>
      </c>
      <c r="H789" t="inlineStr">
        <is>
          <t>Manages GitHub gists using HTTP requests.</t>
        </is>
      </c>
      <c r="I789" t="n">
        <v>0</v>
      </c>
      <c r="J789" t="n">
        <v>0</v>
      </c>
      <c r="K789" t="n">
        <v>0.2404</v>
      </c>
      <c r="L789" t="inlineStr">
        <is>
          <t>This Java library provides access to GitHub gists through HTTP requests. It uses the `RtGists` class to interact with the GitHub API, allowing developers to retrieve, create, update, and delete gists programmatically. The class is designed as immutable and includes logging for debugging purposes.</t>
        </is>
      </c>
      <c r="M789" t="n">
        <v>0.005</v>
      </c>
      <c r="N789" t="n">
        <v>0.0769</v>
      </c>
      <c r="O789" t="n">
        <v>0.1724</v>
      </c>
    </row>
    <row r="790">
      <c r="A790" t="inlineStr">
        <is>
          <t>jcabi</t>
        </is>
      </c>
      <c r="B790" t="inlineStr">
        <is>
          <t>src/main/java/com/jcabi/github/ThreadSubscription.java</t>
        </is>
      </c>
      <c r="C790">
        <f>HYPERLINK("https://github.com/jcabi/jcabi-github/blob/master/src/main/java/com/jcabi/github/ThreadSubscription.java")</f>
        <v/>
      </c>
      <c r="D790" t="inlineStr">
        <is>
          <t>The provided Java code defines an interface `ThreadSubscription` that encapsulates data related to notifications on GitHub threads. It includes methods for getting and setting subscriptions to these notifications. The interface is part of a larger library (`com.jcabi.github`) and provides documentation links to the GitHub API endpoints it interacts with. The complexity of the implementation is O(1) since it primarily deals with simple property access</t>
        </is>
      </c>
      <c r="E790" t="n">
        <v>0.0028</v>
      </c>
      <c r="F790" t="n">
        <v>0.0267</v>
      </c>
      <c r="G790" t="n">
        <v>0.1103</v>
      </c>
      <c r="H790" t="inlineStr">
        <is>
          <t>The code defines an interface `ThreadSubscription` that encapsulates data related to notifications on GitHub threads. It includes methods for getting and setting subscriptions, with comments indicating its purpose and usage. The README describes it as part of a larger backend software component repository, mentioning complexity and commits but not providing details about the implementation or specific functionalities beyond what is already described in the comments.</t>
        </is>
      </c>
      <c r="I790" t="n">
        <v>0.0033</v>
      </c>
      <c r="J790" t="n">
        <v>0.0822</v>
      </c>
      <c r="K790" t="n">
        <v>0.146</v>
      </c>
      <c r="L790" t="inlineStr">
        <is>
          <t>The `ThreadSubscription` interface encapsulates data related to notifications subscriptions for threads in the GitHub Activity API. It provides methods to manage whether a user is subscribed to or ignores a specific notification thread, including retrieving details such as when the subscription was created, the URL of the subscription, and the URL of the associated thread. The interface includes fields for these attributes, which can be added later based on the</t>
        </is>
      </c>
      <c r="M790" t="n">
        <v>0.0026</v>
      </c>
      <c r="N790" t="n">
        <v>0.0256</v>
      </c>
      <c r="O790" t="n">
        <v>0.0352</v>
      </c>
    </row>
    <row r="791">
      <c r="A791" t="inlineStr">
        <is>
          <t>jcabi</t>
        </is>
      </c>
      <c r="B791" t="inlineStr">
        <is>
          <t>src/main/java/com/jcabi/github/Reaction.java</t>
        </is>
      </c>
      <c r="C791">
        <f>HYPERLINK("https://github.com/jcabi/jcabi-github/blob/master/src/main/java/com/jcabi/github/Reaction.java")</f>
        <v/>
      </c>
      <c r="D791" t="inlineStr">
        <is>
          <t>The provided Java code defines an `Reaction` interface in the `com.jcabi.github` package, which represents different types of reactions that can be applied to issues or comments on GitHub repositories. It includes constants for common reaction types such as thumbs up (`+1`), thumbs down (`-1`), laugh, confused, and heart. The class is designed to facilitate interaction with the GitHub API</t>
        </is>
      </c>
      <c r="E791" t="n">
        <v>0.0031</v>
      </c>
      <c r="F791" t="n">
        <v>0.029</v>
      </c>
      <c r="G791" t="n">
        <v>0.0382</v>
      </c>
      <c r="H791" t="inlineStr">
        <is>
          <t>The repository contains backend software components that implement core algorithms. Complexity is O(N), indicating linear time complexity in relation to input size. Comments describe the implementation of core algorithms. Initial codebase commit was made. Code size is 1000 lines.</t>
        </is>
      </c>
      <c r="I791" t="n">
        <v>0.0056</v>
      </c>
      <c r="J791" t="n">
        <v>0.125</v>
      </c>
      <c r="K791" t="n">
        <v>0.1351</v>
      </c>
      <c r="L791" t="inlineStr">
        <is>
          <t>The `Reaction` interface defines constants for various types of reactions that can be applied to issues and comments on GitHub repositories. It includes constants for thumbs up (`+1`), thumbs down (`-1`), laugh, confused, and heart reactions. The interface is part of a larger library designed to interact with the GitHub API, specifically focusing on managing reactions to content within repositories.</t>
        </is>
      </c>
      <c r="M791" t="n">
        <v>0.003</v>
      </c>
      <c r="N791" t="n">
        <v>0.0294</v>
      </c>
      <c r="O791" t="n">
        <v>0.1136</v>
      </c>
    </row>
    <row r="792">
      <c r="A792" t="inlineStr">
        <is>
          <t>jcabi</t>
        </is>
      </c>
      <c r="B792" t="inlineStr">
        <is>
          <t>src/main/java/com/jcabi/github/Stars.java</t>
        </is>
      </c>
      <c r="C792">
        <f>HYPERLINK("https://github.com/jcabi/jcabi-github/blob/master/src/main/java/com/jcabi/github/Stars.java")</f>
        <v/>
      </c>
      <c r="D792" t="inlineStr">
        <is>
          <t>The provided code defines an `Stars` interface in Java that represents the GitHub starring API. It includes methods to check if a repository is starred, star it, or unstar it. The class uses the `@Immutable` annotation from the Jcabi library to ensure thread safety and immutability. The complexity of this implementation is O(1), as all operations involve simple checks and updates without</t>
        </is>
      </c>
      <c r="E792" t="n">
        <v>0.0029</v>
      </c>
      <c r="F792" t="n">
        <v>0.08450000000000001</v>
      </c>
      <c r="G792" t="n">
        <v>0.1493</v>
      </c>
      <c r="H792" t="inlineStr">
        <is>
          <t>Provides interfaces for interacting with GitHub's starring API to check, star, or unstar repositories.</t>
        </is>
      </c>
      <c r="I792" t="n">
        <v>0</v>
      </c>
      <c r="J792" t="n">
        <v>0</v>
      </c>
      <c r="K792" t="n">
        <v>0</v>
      </c>
      <c r="L792" t="inlineStr">
        <is>
          <t>The `Stars` interface provides methods for interacting with the GitHub starring API, allowing users to check if a repository is starred, star it, or unstar it. It includes methods for retrieving the owner's repository (`repo()`), checking if the repository is starred (`starred()`), starring the repository (`star()`), and unstarring the repository (`unstar()`). The implementation complexity is O(</t>
        </is>
      </c>
      <c r="M792" t="n">
        <v>0.0033</v>
      </c>
      <c r="N792" t="n">
        <v>0.0308</v>
      </c>
      <c r="O792" t="n">
        <v>0.0781</v>
      </c>
    </row>
    <row r="793">
      <c r="A793" t="inlineStr">
        <is>
          <t>jcabi</t>
        </is>
      </c>
      <c r="B793" t="inlineStr">
        <is>
          <t>src/main/java/com/jcabi/github/RtIssue.java</t>
        </is>
      </c>
      <c r="C793">
        <f>HYPERLINK("https://github.com/jcabi/jcabi-github/blob/master/src/main/java/com/jcabi/github/RtIssue.java")</f>
        <v/>
      </c>
      <c r="D793" t="inlineStr">
        <is>
          <t>The provided code defines a Java class `RtIssue` that represents an issue in a GitHub repository. It uses HTTP requests to interact with the GitHub API to retrieve and manipulate issue data. The class is immutable and includes logging for debugging purposes. It provides methods to get various properties of the issue such as its title, body, labels, comments, etc., using JSON responses from the GitHub API.</t>
        </is>
      </c>
      <c r="E793" t="n">
        <v>0.0027</v>
      </c>
      <c r="F793" t="n">
        <v>0.0267</v>
      </c>
      <c r="G793" t="n">
        <v>0.07190000000000001</v>
      </c>
      <c r="H793" t="inlineStr">
        <is>
          <t>The code is a Java implementation of a GitHub issue management system using the JCABI library. It provides methods to interact with GitHub issues through HTTP requests and handles JSON responses. The complexity is high due to its extensive use of libraries and features like aspect-oriented programming for logging and immutability checks. The code size is large, indicating it includes many classes and functionalities related to handling GitHub data.</t>
        </is>
      </c>
      <c r="I793" t="n">
        <v>0.0026</v>
      </c>
      <c r="J793" t="n">
        <v>0.0513</v>
      </c>
      <c r="K793" t="n">
        <v>0.1064</v>
      </c>
      <c r="L793" t="inlineStr">
        <is>
          <t>The `RtIssue` class provides access to individual issues within a GitHub repository using HTTP requests. It encapsulates the necessary data such as the request object, owner name, and issue number, ensuring immutability for thread safety. The class uses logging annotations for debugging purposes and employs method overloading to handle different types of content updates.</t>
        </is>
      </c>
      <c r="M793" t="n">
        <v>0.0034</v>
      </c>
      <c r="N793" t="n">
        <v>0.0323</v>
      </c>
      <c r="O793" t="n">
        <v>0.0794</v>
      </c>
    </row>
    <row r="794">
      <c r="A794" t="inlineStr">
        <is>
          <t>jcabi</t>
        </is>
      </c>
      <c r="B794" t="inlineStr">
        <is>
          <t>src/main/java/com/jcabi/github/FromProperties.java</t>
        </is>
      </c>
      <c r="C794">
        <f>HYPERLINK("https://github.com/jcabi/jcabi-github/blob/master/src/main/java/com/jcabi/github/FromProperties.java")</f>
        <v/>
      </c>
      <c r="D794" t="inlineStr">
        <is>
          <t>The provided Java code defines a `FromProperties` class that reads user-agent information from a properties file named `jcabigithub.properties`. The class includes constants for keys related to build metadata such as date, version, and build number. It uses these keys to retrieve corresponding values from the properties file and provides them through its methods. This setup is useful for identifying the source or origin of requests made</t>
        </is>
      </c>
      <c r="E794" t="n">
        <v>0.0033</v>
      </c>
      <c r="F794" t="n">
        <v>0.0263</v>
      </c>
      <c r="G794" t="n">
        <v>0.1087</v>
      </c>
      <c r="H794" t="inlineStr">
        <is>
          <t>This repository contains backend software components that implement core algorithms. The complexity is O(N), indicating linear time complexity in relation to input size. The implementation includes comments explaining the purpose and functionality of each part of the code. The commits indicate the initial creation of the codebase. The total code size is 1000 lines.</t>
        </is>
      </c>
      <c r="I794" t="n">
        <v>0.0051</v>
      </c>
      <c r="J794" t="n">
        <v>0.1587</v>
      </c>
      <c r="K794" t="n">
        <v>0.2381</v>
      </c>
      <c r="L794" t="inlineStr">
        <is>
          <t>The `FromProperties` class reads user-agent data from a `jcabigithub.properties` file, providing details such as build date, project version, and build number. It uses Java's `Properties` class to parse these values and is designed to be used within the context of GitHub-related software components. The class avoids redundant initialization by using the `@SuppressWarnings("PMD.ConstructorShouldDo</t>
        </is>
      </c>
      <c r="M794" t="n">
        <v>0.0042</v>
      </c>
      <c r="N794" t="n">
        <v>0.0303</v>
      </c>
      <c r="O794" t="n">
        <v>0.121</v>
      </c>
    </row>
    <row r="795">
      <c r="A795" t="inlineStr">
        <is>
          <t>jcabi</t>
        </is>
      </c>
      <c r="B795" t="inlineStr">
        <is>
          <t>src/main/java/com/jcabi/github/Reference.java</t>
        </is>
      </c>
      <c r="C795">
        <f>HYPERLINK("https://github.com/jcabi/jcabi-github/blob/master/src/main/java/com/jcabi/github/Reference.java")</f>
        <v/>
      </c>
      <c r="D795" t="inlineStr">
        <is>
          <t>The provided Java code defines an `Reference` interface in the `com.jcabi.github` package. This interface represents a reference to a specific branch or tag within a GitHub repository. It includes methods for accessing the owning repository, the reference's name, retrieving its JSON representation, and updating it with new data through a JSON object. The class is marked as immutable, ensuring that once created, its</t>
        </is>
      </c>
      <c r="E795" t="n">
        <v>0.0034</v>
      </c>
      <c r="F795" t="n">
        <v>0.0541</v>
      </c>
      <c r="G795" t="n">
        <v>0.0741</v>
      </c>
      <c r="H795" t="inlineStr">
        <is>
          <t>Provides a Java interface for interacting with GitHub repositories' references, including methods to retrieve the owning repository, reference name, JSON representation, and update the reference's data through JSON patches.</t>
        </is>
      </c>
      <c r="I795" t="n">
        <v>0.0065</v>
      </c>
      <c r="J795" t="n">
        <v>0.0526</v>
      </c>
      <c r="K795" t="n">
        <v>0.0495</v>
      </c>
      <c r="L795" t="inlineStr">
        <is>
          <t>The `Reference` interface represents a reference to a specific branch or tag in a GitHub repository. It provides methods to retrieve the owning repository, the reference's name, its JSON representation, and to update the reference using a JSON object. The implementation complexity is O(1), as all operations involve constant-time access to properties.</t>
        </is>
      </c>
      <c r="M795" t="n">
        <v>0.0035</v>
      </c>
      <c r="N795" t="n">
        <v>0.0317</v>
      </c>
      <c r="O795" t="n">
        <v>0.121</v>
      </c>
    </row>
    <row r="796">
      <c r="A796" t="inlineStr">
        <is>
          <t>jcabi</t>
        </is>
      </c>
      <c r="B796" t="inlineStr">
        <is>
          <t>src/main/java/com/jcabi/github/RtMilestone.java</t>
        </is>
      </c>
      <c r="C796">
        <f>HYPERLINK("https://github.com/jcabi/jcabi-github/blob/master/src/main/java/com/jcabi/github/RtMilestone.java")</f>
        <v/>
      </c>
      <c r="D796" t="inlineStr">
        <is>
          <t>The provided code defines a Java class `RtMilestone` that represents a milestone in a GitHub repository. It is part of a larger library for interacting with GitHub's API using HTTP requests. The class provides methods to interact with specific milestones within a repository, such as retrieving details about the milestone or updating its status. The implementation uses annotations from libraries like Lombok for immutability and logging,</t>
        </is>
      </c>
      <c r="E796" t="n">
        <v>0.0028</v>
      </c>
      <c r="F796" t="n">
        <v>0.0533</v>
      </c>
      <c r="G796" t="n">
        <v>0.1087</v>
      </c>
      <c r="H796" t="inlineStr">
        <is>
          <t>This repository contains backend software components implementing core algorithms. The complexity is O(N), indicating linear time complexity for certain operations.</t>
        </is>
      </c>
      <c r="I796" t="n">
        <v>0.0127</v>
      </c>
      <c r="J796" t="n">
        <v>0.2759</v>
      </c>
      <c r="K796" t="n">
        <v>0.3431</v>
      </c>
      <c r="L796" t="inlineStr">
        <is>
          <t>This Java class `RtMilestone` represents a milestone in a GitHub repository using HTTP requests. It provides methods to interact with milestones such as retrieving details, updating their status, and managing issues associated with them. The class is immutable and uses logging for debugging purposes.</t>
        </is>
      </c>
      <c r="M796" t="n">
        <v>0.005</v>
      </c>
      <c r="N796" t="n">
        <v>0.0769</v>
      </c>
      <c r="O796" t="n">
        <v>0.1293</v>
      </c>
    </row>
    <row r="797">
      <c r="A797" t="inlineStr">
        <is>
          <t>jcabi</t>
        </is>
      </c>
      <c r="B797" t="inlineStr">
        <is>
          <t>src/main/java/com/jcabi/github/RtBranch.java</t>
        </is>
      </c>
      <c r="C797">
        <f>HYPERLINK("https://github.com/jcabi/jcabi-github/blob/master/src/main/java/com/jcabi/github/RtBranch.java")</f>
        <v/>
      </c>
      <c r="D797" t="inlineStr">
        <is>
          <t>The `RtBranch` class is an immutable representation of a Git branch within a GitHub repository. It encapsulates details such as the API endpoint (`Request`), the owning repository (`Repo`), the name of the branch (`String`), and the SHA hash of the latest commit on that branch (`String`). The class uses Lombok's `@EqualsAndHashCode` annotation to ensure instances with identical</t>
        </is>
      </c>
      <c r="E797" t="n">
        <v>0.0032</v>
      </c>
      <c r="F797" t="n">
        <v>0.0303</v>
      </c>
      <c r="G797" t="n">
        <v>0.0775</v>
      </c>
      <c r="H797" t="inlineStr">
        <is>
          <t>This repository contains backend software components with complexity O(N). The code is implemented to handle core algorithms and includes comments explaining its functionality. The total size of the codebase is 1000 lines.</t>
        </is>
      </c>
      <c r="I797" t="n">
        <v>0.0083</v>
      </c>
      <c r="J797" t="n">
        <v>0.2439</v>
      </c>
      <c r="K797" t="n">
        <v>0.2404</v>
      </c>
      <c r="L797" t="inlineStr">
        <is>
          <t>The `RtBranch` class represents a Git branch within a GitHub repository. It provides methods for interacting with the branch's details such as name, commit hash, and allows retrieval of pull requests associated with that branch. The class is immutable and uses logging for debugging purposes.</t>
        </is>
      </c>
      <c r="M797" t="n">
        <v>0.0041</v>
      </c>
      <c r="N797" t="n">
        <v>0.037</v>
      </c>
      <c r="O797" t="n">
        <v>0.08550000000000001</v>
      </c>
    </row>
    <row r="798">
      <c r="A798" t="inlineStr">
        <is>
          <t>jcabi</t>
        </is>
      </c>
      <c r="B798" t="inlineStr">
        <is>
          <t>src/main/java/com/jcabi/github/RtComments.java</t>
        </is>
      </c>
      <c r="C798">
        <f>HYPERLINK("https://github.com/jcabi/jcabi-github/blob/master/src/main/java/com/jcabi/github/RtComments.java")</f>
        <v/>
      </c>
      <c r="D798" t="inlineStr">
        <is>
          <t>The provided code is a Java implementation for interacting with GitHub's comment system using HTTP requests. It includes classes such as `RtComments` which represents GitHub comments, along with other related classes like `Request`, `JsonResponse`, and `RestResponse`. The code uses annotations from libraries like Jcabi to enhance its functionality, including immutability, logging, and hashcode generation. The complexity</t>
        </is>
      </c>
      <c r="E798" t="n">
        <v>0.0033</v>
      </c>
      <c r="F798" t="n">
        <v>0.09229999999999999</v>
      </c>
      <c r="G798" t="n">
        <v>0.1172</v>
      </c>
      <c r="H798" t="inlineStr">
        <is>
          <t>The repository contains backend software components with complexity O(N), implementing core algorithms. The README provides information about the project's purpose, license, and structure.</t>
        </is>
      </c>
      <c r="I798" t="n">
        <v>0.0109</v>
      </c>
      <c r="J798" t="n">
        <v>0.2424</v>
      </c>
      <c r="K798" t="n">
        <v>0.3322</v>
      </c>
      <c r="L798" t="inlineStr">
        <is>
          <t>This Java library provides a way to interact with GitHub's comment system through HTTP requests. It includes methods for listing, creating, updating, and deleting comments on issues within repositories. The implementation is designed to be immutable and loggable, ensuring thread safety and providing detailed logging during execution. The code size is relatively small at 1000 lines, making it efficient for handling basic interactions with GitHub's</t>
        </is>
      </c>
      <c r="M798" t="n">
        <v>0.0033</v>
      </c>
      <c r="N798" t="n">
        <v>0.08</v>
      </c>
      <c r="O798" t="n">
        <v>0.1095</v>
      </c>
    </row>
    <row r="799">
      <c r="A799" t="inlineStr">
        <is>
          <t>jcabi</t>
        </is>
      </c>
      <c r="B799" t="inlineStr">
        <is>
          <t>src/main/java/com/jcabi/github/Notifications.java</t>
        </is>
      </c>
      <c r="C799">
        <f>HYPERLINK("https://github.com/jcabi/jcabi-github/blob/master/src/main/java/com/jcabi/github/Notifications.java")</f>
        <v/>
      </c>
      <c r="D799" t="inlineStr">
        <is>
          <t>The provided Java code defines an `Notifications` interface that represents the GitHub Notifications API. It includes methods to iterate over all notifications, retrieve a specific notification by its ID, and mark all notifications for a given repository as read. The interface is marked with the `@Immutable` annotation to indicate that it should be immutable once created. This makes it suitable for use in scenarios where data integrity is crucial.</t>
        </is>
      </c>
      <c r="E799" t="n">
        <v>0.0031</v>
      </c>
      <c r="F799" t="n">
        <v>0.026</v>
      </c>
      <c r="G799" t="n">
        <v>0.1064</v>
      </c>
      <c r="H799" t="inlineStr">
        <is>
          <t>Manages backend software components with core algorithm implementations. Complexity is O(N).</t>
        </is>
      </c>
      <c r="I799" t="n">
        <v>0.0224</v>
      </c>
      <c r="J799" t="n">
        <v>0.2</v>
      </c>
      <c r="K799" t="n">
        <v>0.1205</v>
      </c>
      <c r="L799" t="inlineStr">
        <is>
          <t>The `Notifications` interface provides methods for interacting with GitHub's notifications API, allowing users to list, retrieve, and mark notifications related to repositories. It includes methods for iterating over all notifications, retrieving a specific notification by ID, and marking all notifications as read. The implementation is designed to be immutable and follows best practices for code readability and maintainability.</t>
        </is>
      </c>
      <c r="M799" t="n">
        <v>0.0031</v>
      </c>
      <c r="N799" t="n">
        <v>0.0597</v>
      </c>
      <c r="O799" t="n">
        <v>0.0769</v>
      </c>
    </row>
    <row r="800">
      <c r="A800" t="inlineStr">
        <is>
          <t>jcabi</t>
        </is>
      </c>
      <c r="B800" t="inlineStr">
        <is>
          <t>src/main/java/com/jcabi/github/Organizations.java</t>
        </is>
      </c>
      <c r="C800">
        <f>HYPERLINK("https://github.com/jcabi/jcabi-github/blob/master/src/main/java/com/jcabi/github/Organizations.java")</f>
        <v/>
      </c>
      <c r="D800" t="inlineStr">
        <is>
          <t>The provided Java code defines an `Organizations` interface that represents operations related to GitHub organizations. It includes methods for retrieving a specific organization by its login name and iterating over all organizations associated with the currently authenticated user. The class is marked as immutable using the `@Immutable` annotation from the Jcabi library. This design ensures thread safety and immutability of the objects created through this interface.</t>
        </is>
      </c>
      <c r="E800" t="n">
        <v>0.0033</v>
      </c>
      <c r="F800" t="n">
        <v>0.0541</v>
      </c>
      <c r="G800" t="n">
        <v>0.1087</v>
      </c>
      <c r="H800" t="inlineStr">
        <is>
          <t>Manages GitHub organizations and provides methods to retrieve specific organizations by their names or iterate over all organizations for the currently logged-in user.</t>
        </is>
      </c>
      <c r="I800" t="n">
        <v>0.0083</v>
      </c>
      <c r="J800" t="n">
        <v>0.0625</v>
      </c>
      <c r="K800" t="n">
        <v>0.0526</v>
      </c>
      <c r="L800" t="inlineStr">
        <is>
          <t>The `Organizations` interface provides methods for interacting with GitHub organizations, allowing retrieval of specific organizations by their login names and iteration over all organizations associated with the currently authenticated user. The implementation is designed to be immutable and follows best practices for code readability and maintainability.</t>
        </is>
      </c>
      <c r="M800" t="n">
        <v>0.004</v>
      </c>
      <c r="N800" t="n">
        <v>0.0741</v>
      </c>
      <c r="O800" t="n">
        <v>0.0847</v>
      </c>
    </row>
    <row r="801">
      <c r="A801" t="inlineStr">
        <is>
          <t>jcabi</t>
        </is>
      </c>
      <c r="B801" t="inlineStr">
        <is>
          <t>src/main/java/com/jcabi/github/RtForks.java</t>
        </is>
      </c>
      <c r="C801">
        <f>HYPERLINK("https://github.com/jcabi/jcabi-github/blob/master/src/main/java/com/jcabi/github/RtForks.java")</f>
        <v/>
      </c>
      <c r="D801" t="inlineStr">
        <is>
          <t>The provided Java code defines a class `RtForks` that represents GitHub repositories' forks using HTTP requests to interact with the GitHub REST API. It includes methods for listing forks of a specific repository owned by another user or organization. The class is immutable and uses logging aspects for debugging purposes.</t>
        </is>
      </c>
      <c r="E801" t="n">
        <v>0.0037</v>
      </c>
      <c r="F801" t="n">
        <v>0.0345</v>
      </c>
      <c r="G801" t="n">
        <v>0.082</v>
      </c>
      <c r="H801" t="inlineStr">
        <is>
          <t>Manages GitHub repositories' forks.</t>
        </is>
      </c>
      <c r="I801" t="n">
        <v>0</v>
      </c>
      <c r="J801" t="n">
        <v>0</v>
      </c>
      <c r="K801" t="n">
        <v>0</v>
      </c>
      <c r="L801" t="inlineStr">
        <is>
          <t>This Java class provides access to GitHub repositories' forks using RESTful HTTP requests. It includes methods for listing all forks and retrieving specific fork details by ID. The implementation is designed to be immutable and loggable, ensuring thread safety and providing detailed logging for debugging purposes.</t>
        </is>
      </c>
      <c r="M801" t="n">
        <v>0.0048</v>
      </c>
      <c r="N801" t="n">
        <v>0.1111</v>
      </c>
      <c r="O801" t="n">
        <v>0.1695</v>
      </c>
    </row>
    <row r="802">
      <c r="A802" t="inlineStr">
        <is>
          <t>jcabi</t>
        </is>
      </c>
      <c r="B802" t="inlineStr">
        <is>
          <t>src/main/java/com/jcabi/github/Tree.java</t>
        </is>
      </c>
      <c r="C802">
        <f>HYPERLINK("https://github.com/jcabi/jcabi-github/blob/master/src/main/java/com/jcabi/github/Tree.java")</f>
        <v/>
      </c>
      <c r="D802" t="inlineStr">
        <is>
          <t>The provided code defines an `Tree` interface that represents a Git tree object on GitHub. It includes methods to access the repository associated with the tree (`repo()`), retrieve the SHA hash of the tree (`sha()`), and provides JSON-readable capabilities through the `JsonReadable` interface. This interface is part of a larger library for interacting with GitHub repositories using Java.</t>
        </is>
      </c>
      <c r="E802" t="n">
        <v>0.0037</v>
      </c>
      <c r="F802" t="n">
        <v>0.0299</v>
      </c>
      <c r="G802" t="n">
        <v>0.1154</v>
      </c>
      <c r="H802" t="inlineStr">
        <is>
          <t>Provides an immutable interface for representing a Git tree object within a GitHub repository. It includes methods to access the repository and its SHA value. Complexity is O(N), indicating that operations may depend on the number of elements or properties involved.</t>
        </is>
      </c>
      <c r="I802" t="n">
        <v>0.0045</v>
      </c>
      <c r="J802" t="n">
        <v>0.04</v>
      </c>
      <c r="K802" t="n">
        <v>0.0442</v>
      </c>
      <c r="L802" t="inlineStr">
        <is>
          <t>This Java interface `Tree` represents a Git tree object from the GitHub API, providing methods to access the repository associated with the tree, as well as the SHA hash of the tree itself. It is immutable and implements the `JsonReadable` interface for easy JSON serialization.</t>
        </is>
      </c>
      <c r="M802" t="n">
        <v>0.0054</v>
      </c>
      <c r="N802" t="n">
        <v>0.0755</v>
      </c>
      <c r="O802" t="n">
        <v>0.1282</v>
      </c>
    </row>
    <row r="803">
      <c r="A803" t="inlineStr">
        <is>
          <t>jcabi</t>
        </is>
      </c>
      <c r="B803" t="inlineStr">
        <is>
          <t>src/main/java/com/jcabi/github/Search.java</t>
        </is>
      </c>
      <c r="C803">
        <f>HYPERLINK("https://github.com/jcabi/jcabi-github/blob/master/src/main/java/com/jcabi/github/Search.java")</f>
        <v/>
      </c>
      <c r="D803" t="inlineStr">
        <is>
          <t>The provided code defines an `interface` named `Search` within the package `com.jcabi.github`. This interface is designed to interact with the GitHub search API for various types of data such as repositories and issues. It includes methods to perform searches based on specific criteria like keywords, sorting fields, and orders. The class uses annotations like `@Immutable` to ensure that instances cannot be modified after</t>
        </is>
      </c>
      <c r="E803" t="n">
        <v>0.0034</v>
      </c>
      <c r="F803" t="n">
        <v>0.0548</v>
      </c>
      <c r="G803" t="n">
        <v>0.1111</v>
      </c>
      <c r="H803" t="inlineStr">
        <is>
          <t>The repository contains backend software components that implement core algorithms. Complexity is O(N), indicating linear time complexity for operations involving large datasets. Comments provide detailed explanations of the implementation. Initial codebase commit was made. Total code size is 1000 lines.</t>
        </is>
      </c>
      <c r="I803" t="n">
        <v>0.0055</v>
      </c>
      <c r="J803" t="n">
        <v>0.1224</v>
      </c>
      <c r="K803" t="n">
        <v>0.2282</v>
      </c>
      <c r="L803" t="inlineStr">
        <is>
          <t>The `Search` interface provides methods for searching repositories and issues on GitHub using various criteria such as keywords, sorting fields, and orders. It encapsulates the GitHub client (`GitHub`) and exposes functionalities to retrieve repositories and issues based on specified parameters.</t>
        </is>
      </c>
      <c r="M803" t="n">
        <v>0.0046</v>
      </c>
      <c r="N803" t="n">
        <v>0.0833</v>
      </c>
      <c r="O803" t="n">
        <v>0.0893</v>
      </c>
    </row>
    <row r="804">
      <c r="A804" t="inlineStr">
        <is>
          <t>jcabi</t>
        </is>
      </c>
      <c r="B804" t="inlineStr">
        <is>
          <t>src/main/java/com/jcabi/github/Forks.java</t>
        </is>
      </c>
      <c r="C804">
        <f>HYPERLINK("https://github.com/jcabi/jcabi-github/blob/master/src/main/java/com/jcabi/github/Forks.java")</f>
        <v/>
      </c>
      <c r="D804" t="inlineStr">
        <is>
          <t>The provided code defines an `Forks` interface in Java that represents GitHub repositories' forks. It includes methods to retrieve the owner's repository, iterate over all forks with a specified sorting order, and create a new fork for the authenticated user. The implementation uses the Jcabi library for interacting with the GitHub API.</t>
        </is>
      </c>
      <c r="E804" t="n">
        <v>0.0035</v>
      </c>
      <c r="F804" t="n">
        <v>0.0328</v>
      </c>
      <c r="G804" t="n">
        <v>0.121</v>
      </c>
      <c r="H804" t="inlineStr">
        <is>
          <t>Manages GitHub repositories' forks.</t>
        </is>
      </c>
      <c r="I804" t="n">
        <v>0</v>
      </c>
      <c r="J804" t="n">
        <v>0</v>
      </c>
      <c r="K804" t="n">
        <v>0</v>
      </c>
      <c r="L804" t="inlineStr">
        <is>
          <t>The `Forks` interface provides methods to manage repositories' forks on GitHub. It includes operations to retrieve all forks sorted by a specified order and create a new fork under an organization's namespace. The implementation complexity is O(N), where N represents the number of forks being processed.</t>
        </is>
      </c>
      <c r="M804" t="n">
        <v>0.004</v>
      </c>
      <c r="N804" t="n">
        <v>0.0357</v>
      </c>
      <c r="O804" t="n">
        <v>0.0847</v>
      </c>
    </row>
    <row r="805">
      <c r="A805" t="inlineStr">
        <is>
          <t>jcabi</t>
        </is>
      </c>
      <c r="B805" t="inlineStr">
        <is>
          <t>src/main/java/com/jcabi/github/RtSearchPagination.java</t>
        </is>
      </c>
      <c r="C805">
        <f>HYPERLINK("https://github.com/jcabi/jcabi-github/blob/master/src/main/java/com/jcabi/github/RtSearchPagination.java")</f>
        <v/>
      </c>
      <c r="D805" t="inlineStr">
        <is>
          <t>The `RtSearchPagination` class is an immutable implementation of a paginated search feature for GitHub repositories using HTTP requests. It provides methods to iterate over results from a GitHub search query, handling pagination automatically by following the "Link" headers in the response. The class uses reflection to dynamically invoke methods on the returned JSON objects based on their structure. This allows it to handle different types of search results</t>
        </is>
      </c>
      <c r="E805" t="n">
        <v>0.0027</v>
      </c>
      <c r="F805" t="n">
        <v>0.0263</v>
      </c>
      <c r="G805" t="n">
        <v>0.1071</v>
      </c>
      <c r="H805" t="inlineStr">
        <is>
          <t>The repository contains backend software components that implement core algorithms. The complexity is O(N), indicating linear time operations for processing large datasets. Comments describe the implementation details, while commits track the initial creation of the codebase. The total size of the codebase is 1000 lines.</t>
        </is>
      </c>
      <c r="I805" t="n">
        <v>0.0049</v>
      </c>
      <c r="J805" t="n">
        <v>0.1111</v>
      </c>
      <c r="K805" t="n">
        <v>0.1282</v>
      </c>
      <c r="L805" t="inlineStr">
        <is>
          <t>The `RtSearchPagination` class is designed to handle paginated results from GitHub's search API. It provides methods for iterating over search results, allowing developers to efficiently access multiple pages of data without manually managing HTTP requests. The class uses reflection to dynamically invoke methods based on the type parameter `T`, enabling flexibility in handling different types of search results.</t>
        </is>
      </c>
      <c r="M805" t="n">
        <v>0</v>
      </c>
      <c r="N805" t="n">
        <v>0</v>
      </c>
      <c r="O805" t="n">
        <v>0.0385</v>
      </c>
    </row>
    <row r="806">
      <c r="A806" t="inlineStr">
        <is>
          <t>jcabi</t>
        </is>
      </c>
      <c r="B806" t="inlineStr">
        <is>
          <t>src/main/java/com/jcabi/github/StringEnum.java</t>
        </is>
      </c>
      <c r="C806">
        <f>HYPERLINK("https://github.com/jcabi/jcabi-github/blob/master/src/main/java/com/jcabi/github/StringEnum.java")</f>
        <v/>
      </c>
      <c r="D806" t="inlineStr">
        <is>
          <t>The provided Java code defines an immutable `StringEnum` interface with a single method `identifier()` that returns a string representing each enum constant. This is useful for creating enums where each constant corresponds to a specific string value.</t>
        </is>
      </c>
      <c r="E806" t="n">
        <v>0.005</v>
      </c>
      <c r="F806" t="n">
        <v>0.0444</v>
      </c>
      <c r="G806" t="n">
        <v>0.0917</v>
      </c>
      <c r="H806" t="inlineStr">
        <is>
          <t>This repository contains backend software components implementing core algorithms.</t>
        </is>
      </c>
      <c r="I806" t="n">
        <v>0.0316</v>
      </c>
      <c r="J806" t="n">
        <v>0.4706</v>
      </c>
      <c r="K806" t="n">
        <v>0.3897</v>
      </c>
      <c r="L806" t="inlineStr">
        <is>
          <t>This Java interface defines an immutable enumeration where each constant corresponds to a unique string representation. It provides a method `identifier()` to retrieve the string associated with each enum value.</t>
        </is>
      </c>
      <c r="M806" t="n">
        <v>0.0062</v>
      </c>
      <c r="N806" t="n">
        <v>0.0526</v>
      </c>
      <c r="O806" t="n">
        <v>0.049</v>
      </c>
    </row>
    <row r="807">
      <c r="A807" t="inlineStr">
        <is>
          <t>jcabi</t>
        </is>
      </c>
      <c r="B807" t="inlineStr">
        <is>
          <t>src/main/java/com/jcabi/github/Branch.java</t>
        </is>
      </c>
      <c r="C807">
        <f>HYPERLINK("https://github.com/jcabi/jcabi-github/blob/master/src/main/java/com/jcabi/github/Branch.java")</f>
        <v/>
      </c>
      <c r="D807" t="inlineStr">
        <is>
          <t>The `Branch` interface represents a Git branch within a GitHub repository. It provides methods to access the repository it belongs to, the name of the branch, and the commit it is pointing to. This interface is part of a larger library for interacting with GitHub repositories using Java.</t>
        </is>
      </c>
      <c r="E807" t="n">
        <v>0.0045</v>
      </c>
      <c r="F807" t="n">
        <v>0.0357</v>
      </c>
      <c r="G807" t="n">
        <v>0.125</v>
      </c>
      <c r="H807" t="inlineStr">
        <is>
          <t>The code defines an `Branch` interface with methods for accessing information about branches in a GitHub repository, including the repository it belongs to, the branch's name, and the commit it is pointing to. It uses the Jcabi library for interacting with GitHub APIs.</t>
        </is>
      </c>
      <c r="I807" t="n">
        <v>0.0043</v>
      </c>
      <c r="J807" t="n">
        <v>0.0385</v>
      </c>
      <c r="K807" t="n">
        <v>0.08699999999999999</v>
      </c>
      <c r="L807" t="inlineStr">
        <is>
          <t>The `Branch` interface represents a branch within a GitHub repository. It provides methods to access the repository where the branch resides (`repo()`), the name of the branch itself (`name()`), and the commit at which the branch is pointing (`commit()`) using the GitHub REST API.</t>
        </is>
      </c>
      <c r="M807" t="n">
        <v>0.0042</v>
      </c>
      <c r="N807" t="n">
        <v>0.0385</v>
      </c>
      <c r="O807" t="n">
        <v>0.0862</v>
      </c>
    </row>
    <row r="808">
      <c r="A808" t="inlineStr">
        <is>
          <t>jcabi</t>
        </is>
      </c>
      <c r="B808" t="inlineStr">
        <is>
          <t>src/main/java/com/jcabi/github/RtFileChange.java</t>
        </is>
      </c>
      <c r="C808">
        <f>HYPERLINK("https://github.com/jcabi/jcabi-github/blob/master/src/main/java/com/jcabi/github/RtFileChange.java")</f>
        <v/>
      </c>
      <c r="D808" t="inlineStr">
        <is>
          <t>The `RtFileChange` class is a simple implementation that encapsulates a file change represented as a JSON object. It provides methods to access the underlying JSON data using the `json()` method. The class uses Lombok annotations for builder-style constructors and equals/hashcode/toString implementations. This class is part of a larger library designed to interact with GitHub repositories.</t>
        </is>
      </c>
      <c r="E808" t="n">
        <v>0.004</v>
      </c>
      <c r="F808" t="n">
        <v>0.0606</v>
      </c>
      <c r="G808" t="n">
        <v>0.1575</v>
      </c>
      <c r="H808" t="inlineStr">
        <is>
          <t>The code defines a Java class `RtFileChange` that encapsulates file change information using a JSON object. It provides methods to access the JSON data. The complexity is O(N), where N is the size of the JSON object.</t>
        </is>
      </c>
      <c r="I808" t="n">
        <v>0</v>
      </c>
      <c r="J808" t="n">
        <v>0</v>
      </c>
      <c r="K808" t="n">
        <v>0.0459</v>
      </c>
      <c r="L808" t="inlineStr">
        <is>
          <t>This Java class `RtFileChange` encapsulates a GitHub file change represented as a JSON object. It provides methods to access the JSON data associated with the file change, which is useful for processing changes made to files within repositories using the JCabi library. The class uses Lombok annotations for automatic generation of equals, hashCode, and toString methods, enhancing code readability and maintainability.</t>
        </is>
      </c>
      <c r="M808" t="n">
        <v>0.0036</v>
      </c>
      <c r="N808" t="n">
        <v>0.058</v>
      </c>
      <c r="O808" t="n">
        <v>0.1128</v>
      </c>
    </row>
    <row r="809">
      <c r="A809" t="inlineStr">
        <is>
          <t>jcabi</t>
        </is>
      </c>
      <c r="B809" t="inlineStr">
        <is>
          <t>src/main/java/com/jcabi/github/RtFork.java</t>
        </is>
      </c>
      <c r="C809">
        <f>HYPERLINK("https://github.com/jcabi/jcabi-github/blob/master/src/main/java/com/jcabi/github/RtFork.java")</f>
        <v/>
      </c>
      <c r="D809" t="inlineStr">
        <is>
          <t>The provided Java code defines a class `RtFork` that represents a fork in a GitHub repository. It uses HTTP requests to interact with the GitHub API. The class is immutable and includes logging for debugging purposes. The constructor takes a `Request`, a `Repo` object representing the repository, and an integer number as parameters. This setup allows for creating instances of `RtFork`</t>
        </is>
      </c>
      <c r="E809" t="n">
        <v>0.0036</v>
      </c>
      <c r="F809" t="n">
        <v>0.029</v>
      </c>
      <c r="G809" t="n">
        <v>0.1128</v>
      </c>
      <c r="H809" t="inlineStr">
        <is>
          <t>This repository contains backend software components with complexity O(N), implementing core algorithms. The commits include an initial codebase commit. The total size of the code is 1000 lines.</t>
        </is>
      </c>
      <c r="I809" t="n">
        <v>0.008800000000000001</v>
      </c>
      <c r="J809" t="n">
        <v>0.2162</v>
      </c>
      <c r="K809" t="n">
        <v>0.3156</v>
      </c>
      <c r="L809" t="inlineStr">
        <is>
          <t>The `RtFork` class is an immutable representation of a GitHub fork, encapsulating a RESTful request and a fork number. It provides methods for interacting with the fork's details through HTTP requests. The class uses the Jcabi library for aspect-oriented programming and logging, ensuring that all interactions with the GitHub API are handled efficiently and loggable.</t>
        </is>
      </c>
      <c r="M809" t="n">
        <v>0.0033</v>
      </c>
      <c r="N809" t="n">
        <v>0.0308</v>
      </c>
      <c r="O809" t="n">
        <v>0.07870000000000001</v>
      </c>
    </row>
    <row r="810">
      <c r="A810" t="inlineStr">
        <is>
          <t>jcabi</t>
        </is>
      </c>
      <c r="B810" t="inlineStr">
        <is>
          <t>src/main/java/com/jcabi/github/RtCommit.java</t>
        </is>
      </c>
      <c r="C810">
        <f>HYPERLINK("https://github.com/jcabi/jcabi-github/blob/master/src/main/java/com/jcabi/github/RtCommit.java")</f>
        <v/>
      </c>
      <c r="D810" t="inlineStr">
        <is>
          <t>The provided code defines a `RtCommit` class that represents a commit in a GitHub repository using HTTP requests. It includes fields for the RESTful request, the repository owner, and the commit SHA hash. The class is immutable and uses logging to debug operations. It also provides methods to interact with the commit data through the HTTP request.</t>
        </is>
      </c>
      <c r="E810" t="n">
        <v>0.0032</v>
      </c>
      <c r="F810" t="n">
        <v>0.0308</v>
      </c>
      <c r="G810" t="n">
        <v>0.0775</v>
      </c>
      <c r="H810" t="inlineStr">
        <is>
          <t>The repository contains backend software components with complexity O(N), implementing core algorithms. The README provides information about the project's purpose, license, and structure.</t>
        </is>
      </c>
      <c r="I810" t="n">
        <v>0.0109</v>
      </c>
      <c r="J810" t="n">
        <v>0.2424</v>
      </c>
      <c r="K810" t="n">
        <v>0.3322</v>
      </c>
      <c r="L810" t="inlineStr">
        <is>
          <t>This Java class represents a GitHub commit using HTTP requests. It encapsulates the necessary data such as the request object, repository owner, and commit hash. The class provides methods to interact with the GitHub API for retrieving commit details, including author name, date, message, and URL. The `RtCommit` class is immutable and uses logging for debugging purposes.</t>
        </is>
      </c>
      <c r="M810" t="n">
        <v>0.0038</v>
      </c>
      <c r="N810" t="n">
        <v>0.0615</v>
      </c>
      <c r="O810" t="n">
        <v>0.1163</v>
      </c>
    </row>
    <row r="811">
      <c r="A811" t="inlineStr">
        <is>
          <t>jcabi</t>
        </is>
      </c>
      <c r="B811" t="inlineStr">
        <is>
          <t>src/main/java/com/jcabi/github/RtReference.java</t>
        </is>
      </c>
      <c r="C811">
        <f>HYPERLINK("https://github.com/jcabi/jcabi-github/blob/master/src/main/java/com/jcabi/github/RtReference.java")</f>
        <v/>
      </c>
      <c r="D811" t="inlineStr">
        <is>
          <t>The provided code defines a `RtReference` class that represents a Git reference in a GitHub repository. It uses HTTP requests to interact with the GitHub API. The class is immutable and includes logging for debugging purposes. It has fields for the RESTful request, the repository owner, and the reference's name. The constructor initializes these fields, and the class provides methods to retrieve information about the reference such</t>
        </is>
      </c>
      <c r="E811" t="n">
        <v>0.0027</v>
      </c>
      <c r="F811" t="n">
        <v>0.0263</v>
      </c>
      <c r="G811" t="n">
        <v>0.07190000000000001</v>
      </c>
      <c r="H811" t="inlineStr">
        <is>
          <t>Manages GitHub references with RESTful requests.</t>
        </is>
      </c>
      <c r="I811" t="n">
        <v>0</v>
      </c>
      <c r="J811" t="n">
        <v>0</v>
      </c>
      <c r="K811" t="n">
        <v>0</v>
      </c>
      <c r="L811" t="inlineStr">
        <is>
          <t>This Java class `RtReference` is part of a library for interacting with GitHub repositories. It represents a specific reference within a repository, such as a branch or tag. The class uses HTTP requests to communicate with the GitHub API, leveraging the `Request`, `Repo`, and `JsonObject` classes from the same library. The class is immutable and includes logging annotations for debugging purposes. It provides methods</t>
        </is>
      </c>
      <c r="M811" t="n">
        <v>0.0034</v>
      </c>
      <c r="N811" t="n">
        <v>0.0556</v>
      </c>
      <c r="O811" t="n">
        <v>0.1103</v>
      </c>
    </row>
    <row r="812">
      <c r="A812" t="inlineStr">
        <is>
          <t>jcabi</t>
        </is>
      </c>
      <c r="B812" t="inlineStr">
        <is>
          <t>src/main/java/com/jcabi/github/DeployKeys.java</t>
        </is>
      </c>
      <c r="C812">
        <f>HYPERLINK("https://github.com/jcabi/jcabi-github/blob/master/src/main/java/com/jcabi/github/DeployKeys.java")</f>
        <v/>
      </c>
      <c r="D812" t="inlineStr">
        <is>
          <t>The provided Java code defines an `DeployKeys` interface that represents GitHub deploy keys for a specific repository. It includes methods to retrieve all deploy keys, find a specific one by its ID, create a new deploy key, and access the owner's repository information. The class is marked as immutable, ensuring thread safety. This interface is part of a larger library designed to interact with GitHub repositories through their REST</t>
        </is>
      </c>
      <c r="E812" t="n">
        <v>0.0031</v>
      </c>
      <c r="F812" t="n">
        <v>0.0256</v>
      </c>
      <c r="G812" t="n">
        <v>0.1064</v>
      </c>
      <c r="H812" t="inlineStr">
        <is>
          <t>Manages GitHub deploy keys for repositories.</t>
        </is>
      </c>
      <c r="I812" t="n">
        <v>0</v>
      </c>
      <c r="J812" t="n">
        <v>0</v>
      </c>
      <c r="K812" t="n">
        <v>0</v>
      </c>
      <c r="L812" t="inlineStr">
        <is>
          <t>The `DeployKeys` interface provides methods for managing deployment keys associated with a GitHub repository. It allows retrieval of all deploy keys, access to individual keys by their ID, and creation of new deploy keys. The implementation is immutable and leverages Aspects for immutability guarantees.</t>
        </is>
      </c>
      <c r="M812" t="n">
        <v>0.0042</v>
      </c>
      <c r="N812" t="n">
        <v>0.0769</v>
      </c>
      <c r="O812" t="n">
        <v>0.0862</v>
      </c>
    </row>
    <row r="813">
      <c r="A813" t="inlineStr">
        <is>
          <t>jcabi</t>
        </is>
      </c>
      <c r="B813" t="inlineStr">
        <is>
          <t>src/main/java/com/jcabi/github/RtComment.java</t>
        </is>
      </c>
      <c r="C813">
        <f>HYPERLINK("https://github.com/jcabi/jcabi-github/blob/master/src/main/java/com/jcabi/github/RtComment.java")</f>
        <v/>
      </c>
      <c r="D813" t="inlineStr">
        <is>
          <t>The provided code defines a Java class `RtComment` that represents a comment on a GitHub issue. It uses the Jcabi library to interact with the GitHub API. The class is immutable and includes logging for debugging purposes. It encapsulates the necessary fields such as the RESTful request, the issue it belongs to, and its number. The `CONTENT` constant holds the key used for accessing</t>
        </is>
      </c>
      <c r="E813" t="n">
        <v>0.0028</v>
      </c>
      <c r="F813" t="n">
        <v>0.0278</v>
      </c>
      <c r="G813" t="n">
        <v>0.0735</v>
      </c>
      <c r="H813" t="inlineStr">
        <is>
          <t>The code is a Java implementation of a GitHub comment system using Jcabi library for HTTP requests. It includes methods to retrieve comments from an issue on GitHub and log debug information. The complexity is high due to handling multiple API calls and JSON parsing.</t>
        </is>
      </c>
      <c r="I813" t="n">
        <v>0.0041</v>
      </c>
      <c r="J813" t="n">
        <v>0.0755</v>
      </c>
      <c r="K813" t="n">
        <v>0.1282</v>
      </c>
      <c r="L813" t="inlineStr">
        <is>
          <t>The `RtComment` class represents a GitHub comment within an issue using HTTP requests. It provides methods for retrieving and updating comments, adhering to immutable design principles and logging for debugging purposes. The class is part of a larger library for interacting with GitHub repositories through RESTful APIs.</t>
        </is>
      </c>
      <c r="M813" t="n">
        <v>0.0039</v>
      </c>
      <c r="N813" t="n">
        <v>0.0364</v>
      </c>
      <c r="O813" t="n">
        <v>0.08400000000000001</v>
      </c>
    </row>
    <row r="814">
      <c r="A814" t="inlineStr">
        <is>
          <t>jcabi</t>
        </is>
      </c>
      <c r="B814" t="inlineStr">
        <is>
          <t>src/main/java/com/jcabi/github/RtStatus.java</t>
        </is>
      </c>
      <c r="C814">
        <f>HYPERLINK("https://github.com/jcabi/jcabi-github/blob/master/src/main/java/com/jcabi/github/RtStatus.java")</f>
        <v/>
      </c>
      <c r="D814" t="inlineStr">
        <is>
          <t>The provided code defines a Java class `RtStatus` that represents a GitHub commit status. It is immutable and uses logging for debugging purposes. The class encapsulates a commit and its associated status information in JSON format. The constructor initializes these properties, and the `json()` method returns the JSON representation of the status. This class is part of a larger system designed to interact with GitHub repositories using REST</t>
        </is>
      </c>
      <c r="E814" t="n">
        <v>0.0032</v>
      </c>
      <c r="F814" t="n">
        <v>0.0263</v>
      </c>
      <c r="G814" t="n">
        <v>0.1071</v>
      </c>
      <c r="H814" t="inlineStr">
        <is>
          <t>This repository contains backend software components with complex implementations of core algorithms. The complexity is measured as O(N), indicating linear time complexity for certain operations. The code size is 1000 lines, which suggests it includes multiple modules or features.</t>
        </is>
      </c>
      <c r="I814" t="n">
        <v>0.0062</v>
      </c>
      <c r="J814" t="n">
        <v>0.1667</v>
      </c>
      <c r="K814" t="n">
        <v>0.2252</v>
      </c>
      <c r="L814" t="inlineStr">
        <is>
          <t>The `RtStatus` class represents a GitHub commit status, encapsulating both the associated commit and its JSON representation. It provides methods for retrieving the JSON data and is designed to be immutable and loggable. The class uses Lombok annotations for immutability and logging purposes.</t>
        </is>
      </c>
      <c r="M814" t="n">
        <v>0.0043</v>
      </c>
      <c r="N814" t="n">
        <v>0.0392</v>
      </c>
      <c r="O814" t="n">
        <v>0.08699999999999999</v>
      </c>
    </row>
    <row r="815">
      <c r="A815" t="inlineStr">
        <is>
          <t>jcabi</t>
        </is>
      </c>
      <c r="B815" t="inlineStr">
        <is>
          <t>src/main/java/com/jcabi/github/Repos.java</t>
        </is>
      </c>
      <c r="C815">
        <f>HYPERLINK("https://github.com/jcabi/jcabi-github/blob/master/src/main/java/com/jcabi/github/Repos.java")</f>
        <v/>
      </c>
      <c r="D815" t="inlineStr">
        <is>
          <t>The provided Java code defines an interface `Repos` that represents the GitHub Repository API. It includes methods to interact with repositories owned by a specific GitHub account. The class uses annotations like `@Immutable`, `@Loggable`, and `@ToString` from the Lombok library to enhance immutability, logging, and string representation respectively. The class also utilizes Google Guava's `Optional`</t>
        </is>
      </c>
      <c r="E815" t="n">
        <v>0.0033</v>
      </c>
      <c r="F815" t="n">
        <v>0.0312</v>
      </c>
      <c r="G815" t="n">
        <v>0.07870000000000001</v>
      </c>
      <c r="H815" t="inlineStr">
        <is>
          <t>The repository contains backend software components with complexity O(N), implementing core algorithms. The README provides information about the project's purpose, including that it contains backend software components.</t>
        </is>
      </c>
      <c r="I815" t="n">
        <v>0.0083</v>
      </c>
      <c r="J815" t="n">
        <v>0.1622</v>
      </c>
      <c r="K815" t="n">
        <v>0.2581</v>
      </c>
      <c r="L815" t="inlineStr">
        <is>
          <t>The `Repos` interface provides methods to interact with GitHub repositories, including retrieving the owner's GitHub instance, creating a new repository with specified settings, fetching repository details by name, and more. It uses Google Guava's `Optional`, Lombok annotations for immutability and logging, and Jakarta JSON for handling JSON data. The implementation complexity is O(N), as it involves multiple HTTP requests and</t>
        </is>
      </c>
      <c r="M815" t="n">
        <v>0.003</v>
      </c>
      <c r="N815" t="n">
        <v>0.0563</v>
      </c>
      <c r="O815" t="n">
        <v>0.1136</v>
      </c>
    </row>
    <row r="816">
      <c r="A816" t="inlineStr">
        <is>
          <t>jcabi</t>
        </is>
      </c>
      <c r="B816" t="inlineStr">
        <is>
          <t>src/main/java/com/jcabi/github/GistComment.java</t>
        </is>
      </c>
      <c r="C816">
        <f>HYPERLINK("https://github.com/jcabi/jcabi-github/blob/master/src/main/java/com/jcabi/github/GistComment.java")</f>
        <v/>
      </c>
      <c r="D816" t="inlineStr">
        <is>
          <t>The provided code defines a class `GistComment` within the package `com.jcabi.github`. This class represents a comment on a GitHub gist and provides methods for reading its details in JSON format. It includes annotations such as `@Immutable`, `@Loggable`, and `@ToString` from the Lombok library to ensure immutability, logging, and string representation, respectively. The</t>
        </is>
      </c>
      <c r="E816" t="n">
        <v>0.0042</v>
      </c>
      <c r="F816" t="n">
        <v>0.0645</v>
      </c>
      <c r="G816" t="n">
        <v>0.121</v>
      </c>
      <c r="H816" t="inlineStr">
        <is>
          <t>This repository contains backend software components with complexity O(N), implementing core algorithms. The README provides information about the repository's content, including comments on implementation and commits. The total size of the code is 1000 lines.</t>
        </is>
      </c>
      <c r="I816" t="n">
        <v>0.0075</v>
      </c>
      <c r="J816" t="n">
        <v>0.2222</v>
      </c>
      <c r="K816" t="n">
        <v>0.2336</v>
      </c>
      <c r="L816" t="inlineStr">
        <is>
          <t>The code defines a `GistComment` class within the `com.jcabi.github` package, implementing the `JsonReadable` interface. It provides methods for accessing various properties of a gist comment, such as its ID, URL, creation date, and author's login. The class uses Lombok annotations for immutability and logging, enhancing code readability and maintainability.</t>
        </is>
      </c>
      <c r="M816" t="n">
        <v>0.0037</v>
      </c>
      <c r="N816" t="n">
        <v>0.0667</v>
      </c>
      <c r="O816" t="n">
        <v>0.1653</v>
      </c>
    </row>
    <row r="817">
      <c r="A817" t="inlineStr">
        <is>
          <t>jcabi</t>
        </is>
      </c>
      <c r="B817" t="inlineStr">
        <is>
          <t>src/main/java/com/jcabi/github/package-info.java</t>
        </is>
      </c>
      <c r="C817">
        <f>HYPERLINK("https://github.com/jcabi/jcabi-github/blob/master/src/main/java/com/jcabi/github/package-info.java")</f>
        <v/>
      </c>
      <c r="D817" t="inlineStr">
        <is>
          <t>The provided code is a set of libraries designed to interact with the GitHub API using object-oriented principles. It includes dependencies such as `javax.json` and `java.util.Map`, and it follows specific design conventions related to JSON inputs and various data structures like maps and strings. The complexity of the implementation is O(N), indicating linear time complexity, and the comments provide details about the core algorithms used. The</t>
        </is>
      </c>
      <c r="E817" t="n">
        <v>0.0033</v>
      </c>
      <c r="F817" t="n">
        <v>0.0506</v>
      </c>
      <c r="G817" t="n">
        <v>0.1449</v>
      </c>
      <c r="H817" t="inlineStr">
        <is>
          <t>The repository contains backend software components that implement core algorithms. The complexity of these implementations is O(N), indicating linear time complexity with respect to the size of the input data. The code base has been initialized with an initial codebase commit.</t>
        </is>
      </c>
      <c r="I817" t="n">
        <v>0.0054</v>
      </c>
      <c r="J817" t="n">
        <v>0.12</v>
      </c>
      <c r="K817" t="n">
        <v>0.1327</v>
      </c>
      <c r="L817" t="inlineStr">
        <is>
          <t>This Java-based library provides an object-oriented interface to interact with the GitHub REST API, allowing developers to perform various operations such as managing repositories, issues, pull requests, deployments, and more. It supports different data structures like `JsonObject` and `Map`, providing flexibility in how users can pass parameters to methods. The library includes dependencies from jcabi.com and follows specific design conventions for handling JSON objects,</t>
        </is>
      </c>
      <c r="M817" t="n">
        <v>0.0034</v>
      </c>
      <c r="N817" t="n">
        <v>0.0533</v>
      </c>
      <c r="O817" t="n">
        <v>0.0735</v>
      </c>
    </row>
    <row r="818">
      <c r="A818" t="inlineStr">
        <is>
          <t>jcabi</t>
        </is>
      </c>
      <c r="B818" t="inlineStr">
        <is>
          <t>src/main/java/com/jcabi/github/RtTag.java</t>
        </is>
      </c>
      <c r="C818">
        <f>HYPERLINK("https://github.com/jcabi/jcabi-github/blob/master/src/main/java/com/jcabi/github/RtTag.java")</f>
        <v/>
      </c>
      <c r="D818" t="inlineStr">
        <is>
          <t>The provided code defines a `RtTag` class that represents a Git tag in the context of the Jcabi-Github library. It provides methods to interact with tags within repositories on GitHub using HTTP requests. Key functionalities include retrieving information about a specific tag by its SHA hash, listing all tags for a given repository, and creating new tags. The class is immutable and uses logging aspects for debugging</t>
        </is>
      </c>
      <c r="E818" t="n">
        <v>0.0027</v>
      </c>
      <c r="F818" t="n">
        <v>0.0526</v>
      </c>
      <c r="G818" t="n">
        <v>0.07190000000000001</v>
      </c>
      <c r="H818" t="inlineStr">
        <is>
          <t>This repository contains backend software components that implement core algorithms.</t>
        </is>
      </c>
      <c r="I818" t="n">
        <v>0.0278</v>
      </c>
      <c r="J818" t="n">
        <v>0.4444</v>
      </c>
      <c r="K818" t="n">
        <v>0.3849</v>
      </c>
      <c r="L818" t="inlineStr">
        <is>
          <t>This Java class `RtTag` represents a GitHub tag using HTTP requests. It provides methods to retrieve details about a specific tag within a given repository. The class is immutable and uses logging for debugging purposes. The constructor initializes the necessary fields such as the request object, repository, and tag SHA.</t>
        </is>
      </c>
      <c r="M818" t="n">
        <v>0.0044</v>
      </c>
      <c r="N818" t="n">
        <v>0.06900000000000001</v>
      </c>
      <c r="O818" t="n">
        <v>0.123</v>
      </c>
    </row>
    <row r="819">
      <c r="A819" t="inlineStr">
        <is>
          <t>jcabi</t>
        </is>
      </c>
      <c r="B819" t="inlineStr">
        <is>
          <t>src/main/java/com/jcabi/github/Coordinates.java</t>
        </is>
      </c>
      <c r="C819">
        <f>HYPERLINK("https://github.com/jcabi/jcabi-github/blob/master/src/main/java/com/jcabi/github/Coordinates.java")</f>
        <v/>
      </c>
      <c r="D819" t="inlineStr">
        <is>
          <t>The provided Java code defines an immutable `Coordinates` interface representing GitHub repository identifiers with methods to retrieve the username (`user()`) and repository name (`repo()`). It also includes a simple implementation of this interface called `Simple`, which stores these values as instance variables. The code is part of a larger project that focuses on backend software components, has a complexity of O(N), and includes comments explaining its</t>
        </is>
      </c>
      <c r="E819" t="n">
        <v>0.0033</v>
      </c>
      <c r="F819" t="n">
        <v>0.08</v>
      </c>
      <c r="G819" t="n">
        <v>0.1812</v>
      </c>
      <c r="H819" t="inlineStr">
        <is>
          <t>Manages repository coordinates with methods to retrieve user and repository names. Uses Apache Commons Lang for builder pattern comparison. Implements Jcabi http for HTTP interactions. Complexity is O(N).</t>
        </is>
      </c>
      <c r="I819" t="n">
        <v>0.0067</v>
      </c>
      <c r="J819" t="n">
        <v>0.0541</v>
      </c>
      <c r="K819" t="n">
        <v>0.15</v>
      </c>
      <c r="L819" t="inlineStr">
        <is>
          <t>The `Coordinates` interface represents the unique identifier for a GitHub repository, consisting of a username and a repository name separated by slashes. The `Simple` class is an immutable implementation that provides methods to retrieve these identifiers. The code uses Apache Commons Lang's `CompareToBuilder` for comparison purposes.</t>
        </is>
      </c>
      <c r="M819" t="n">
        <v>0.004</v>
      </c>
      <c r="N819" t="n">
        <v>0.0364</v>
      </c>
      <c r="O819" t="n">
        <v>0.1271</v>
      </c>
    </row>
    <row r="820">
      <c r="A820" t="inlineStr">
        <is>
          <t>jcabi</t>
        </is>
      </c>
      <c r="B820" t="inlineStr">
        <is>
          <t>src/main/java/com/jcabi/github/RtIssueLabels.java</t>
        </is>
      </c>
      <c r="C820">
        <f>HYPERLINK("https://github.com/jcabi/jcabi-github/blob/master/src/main/java/com/jcabi/github/RtIssueLabels.java")</f>
        <v/>
      </c>
      <c r="D820" t="inlineStr">
        <is>
          <t>The provided code defines a Java class `RtIssueLabels` that implements the `IssueLabels` interface from the `com.jcabi.github` package. This class is responsible for retrieving labels associated with a specific GitHub issue using HTTP requests. The implementation uses the Jcabi library for handling HTTP responses and JSON parsing. The class includes methods to fetch all labels for a given issue and log debug</t>
        </is>
      </c>
      <c r="E820" t="n">
        <v>0.0039</v>
      </c>
      <c r="F820" t="n">
        <v>0.08450000000000001</v>
      </c>
      <c r="G820" t="n">
        <v>0.1504</v>
      </c>
      <c r="H820" t="inlineStr">
        <is>
          <t>The repository contains backend software components with complexity O(N), implementing core algorithms. The README provides information about the project's purpose and structure.</t>
        </is>
      </c>
      <c r="I820" t="n">
        <v>0.0114</v>
      </c>
      <c r="J820" t="n">
        <v>0.25</v>
      </c>
      <c r="K820" t="n">
        <v>0.3358</v>
      </c>
      <c r="L820" t="inlineStr">
        <is>
          <t>The `RtIssueLabels` class provides a method to retrieve all labels associated with a specific GitHub issue using HTTP requests. It uses the Jcabi library for handling HTTP responses and JSON parsing. The class is immutable and includes logging annotations for debugging purposes.</t>
        </is>
      </c>
      <c r="M820" t="n">
        <v>0.0044</v>
      </c>
      <c r="N820" t="n">
        <v>0.04</v>
      </c>
      <c r="O820" t="n">
        <v>0.0877</v>
      </c>
    </row>
    <row r="821">
      <c r="A821" t="inlineStr">
        <is>
          <t>jcabi</t>
        </is>
      </c>
      <c r="B821" t="inlineStr">
        <is>
          <t>src/main/java/com/jcabi/github/RtGitHub.java</t>
        </is>
      </c>
      <c r="C821">
        <f>HYPERLINK("https://github.com/jcabi/jcabi-github/blob/master/src/main/java/com/jcabi/github/RtGitHub.java")</f>
        <v/>
      </c>
      <c r="D821" t="inlineStr">
        <is>
          <t>The provided Java code defines a `GitHub` class that serves as a client for interacting with the GitHub REST API. It uses Apache HTTP Client to make requests and handles JSON responses. The class provides methods to access repositories, issues, pull requests, etc., using a token-based authentication mechanism. The implementation includes logging and aspect-oriented programming annotations for better maintainability and performance optimization.</t>
        </is>
      </c>
      <c r="E821" t="n">
        <v>0.0029</v>
      </c>
      <c r="F821" t="n">
        <v>0.0556</v>
      </c>
      <c r="G821" t="n">
        <v>0.1119</v>
      </c>
      <c r="H821" t="inlineStr">
        <is>
          <t>The code provides a GitHub client for interacting with the GitHub REST API using HTTP requests. It includes methods for creating repositories, managing issues, and other operations related to GitHub projects. The complexity is high due to its extensive functionality and integration with various GitHub features.</t>
        </is>
      </c>
      <c r="I821" t="n">
        <v>0.008500000000000001</v>
      </c>
      <c r="J821" t="n">
        <v>0.0741</v>
      </c>
      <c r="K821" t="n">
        <v>0.1589</v>
      </c>
      <c r="L821" t="inlineStr">
        <is>
          <t>This Java class provides a high-level interface for interacting with the GitHub REST API using HTTP requests. It includes methods for managing repositories, issues, pull requests, and other resources. The `RtGitHub` class uses Apache HttpClient under the hood for making HTTP requests and handles JSON responses. The class is designed to be immutable and loggable, ensuring thread safety and providing detailed logging during operation.</t>
        </is>
      </c>
      <c r="M821" t="n">
        <v>0.0034</v>
      </c>
      <c r="N821" t="n">
        <v>0.0548</v>
      </c>
      <c r="O821" t="n">
        <v>0.1103</v>
      </c>
    </row>
    <row r="822">
      <c r="A822" t="inlineStr">
        <is>
          <t>jcabi</t>
        </is>
      </c>
      <c r="B822" t="inlineStr">
        <is>
          <t>src/main/java/com/jcabi/github/PublicKeys.java</t>
        </is>
      </c>
      <c r="C822">
        <f>HYPERLINK("https://github.com/jcabi/jcabi-github/blob/master/src/main/java/com/jcabi/github/PublicKeys.java")</f>
        <v/>
      </c>
      <c r="D822" t="inlineStr">
        <is>
          <t>The provided code defines an `PublicKeys` interface for interacting with GitHub's public keys API. It includes methods to retrieve all public keys associated with a user, access a specific public key by its ID, and create a new public key. The class is marked as immutable, ensuring that once created, it cannot be modified. This interface is part of a larger system designed to interact with GitHub repositories through</t>
        </is>
      </c>
      <c r="E822" t="n">
        <v>0.0031</v>
      </c>
      <c r="F822" t="n">
        <v>0.0256</v>
      </c>
      <c r="G822" t="n">
        <v>0.1064</v>
      </c>
      <c r="H822" t="inlineStr">
        <is>
          <t>The provided code is a Java implementation of a GitHub public keys service using the JCabi library. It includes methods for interacting with GitHub's public keys API, such as listing all public keys, retrieving a specific public key by its ID, and creating a new public key. The class is marked as immutable and uses annotations from the JCabi library to enhance performance and thread safety.</t>
        </is>
      </c>
      <c r="I822" t="n">
        <v>0.0028</v>
      </c>
      <c r="J822" t="n">
        <v>0.0533</v>
      </c>
      <c r="K822" t="n">
        <v>0.1087</v>
      </c>
      <c r="L822" t="inlineStr">
        <is>
          <t>The `PublicKeys` interface provides methods for managing public keys associated with a GitHub user account. It includes functionalities to retrieve all public keys, fetch a specific key by its ID, and create new public keys. The implementation is designed to be immutable and follows best practices for code readability and maintainability.</t>
        </is>
      </c>
      <c r="M822" t="n">
        <v>0.0036</v>
      </c>
      <c r="N822" t="n">
        <v>0.0678</v>
      </c>
      <c r="O822" t="n">
        <v>0.122</v>
      </c>
    </row>
    <row r="823">
      <c r="A823" t="inlineStr">
        <is>
          <t>jcabi</t>
        </is>
      </c>
      <c r="B823" t="inlineStr">
        <is>
          <t>src/main/java/com/jcabi/github/RtPublicKey.java</t>
        </is>
      </c>
      <c r="C823">
        <f>HYPERLINK("https://github.com/jcabi/jcabi-github/blob/master/src/main/java/com/jcabi/github/RtPublicKey.java")</f>
        <v/>
      </c>
      <c r="D823" t="inlineStr">
        <is>
          <t>The provided code is for a Java library that interacts with the GitHub API to manage public keys associated with users or organizations. It includes classes such as `RtPublicKey` which represents a specific public key on GitHub, along with other related classes like `User`. The code uses annotations from the JCabi framework for immutability and logging purposes. The complexity of the implementation is O(N), indicating it</t>
        </is>
      </c>
      <c r="E823" t="n">
        <v>0.0028</v>
      </c>
      <c r="F823" t="n">
        <v>0.0267</v>
      </c>
      <c r="G823" t="n">
        <v>0.1087</v>
      </c>
      <c r="H823" t="inlineStr">
        <is>
          <t>The repository contains backend software components with complexity O(N), implementing core algorithms. The initial codebase was committed.</t>
        </is>
      </c>
      <c r="I823" t="n">
        <v>0.0137</v>
      </c>
      <c r="J823" t="n">
        <v>0.2308</v>
      </c>
      <c r="K823" t="n">
        <v>0.2871</v>
      </c>
      <c r="L823" t="inlineStr">
        <is>
          <t>This Java class represents a GitHub public key using HTTP requests. It provides methods to retrieve details about a specific public key associated with a given user's account. The class is immutable and uses logging for debugging purposes.</t>
        </is>
      </c>
      <c r="M823" t="n">
        <v>0.0058</v>
      </c>
      <c r="N823" t="n">
        <v>0.0851</v>
      </c>
      <c r="O823" t="n">
        <v>0.1364</v>
      </c>
    </row>
    <row r="824">
      <c r="A824" t="inlineStr">
        <is>
          <t>jcabi</t>
        </is>
      </c>
      <c r="B824" t="inlineStr">
        <is>
          <t>src/main/java/com/jcabi/github/Bulk.java</t>
        </is>
      </c>
      <c r="C824">
        <f>HYPERLINK("https://github.com/jcabi/jcabi-github/blob/master/src/main/java/com/jcabi/github/Bulk.java")</f>
        <v/>
      </c>
      <c r="D824" t="inlineStr">
        <is>
          <t>The provided Java code defines a `Smart` class that acts as a proxy for objects retrieved from GitHub repositories. It caches the JSON representation of these objects in memory to avoid making multiple HTTP requests. The class is designed to be used as a decorator for GitHub-related objects like `Repo`, allowing developers to access specific properties without repeatedly querying the API.</t>
        </is>
      </c>
      <c r="E824" t="n">
        <v>0</v>
      </c>
      <c r="F824" t="n">
        <v>0</v>
      </c>
      <c r="G824" t="n">
        <v>0.0376</v>
      </c>
      <c r="H824" t="inlineStr">
        <is>
          <t>This repository contains backend software components that implement core algorithms. Complexity is O(N), indicating linear time complexity relative to input size N. Comments provide detailed explanations of the implementation, while commits track the initial creation of the codebase. Code size is 1000 lines, reflecting its comprehensive nature.</t>
        </is>
      </c>
      <c r="I824" t="n">
        <v>0.0051</v>
      </c>
      <c r="J824" t="n">
        <v>0.1429</v>
      </c>
      <c r="K824" t="n">
        <v>0.2652</v>
      </c>
      <c r="L824" t="inlineStr">
        <is>
          <t>This Java class is a decorator that caches JSON responses from GitHub API calls, allowing for efficient retrieval of multiple objects by iterating over them without making repeated network requests. It uses reflection to dynamically create proxy instances of GitHub objects, storing their JSON representations in memory. This approach reduces the number of HTTP requests needed when processing large datasets, improving performance and reducing load on the GitHub servers.</t>
        </is>
      </c>
      <c r="M824" t="n">
        <v>0.0031</v>
      </c>
      <c r="N824" t="n">
        <v>0.0519</v>
      </c>
      <c r="O824" t="n">
        <v>0.1064</v>
      </c>
    </row>
    <row r="825">
      <c r="A825" t="inlineStr">
        <is>
          <t>jcabi</t>
        </is>
      </c>
      <c r="B825" t="inlineStr">
        <is>
          <t>src/main/java/com/jcabi/github/Tags.java</t>
        </is>
      </c>
      <c r="C825">
        <f>HYPERLINK("https://github.com/jcabi/jcabi-github/blob/master/src/main/java/com/jcabi/github/Tags.java")</f>
        <v/>
      </c>
      <c r="D825" t="inlineStr">
        <is>
          <t>The provided Java code defines an `interface` named `Tags`, which represents operations related to tags in a GitHub repository. It includes methods to interact with tags such as creating new tags, retrieving existing tags by their SHA, and accessing the owner's repository. The class is marked as immutable, ensuring that once created, its state cannot be changed. This interface is part of a larger library designed to work</t>
        </is>
      </c>
      <c r="E825" t="n">
        <v>0.0032</v>
      </c>
      <c r="F825" t="n">
        <v>0.026</v>
      </c>
      <c r="G825" t="n">
        <v>0.1071</v>
      </c>
      <c r="H825" t="inlineStr">
        <is>
          <t>Provides interfaces for managing tags in a GitHub repository.</t>
        </is>
      </c>
      <c r="I825" t="n">
        <v>0</v>
      </c>
      <c r="J825" t="n">
        <v>0</v>
      </c>
      <c r="K825" t="n">
        <v>0</v>
      </c>
      <c r="L825" t="inlineStr">
        <is>
          <t>The `Tags` interface provides methods to interact with tags in a GitHub repository. It includes methods to retrieve all tags (`get`), create new tags using JSON parameters (`create`), and access specific tags by their SHA values.</t>
        </is>
      </c>
      <c r="M825" t="n">
        <v>0.0052</v>
      </c>
      <c r="N825" t="n">
        <v>0.0455</v>
      </c>
      <c r="O825" t="n">
        <v>0.0926</v>
      </c>
    </row>
    <row r="826">
      <c r="A826" t="inlineStr">
        <is>
          <t>jcabi</t>
        </is>
      </c>
      <c r="B826" t="inlineStr">
        <is>
          <t>src/main/java/com/jcabi/github/GitHub.java</t>
        </is>
      </c>
      <c r="C826">
        <f>HYPERLINK("https://github.com/jcabi/jcabi-github/blob/master/src/main/java/com/jcabi/github/GitHub.java")</f>
        <v/>
      </c>
      <c r="D826" t="inlineStr">
        <is>
          <t>The provided code defines a `GitHub` class that serves as a client for interacting with the GitHub API. It includes methods for accessing repositories, issues, pull requests, and other resources on GitHub. The class uses HTTP requests to communicate with the GitHub servers and handles JSON responses. The implementation is designed to be thread-safe and immutable, making it suitable for concurrent access.</t>
        </is>
      </c>
      <c r="E826" t="n">
        <v>0.0029</v>
      </c>
      <c r="F826" t="n">
        <v>0.0563</v>
      </c>
      <c r="G826" t="n">
        <v>0.1119</v>
      </c>
      <c r="H826" t="inlineStr">
        <is>
          <t>This repository contains backend software components implementing core algorithms. Complexity is O(N), indicating linear time complexity in relation to input size. Comments describe the implementation details. Initial codebase commit was made. The total code size is 1000 lines.</t>
        </is>
      </c>
      <c r="I826" t="n">
        <v>0.0064</v>
      </c>
      <c r="J826" t="n">
        <v>0.1702</v>
      </c>
      <c r="K826" t="n">
        <v>0.1818</v>
      </c>
      <c r="L826" t="inlineStr">
        <is>
          <t>The code provides a Java-based interface for interacting with the GitHub REST API. It includes classes such as `RtGitHub` for making HTTP requests, `Repo`, `Issues`, and others for managing repositories and issues. The primary function is to allow developers to perform various operations like creating and retrieving issues within GitHub repositories using OAuth authentication.</t>
        </is>
      </c>
      <c r="M826" t="n">
        <v>0.0034</v>
      </c>
      <c r="N826" t="n">
        <v>0.0635</v>
      </c>
      <c r="O826" t="n">
        <v>0.0794</v>
      </c>
    </row>
    <row r="827">
      <c r="A827" t="inlineStr">
        <is>
          <t>jcabi</t>
        </is>
      </c>
      <c r="B827" t="inlineStr">
        <is>
          <t>src/main/java/com/jcabi/github/RtTree.java</t>
        </is>
      </c>
      <c r="C827">
        <f>HYPERLINK("https://github.com/jcabi/jcabi-github/blob/master/src/main/java/com/jcabi/github/RtTree.java")</f>
        <v/>
      </c>
      <c r="D827" t="inlineStr">
        <is>
          <t>The `RtTree` class is part of the JCabi GitHub library and provides functionality to interact with GitHub trees. It encapsulates a RESTful request, a repository object, and a commit SHA hash. The class uses immutable properties and logs debug information for each operation. The constructor initializes these properties, and methods can be used to retrieve or manipulate data related to the specified GitHub tree.</t>
        </is>
      </c>
      <c r="E827" t="n">
        <v>0.0034</v>
      </c>
      <c r="F827" t="n">
        <v>0.0556</v>
      </c>
      <c r="G827" t="n">
        <v>0.0735</v>
      </c>
      <c r="H827" t="inlineStr">
        <is>
          <t>This repository contains backend software components implementing core algorithms with a complexity of O(N). The README provides information about the project's copyright, license, package name, version, and purpose.</t>
        </is>
      </c>
      <c r="I827" t="n">
        <v>0.0095</v>
      </c>
      <c r="J827" t="n">
        <v>0.2632</v>
      </c>
      <c r="K827" t="n">
        <v>0.372</v>
      </c>
      <c r="L827" t="inlineStr">
        <is>
          <t>This Java class `RtTree` represents a GitHub tree object, which is part of a larger system for interacting with GitHub repositories using HTTP requests. It provides methods to retrieve information about files within a specific branch of a repository. The class uses immutable properties for encapsulation and logging to ensure robustness and traceability. The constructor initializes necessary fields such as the RESTful request, the repository owner,</t>
        </is>
      </c>
      <c r="M827" t="n">
        <v>0.0033</v>
      </c>
      <c r="N827" t="n">
        <v>0.0541</v>
      </c>
      <c r="O827" t="n">
        <v>0.1087</v>
      </c>
    </row>
    <row r="828">
      <c r="A828" t="inlineStr">
        <is>
          <t>jcabi</t>
        </is>
      </c>
      <c r="B828" t="inlineStr">
        <is>
          <t>src/main/java/com/jcabi/github/Commit.java</t>
        </is>
      </c>
      <c r="C828">
        <f>HYPERLINK("https://github.com/jcabi/jcabi-github/blob/master/src/main/java/com/jcabi/github/Commit.java")</f>
        <v/>
      </c>
      <c r="D828" t="inlineStr">
        <is>
          <t>The provided code defines an `interface` named `Commit`, which represents a Git commit in a GitHub repository. It includes methods to interact with various aspects of the commit, such as retrieving its JSON representation, accessing specific URLs related to the commit, and comparing commits based on their timestamps. The class uses annotations like `@Immutable` and `@Loggable` to ensure immutability and logging capabilities</t>
        </is>
      </c>
      <c r="E828" t="n">
        <v>0.0029</v>
      </c>
      <c r="F828" t="n">
        <v>0.0286</v>
      </c>
      <c r="G828" t="n">
        <v>0.0746</v>
      </c>
      <c r="H828" t="inlineStr">
        <is>
          <t>This repository contains backend software components that implement core algorithms. Complexity is O(N), indicating linear time complexity. Comments describe the implementation of these algorithms. Initial codebase commit was made. Code size is 1000 lines.</t>
        </is>
      </c>
      <c r="I828" t="n">
        <v>0.0072</v>
      </c>
      <c r="J828" t="n">
        <v>0.186</v>
      </c>
      <c r="K828" t="n">
        <v>0.1887</v>
      </c>
      <c r="L828" t="inlineStr">
        <is>
          <t>The `Commit` interface represents a GitHub commit, providing methods to retrieve various details such as the commit's JSON representation, URL, author, committer, message, SHA hash, tree ID, parents, and more. It uses smart decorators like `Smart` to simplify accessing specific properties from the underlying JSON data.</t>
        </is>
      </c>
      <c r="M828" t="n">
        <v>0.004</v>
      </c>
      <c r="N828" t="n">
        <v>0.0364</v>
      </c>
      <c r="O828" t="n">
        <v>0.0847</v>
      </c>
    </row>
    <row r="829">
      <c r="A829" t="inlineStr">
        <is>
          <t>jcabi</t>
        </is>
      </c>
      <c r="B829" t="inlineStr">
        <is>
          <t>src/main/java/com/jcabi/github/Pulls.java</t>
        </is>
      </c>
      <c r="C829">
        <f>HYPERLINK("https://github.com/jcabi/jcabi-github/blob/master/src/main/java/com/jcabi/github/Pulls.java")</f>
        <v/>
      </c>
      <c r="D829" t="inlineStr">
        <is>
          <t>The provided code defines an `interface` named `Pulls`, which represents operations related to GitHub pull requests within a repository. The class implements this interface provides methods for interacting with pull requests such as retrieving a specific pull request by its number and creating a new one. It also includes accessors for the owner's repository (`Repo`). This interface encapsulates the functionality necessary for managing pull requests in a GitHub</t>
        </is>
      </c>
      <c r="E829" t="n">
        <v>0.0038</v>
      </c>
      <c r="F829" t="n">
        <v>0.0519</v>
      </c>
      <c r="G829" t="n">
        <v>0.1429</v>
      </c>
      <c r="H829" t="inlineStr">
        <is>
          <t>Manages GitHub pull requests for repositories.</t>
        </is>
      </c>
      <c r="I829" t="n">
        <v>0</v>
      </c>
      <c r="J829" t="n">
        <v>0</v>
      </c>
      <c r="K829" t="n">
        <v>0</v>
      </c>
      <c r="L829" t="inlineStr">
        <is>
          <t>The `Pulls` interface provides access to GitHub pull requests for a specified repository. It includes methods to retrieve individual pull requests by their numbers and create new ones with a given title, head branch, and target base branch. The implementation complexity is O(N), where N represents the number of pull requests being processed.</t>
        </is>
      </c>
      <c r="M829" t="n">
        <v>0.0035</v>
      </c>
      <c r="N829" t="n">
        <v>0.0323</v>
      </c>
      <c r="O829" t="n">
        <v>0.08</v>
      </c>
    </row>
    <row r="830">
      <c r="A830" t="inlineStr">
        <is>
          <t>jcabi</t>
        </is>
      </c>
      <c r="B830" t="inlineStr">
        <is>
          <t>src/main/java/com/jcabi/github/Gists.java</t>
        </is>
      </c>
      <c r="C830">
        <f>HYPERLINK("https://github.com/jcabi/jcabi-github/blob/master/src/main/java/com/jcabi/github/Gists.java")</f>
        <v/>
      </c>
      <c r="D830" t="inlineStr">
        <is>
          <t>The provided Java code defines an `interface` named `Gists`, which represents a collection of methods for interacting with GitHub's Gists API. The class implements this interface to provide operations such as creating a new gist and retrieving a gist by its name. It uses annotations like `@Immutable` from the Javacafe library to ensure that instances of the class cannot be modified after creation. The</t>
        </is>
      </c>
      <c r="E830" t="n">
        <v>0.0034</v>
      </c>
      <c r="F830" t="n">
        <v>0.0548</v>
      </c>
      <c r="G830" t="n">
        <v>0.1838</v>
      </c>
      <c r="H830" t="inlineStr">
        <is>
          <t>The repository contains backend software components that implement core algorithms. The complexity of these implementations is O(N), indicating linear time complexity with respect to input size N. The comments provide details about the implementation's purpose and functionality. The commits indicate the initial creation of the codebase. The total code size is 1000 lines.</t>
        </is>
      </c>
      <c r="I830" t="n">
        <v>0.0045</v>
      </c>
      <c r="J830" t="n">
        <v>0.127</v>
      </c>
      <c r="K830" t="n">
        <v>0.16</v>
      </c>
      <c r="L830" t="inlineStr">
        <is>
          <t>The `Gists` interface provides methods for interacting with GitHub's Gists API, allowing users to create and retrieve gists. It includes methods to get the GitHub instance associated with the object, create a new gist with specified files and visibility, and fetch a gist by its name. The implementation complexity is O(N), where N represents the number of files being created or retrieved.</t>
        </is>
      </c>
      <c r="M830" t="n">
        <v>0.0029</v>
      </c>
      <c r="N830" t="n">
        <v>0.0278</v>
      </c>
      <c r="O830" t="n">
        <v>0.1119</v>
      </c>
    </row>
    <row r="831">
      <c r="A831" t="inlineStr">
        <is>
          <t>jcabi</t>
        </is>
      </c>
      <c r="B831" t="inlineStr">
        <is>
          <t>src/main/java/com/jcabi/github/RtLanguage.java</t>
        </is>
      </c>
      <c r="C831">
        <f>HYPERLINK("https://github.com/jcabi/jcabi-github/blob/master/src/main/java/com/jcabi/github/RtLanguage.java")</f>
        <v/>
      </c>
      <c r="D831" t="inlineStr">
        <is>
          <t>The provided code defines a `RtLanguage` class that represents a programming language used in a GitHub repository. It includes methods to retrieve the language's name and the number of bytes it contributes to the project. The class uses Lombok annotations for automatic generation of equals and hash code methods, as well as logging with Log4j at debug level. The complexity is O(1), indicating constant time</t>
        </is>
      </c>
      <c r="E831" t="n">
        <v>0.0028</v>
      </c>
      <c r="F831" t="n">
        <v>0.0267</v>
      </c>
      <c r="G831" t="n">
        <v>0.073</v>
      </c>
      <c r="H831" t="inlineStr">
        <is>
          <t>Implements a `RtLanguage` class that represents a programming language with its name and byte count from a GitHub repository. The class uses Lombok annotations for boilerplate reduction and logging to debug operations. Complexity is O(N), where N is the number of commits in the repository.</t>
        </is>
      </c>
      <c r="I831" t="n">
        <v>0.0041</v>
      </c>
      <c r="J831" t="n">
        <v>0.0741</v>
      </c>
      <c r="K831" t="n">
        <v>0.1282</v>
      </c>
      <c r="L831" t="inlineStr">
        <is>
          <t>The `RtLanguage` class represents a programming language within a GitHub repository, providing methods to retrieve the language's name and the number of bytes used by that language across all files in the repository. It uses Lombok for automatic generation of equals and hashcode methods and is annotated with Loggable for debugging purposes. The class encapsulates the language name as a string (`txt`) and the total byte</t>
        </is>
      </c>
      <c r="M831" t="n">
        <v>0.0028</v>
      </c>
      <c r="N831" t="n">
        <v>0.0267</v>
      </c>
      <c r="O831" t="n">
        <v>0.0725</v>
      </c>
    </row>
    <row r="832">
      <c r="A832" t="inlineStr">
        <is>
          <t>jcabi</t>
        </is>
      </c>
      <c r="B832" t="inlineStr">
        <is>
          <t>src/main/java/com/jcabi/github/Milestone.java</t>
        </is>
      </c>
      <c r="C832">
        <f>HYPERLINK("https://github.com/jcabi/jcabi-github/blob/master/src/main/java/com/jcabi/github/Milestone.java")</f>
        <v/>
      </c>
      <c r="D832" t="inlineStr">
        <is>
          <t>The provided Java code defines an `interface` named `Milestone`, which represents a milestone in a GitHub project. It includes methods for comparing milestones, reading JSON data about them, patching their JSON representation, and checking various properties such as whether they are open or closed. The class is marked with annotations indicating immutability and logging capabilities.</t>
        </is>
      </c>
      <c r="E832" t="n">
        <v>0.0033</v>
      </c>
      <c r="F832" t="n">
        <v>0.0317</v>
      </c>
      <c r="G832" t="n">
        <v>0.0394</v>
      </c>
      <c r="H832" t="inlineStr">
        <is>
          <t>The provided code is an implementation of a GitHub milestone interface in Java, which includes methods for reading and patching JSON data related to milestones. It also provides smart decorators for additional properties. The complexity is high due to the large number of methods implemented.</t>
        </is>
      </c>
      <c r="I832" t="n">
        <v>0.0041</v>
      </c>
      <c r="J832" t="n">
        <v>0.0755</v>
      </c>
      <c r="K832" t="n">
        <v>0.08550000000000001</v>
      </c>
      <c r="L832" t="inlineStr">
        <is>
          <t>The `Milestone` interface represents a milestone in a GitHub project, providing methods to interact with milestone data such as retrieving details, checking status, opening/closing milestones, and applying JSON patches. It includes smart decorators for additional functionalities like getting related issues and comments. The class is immutable and uses annotations for logging and immutability checks.</t>
        </is>
      </c>
      <c r="M832" t="n">
        <v>0.0034</v>
      </c>
      <c r="N832" t="n">
        <v>0.0635</v>
      </c>
      <c r="O832" t="n">
        <v>0.0794</v>
      </c>
    </row>
    <row r="833">
      <c r="A833" t="inlineStr">
        <is>
          <t>jcabi</t>
        </is>
      </c>
      <c r="B833" t="inlineStr">
        <is>
          <t>src/main/java/com/jcabi/github/Hooks.java</t>
        </is>
      </c>
      <c r="C833">
        <f>HYPERLINK("https://github.com/jcabi/jcabi-github/blob/master/src/main/java/com/jcabi/github/Hooks.java")</f>
        <v/>
      </c>
      <c r="D833" t="inlineStr">
        <is>
          <t>The `Hooks` interface provides methods for managing GitHub webhooks associated with a repository. It includes operations such as iterating over existing hooks, removing a hook by its ID, and retrieving a specific hook by its number. The implementation uses Java annotations like `@Immutable` to ensure thread safety and immutability.</t>
        </is>
      </c>
      <c r="E833" t="n">
        <v>0.0037</v>
      </c>
      <c r="F833" t="n">
        <v>0.0702</v>
      </c>
      <c r="G833" t="n">
        <v>0.124</v>
      </c>
      <c r="H833" t="inlineStr">
        <is>
          <t>Manages GitHub hooks for repositories.</t>
        </is>
      </c>
      <c r="I833" t="n">
        <v>0</v>
      </c>
      <c r="J833" t="n">
        <v>0</v>
      </c>
      <c r="K833" t="n">
        <v>0</v>
      </c>
      <c r="L833" t="inlineStr">
        <is>
          <t>The `Hooks` interface provides methods for managing GitHub repository hooks, including listing all hooks, removing a hook by its ID, and retrieving a specific hook by its number. The implementation complexity is O(N), indicating that these operations may scale linearly with the number of hooks.</t>
        </is>
      </c>
      <c r="M833" t="n">
        <v>0.0041</v>
      </c>
      <c r="N833" t="n">
        <v>0.037</v>
      </c>
      <c r="O833" t="n">
        <v>0.08550000000000001</v>
      </c>
    </row>
    <row r="834">
      <c r="A834" t="inlineStr">
        <is>
          <t>jcabi</t>
        </is>
      </c>
      <c r="B834" t="inlineStr">
        <is>
          <t>src/main/java/com/jcabi/github/Issue.java</t>
        </is>
      </c>
      <c r="C834">
        <f>HYPERLINK("https://github.com/jcabi/jcabi-github/blob/master/src/main/java/com/jcabi/github/Issue.java")</f>
        <v/>
      </c>
      <c r="D834" t="inlineStr">
        <is>
          <t>The provided Java code defines a class `Issue` that represents a GitHub issue. It includes methods to interact with issues such as retrieving their details, checking if they're open or closed, and closing them. The class uses annotations like `@Immutable`, `@Loggable`, and `@ToString` to ensure immutability, logging, and string representation respectively. The `Smart` inner class extends</t>
        </is>
      </c>
      <c r="E834" t="n">
        <v>0.0033</v>
      </c>
      <c r="F834" t="n">
        <v>0.0308</v>
      </c>
      <c r="G834" t="n">
        <v>0.0781</v>
      </c>
      <c r="H834" t="inlineStr">
        <is>
          <t>The code is a Java class that represents a GitHub issue with methods to interact with it, such as opening or closing it. It uses annotations like `@Immutable` and `@Loggable` for immutability and logging purposes, respectively. The class also includes fields for various attributes of the issue, such as title, body, labels, assignees, comments, etc., and provides methods to</t>
        </is>
      </c>
      <c r="I834" t="n">
        <v>0.0031</v>
      </c>
      <c r="J834" t="n">
        <v>0.0299</v>
      </c>
      <c r="K834" t="n">
        <v>0.07630000000000001</v>
      </c>
      <c r="L834" t="inlineStr">
        <is>
          <t>This Java class represents a GitHub issue and provides methods to interact with it. It uses annotations like `@Immutable` and `@Loggable` for immutability and logging purposes, respectively. The class includes methods to retrieve various properties such as title, body, labels, comments, and more. It also supports smart decorators to access additional properties and perform actions like closing issues. The code is designed</t>
        </is>
      </c>
      <c r="M834" t="n">
        <v>0.0035</v>
      </c>
      <c r="N834" t="n">
        <v>0.0571</v>
      </c>
      <c r="O834" t="n">
        <v>0.1119</v>
      </c>
    </row>
    <row r="835">
      <c r="A835" t="inlineStr">
        <is>
          <t>jcabi</t>
        </is>
      </c>
      <c r="B835" t="inlineStr">
        <is>
          <t>src/main/java/com/jcabi/github/RtPublicMembers.java</t>
        </is>
      </c>
      <c r="C835">
        <f>HYPERLINK("https://github.com/jcabi/jcabi-github/blob/master/src/main/java/com/jcabi/github/RtPublicMembers.java")</f>
        <v/>
      </c>
      <c r="D835" t="inlineStr">
        <is>
          <t>The provided Java code defines a class `RtPublicMembers` that represents public members of a GitHub organization. It uses HTTP requests to interact with the GitHub API for retrieving information about these members. The class is immutable, meaning its state cannot be changed after it's created. It includes logging annotations for debugging purposes and equals/hashcode methods for object comparison. The class provides access to public members through various</t>
        </is>
      </c>
      <c r="E835" t="n">
        <v>0.0027</v>
      </c>
      <c r="F835" t="n">
        <v>0.026</v>
      </c>
      <c r="G835" t="n">
        <v>0.07190000000000001</v>
      </c>
      <c r="H835" t="inlineStr">
        <is>
          <t>The repository contains backend software components that implement core algorithms. The complexity is O(N), indicating linear time complexity for certain operations. The implementation includes comments explaining the purpose of each part of the code. The commits include an initial codebase commit. The total size of the codebase is 1000 lines.</t>
        </is>
      </c>
      <c r="I835" t="n">
        <v>0.0044</v>
      </c>
      <c r="J835" t="n">
        <v>0.1017</v>
      </c>
      <c r="K835" t="n">
        <v>0.1639</v>
      </c>
      <c r="L835" t="inlineStr">
        <is>
          <t>This Java code provides access to public members of a GitHub organization using HTTP requests. It uses the `RtPublicMembers` class from the `com.jcabi.github` package, which is part of a larger library for interacting with GitHub's APIs. The class encapsulates the necessary methods to retrieve and manipulate these members' data.</t>
        </is>
      </c>
      <c r="M835" t="n">
        <v>0.0045</v>
      </c>
      <c r="N835" t="n">
        <v>0.0667</v>
      </c>
      <c r="O835" t="n">
        <v>0.124</v>
      </c>
    </row>
    <row r="836">
      <c r="A836" t="inlineStr">
        <is>
          <t>jcabi</t>
        </is>
      </c>
      <c r="B836" t="inlineStr">
        <is>
          <t>src/main/java/com/jcabi/github/RtLabels.java</t>
        </is>
      </c>
      <c r="C836">
        <f>HYPERLINK("https://github.com/jcabi/jcabi-github/blob/master/src/main/java/com/jcabi/github/RtLabels.java")</f>
        <v/>
      </c>
      <c r="D836" t="inlineStr">
        <is>
          <t>The `RtLabels` class provides access to the labels associated with a specific repository on GitHub. It uses HTTP requests to interact with the GitHub API. The class is immutable and includes logging for debugging purposes. It encapsulates the necessary information such as the repository's owner and the RESTful entry point for accessing labels.</t>
        </is>
      </c>
      <c r="E836" t="n">
        <v>0.0035</v>
      </c>
      <c r="F836" t="n">
        <v>0.0323</v>
      </c>
      <c r="G836" t="n">
        <v>0.08</v>
      </c>
      <c r="H836" t="inlineStr">
        <is>
          <t>Manages GitHub labels for repositories.</t>
        </is>
      </c>
      <c r="I836" t="n">
        <v>0</v>
      </c>
      <c r="J836" t="n">
        <v>0</v>
      </c>
      <c r="K836" t="n">
        <v>0</v>
      </c>
      <c r="L836" t="inlineStr">
        <is>
          <t>This Java class provides access to the labels associated with a specific GitHub repository using HTTP requests. It encapsulates the necessary methods to retrieve label data from the GitHub API, ensuring that each operation is logged for debugging purposes. The class uses immutable properties and follows best practices for code clarity and maintainability.</t>
        </is>
      </c>
      <c r="M836" t="n">
        <v>0.0041</v>
      </c>
      <c r="N836" t="n">
        <v>0.06560000000000001</v>
      </c>
      <c r="O836" t="n">
        <v>0.12</v>
      </c>
    </row>
    <row r="837">
      <c r="A837" t="inlineStr">
        <is>
          <t>jcabi</t>
        </is>
      </c>
      <c r="B837" t="inlineStr">
        <is>
          <t>src/main/java/com/jcabi/github/RtEvent.java</t>
        </is>
      </c>
      <c r="C837">
        <f>HYPERLINK("https://github.com/jcabi/jcabi-github/blob/master/src/main/java/com/jcabi/github/RtEvent.java")</f>
        <v/>
      </c>
      <c r="D837" t="inlineStr">
        <is>
          <t>The provided Java code defines a class `RtEvent` that represents a GitHub event. It includes fields for a RESTful request (`Request`), a repository (`Repo`), and an event number (`int`). The class is marked as immutable using the `@Immutable` annotation and uses logging with `@Loggable`. It also has methods to retrieve JSON data from the GitHub API based on the</t>
        </is>
      </c>
      <c r="E837" t="n">
        <v>0.0031</v>
      </c>
      <c r="F837" t="n">
        <v>0.0299</v>
      </c>
      <c r="G837" t="n">
        <v>0.07630000000000001</v>
      </c>
      <c r="H837" t="inlineStr">
        <is>
          <t>This repository contains backend software components with complexity O(N), implementing core algorithms. The README provides information about the project's purpose, license, package structure, and file size.</t>
        </is>
      </c>
      <c r="I837" t="n">
        <v>0.0103</v>
      </c>
      <c r="J837" t="n">
        <v>0.2778</v>
      </c>
      <c r="K837" t="n">
        <v>0.3796</v>
      </c>
      <c r="L837" t="inlineStr">
        <is>
          <t>The `RtEvent` class represents a GitHub event, providing methods to interact with specific events within a repository using HTTP requests. It includes fields for the RESTful request, the repository, and the event number. The class is immutable and uses logging annotations for debugging purposes. The constructor initializes these fields, and the class provides methods to retrieve JSON data from the GitHub API based on the event number.</t>
        </is>
      </c>
      <c r="M837" t="n">
        <v>0.0027</v>
      </c>
      <c r="N837" t="n">
        <v>0.0267</v>
      </c>
      <c r="O837" t="n">
        <v>0.07190000000000001</v>
      </c>
    </row>
    <row r="838">
      <c r="A838" t="inlineStr">
        <is>
          <t>jcabi</t>
        </is>
      </c>
      <c r="B838" t="inlineStr">
        <is>
          <t>src/main/java/com/jcabi/github/RtBlob.java</t>
        </is>
      </c>
      <c r="C838">
        <f>HYPERLINK("https://github.com/jcabi/jcabi-github/blob/master/src/main/java/com/jcabi/github/RtBlob.java")</f>
        <v/>
      </c>
      <c r="D838" t="inlineStr">
        <is>
          <t>The provided code defines a `RtBlob` class that represents a blob in a Git repository on GitHub. It uses HTTP requests to interact with the GitHub API to retrieve information about the specified blob by its SHA hash. The class is immutable and includes logging for debugging purposes. It also utilizes Lombok annotations for automatic generation of equals and hashCode methods.</t>
        </is>
      </c>
      <c r="E838" t="n">
        <v>0.003</v>
      </c>
      <c r="F838" t="n">
        <v>0.029</v>
      </c>
      <c r="G838" t="n">
        <v>0.0752</v>
      </c>
      <c r="H838" t="inlineStr">
        <is>
          <t>The repository contains backend software components implementing core algorithms. The complexity is O(N), indicating linear time complexity in relation to input size N. The comments describe the implementation as focusing on core algorithms. The commits indicate that this is the initial codebase commit. The total code size is 1000 lines.</t>
        </is>
      </c>
      <c r="I838" t="n">
        <v>0.0044</v>
      </c>
      <c r="J838" t="n">
        <v>0.1017</v>
      </c>
      <c r="K838" t="n">
        <v>0.1639</v>
      </c>
      <c r="L838" t="inlineStr">
        <is>
          <t>The `RtBlob` class is an immutable implementation of the `Blob` interface from the `com.jcabi.github` package. It represents a blob object stored in a GitHub repository. The class uses a RESTful request to interact with the GitHub API and provides methods for retrieving details about the blob's content and metadata. The constructor initializes the request and the SHA hash of the blob, allowing</t>
        </is>
      </c>
      <c r="M838" t="n">
        <v>0.0029</v>
      </c>
      <c r="N838" t="n">
        <v>0.0548</v>
      </c>
      <c r="O838" t="n">
        <v>0.1119</v>
      </c>
    </row>
    <row r="839">
      <c r="A839" t="inlineStr">
        <is>
          <t>jcabi</t>
        </is>
      </c>
      <c r="B839" t="inlineStr">
        <is>
          <t>src/main/java/com/jcabi/github/RtGistComments.java</t>
        </is>
      </c>
      <c r="C839">
        <f>HYPERLINK("https://github.com/jcabi/jcabi-github/blob/master/src/main/java/com/jcabi/github/RtGistComments.java")</f>
        <v/>
      </c>
      <c r="D839" t="inlineStr">
        <is>
          <t>The provided Java code defines a class `RtGistComments` that represents GitHub comments for a specific gist. It uses HTTP requests to interact with the GitHub API. The class is immutable and includes logging annotations. It provides methods to retrieve comments from a given gist owned by another user or organization. The complexity of this implementation is O(N), where N is the number of comments being retrieved.</t>
        </is>
      </c>
      <c r="E839" t="n">
        <v>0.0028</v>
      </c>
      <c r="F839" t="n">
        <v>0.0533</v>
      </c>
      <c r="G839" t="n">
        <v>0.1812</v>
      </c>
      <c r="H839" t="inlineStr">
        <is>
          <t>Manages GitHub comments for a specific Gist.</t>
        </is>
      </c>
      <c r="I839" t="n">
        <v>0</v>
      </c>
      <c r="J839" t="n">
        <v>0</v>
      </c>
      <c r="K839" t="n">
        <v>0</v>
      </c>
      <c r="L839" t="inlineStr">
        <is>
          <t>This Java class provides an implementation for managing comments associated with a GitHub gist. It uses HTTP requests to interact with the GitHub API, handling JSON responses to retrieve and manipulate comment data. The class is immutable and includes logging annotations for debugging purposes.</t>
        </is>
      </c>
      <c r="M839" t="n">
        <v>0.005</v>
      </c>
      <c r="N839" t="n">
        <v>0.1154</v>
      </c>
      <c r="O839" t="n">
        <v>0.1724</v>
      </c>
    </row>
    <row r="840">
      <c r="A840" t="inlineStr">
        <is>
          <t>jcabi</t>
        </is>
      </c>
      <c r="B840" t="inlineStr">
        <is>
          <t>src/main/java/com/jcabi/github/Labels.java</t>
        </is>
      </c>
      <c r="C840">
        <f>HYPERLINK("https://github.com/jcabi/jcabi-github/blob/master/src/main/java/com/jcabi/github/Labels.java")</f>
        <v/>
      </c>
      <c r="D840" t="inlineStr">
        <is>
          <t>The provided Java code defines an `Labels` interface that represents GitHub labels for issues within a repository. It includes methods to interact with these labels, such as creating a new label and retrieving a label by its name. The class uses annotations like `@Immutable`, `@Loggable`, and `@ToString` for immutability, logging, and string representation respectively. The complexity of the implementation is</t>
        </is>
      </c>
      <c r="E840" t="n">
        <v>0.003</v>
      </c>
      <c r="F840" t="n">
        <v>0.0294</v>
      </c>
      <c r="G840" t="n">
        <v>0.1136</v>
      </c>
      <c r="H840" t="inlineStr">
        <is>
          <t>This repository contains backend software components that implement core algorithms. Complexity is O(N), indicating linear time complexity for certain operations. Comments describe the implementation details, while commits track the initial creation of the codebase. The total size of the codebase is 1000 lines.</t>
        </is>
      </c>
      <c r="I840" t="n">
        <v>0.0056</v>
      </c>
      <c r="J840" t="n">
        <v>0.1538</v>
      </c>
      <c r="K840" t="n">
        <v>0.1739</v>
      </c>
      <c r="L840" t="inlineStr">
        <is>
          <t>This Java interface `Labels` provides methods for managing labels within a GitHub repository. It includes functionalities such as creating new labels and retrieving existing ones based on their names. The class uses annotations like `@Immutable`, `@Loggable`, and `@ToString` for immutability, logging, and string representation respectively. The method signatures indicate that they interact with the GitHub Issues API to perform these operations</t>
        </is>
      </c>
      <c r="M840" t="n">
        <v>0.0036</v>
      </c>
      <c r="N840" t="n">
        <v>0.08699999999999999</v>
      </c>
      <c r="O840" t="n">
        <v>0.1128</v>
      </c>
    </row>
    <row r="841">
      <c r="A841" t="inlineStr">
        <is>
          <t>jcabi</t>
        </is>
      </c>
      <c r="B841" t="inlineStr">
        <is>
          <t>src/main/java/com/jcabi/github/RtBlobs.java</t>
        </is>
      </c>
      <c r="C841">
        <f>HYPERLINK("https://github.com/jcabi/jcabi-github/blob/master/src/main/java/com/jcabi/github/RtBlobs.java")</f>
        <v/>
      </c>
      <c r="D841" t="inlineStr">
        <is>
          <t>The provided Java code defines a class `RtBlobs` that represents GitHub's Git blobs data. It is part of a larger library for interacting with GitHub repositories using HTTP requests. The class provides methods to interact with blob data within a specific repository. Here's a concise summary:
### Key Features:
- **Immutability**: The class uses the `@Immutable` annotation from the Jc</t>
        </is>
      </c>
      <c r="E841" t="n">
        <v>0</v>
      </c>
      <c r="F841" t="n">
        <v>0</v>
      </c>
      <c r="G841" t="n">
        <v>0.0379</v>
      </c>
      <c r="H841" t="inlineStr">
        <is>
          <t>The code is a Java implementation of a GitHub Git data blobs service using Jcabi library. It provides methods to interact with Git blobs in repositories on GitHub. The complexity is high due to its extensive use of HTTP requests and JSON parsing.</t>
        </is>
      </c>
      <c r="I841" t="n">
        <v>0.0043</v>
      </c>
      <c r="J841" t="n">
        <v>0.0784</v>
      </c>
      <c r="K841" t="n">
        <v>0.1304</v>
      </c>
      <c r="L841" t="inlineStr">
        <is>
          <t>This Java class provides access to blobs within a GitHub repository using HTTP requests. It encapsulates the necessary methods for interacting with the GitHub API to retrieve blob data, such as reading, listing, and deleting blobs. The class is designed to be immutable and loggable, ensuring thread safety and providing detailed logging during execution.</t>
        </is>
      </c>
      <c r="M841" t="n">
        <v>0.004</v>
      </c>
      <c r="N841" t="n">
        <v>0.0645</v>
      </c>
      <c r="O841" t="n">
        <v>0.119</v>
      </c>
    </row>
    <row r="842">
      <c r="A842" t="inlineStr">
        <is>
          <t>jcabi</t>
        </is>
      </c>
      <c r="B842" t="inlineStr">
        <is>
          <t>src/main/java/com/jcabi/github/RtRepoCommit.java</t>
        </is>
      </c>
      <c r="C842">
        <f>HYPERLINK("https://github.com/jcabi/jcabi-github/blob/master/src/main/java/com/jcabi/github/RtRepoCommit.java")</f>
        <v/>
      </c>
      <c r="D842" t="inlineStr">
        <is>
          <t>The provided Java code defines a class `RtRepoCommit` that represents a commit within a GitHub repository. It includes fields for a RESTful request (`Request`), the repository it belongs to (`Repo`), and the SHA hash of the commit. The class is marked as immutable with annotations from the JCabi library, ensuring thread safety and immutability. It also uses logging and equals/hash</t>
        </is>
      </c>
      <c r="E842" t="n">
        <v>0.003</v>
      </c>
      <c r="F842" t="n">
        <v>0.029</v>
      </c>
      <c r="G842" t="n">
        <v>0.07580000000000001</v>
      </c>
      <c r="H842" t="inlineStr">
        <is>
          <t>The repository contains backend software components with complexity O(N), implementing core algorithms. The README provides information about the project's structure and purpose.</t>
        </is>
      </c>
      <c r="I842" t="n">
        <v>0.0114</v>
      </c>
      <c r="J842" t="n">
        <v>0.25</v>
      </c>
      <c r="K842" t="n">
        <v>0.3358</v>
      </c>
      <c r="L842" t="inlineStr">
        <is>
          <t>The `RtRepoCommit` class is an immutable representation of a GitHub repository commit. It encapsulates a RESTful request, the owning repository, and the commit's SHA hash. The class provides methods to retrieve various details about the commit, such as its author, message, and timestamp. It uses annotations for logging and immutability to ensure thread safety and correctness.</t>
        </is>
      </c>
      <c r="M842" t="n">
        <v>0.0033</v>
      </c>
      <c r="N842" t="n">
        <v>0.0308</v>
      </c>
      <c r="O842" t="n">
        <v>0.0781</v>
      </c>
    </row>
    <row r="843">
      <c r="A843" t="inlineStr">
        <is>
          <t>jcabi</t>
        </is>
      </c>
      <c r="B843" t="inlineStr">
        <is>
          <t>src/main/java/com/jcabi/github/ReleaseAsset.java</t>
        </is>
      </c>
      <c r="C843">
        <f>HYPERLINK("https://github.com/jcabi/jcabi-github/blob/master/src/main/java/com/jcabi/github/ReleaseAsset.java")</f>
        <v/>
      </c>
      <c r="D843" t="inlineStr">
        <is>
          <t>The provided code defines an interface `ReleaseAsset` that represents a specific asset associated with a GitHub release. It includes methods to retrieve information about the release it belongs to, its number, and to delete itself from the release. The class uses annotations for immutability and logging, and leverages Jakarta JSON for handling JSON data.</t>
        </is>
      </c>
      <c r="E843" t="n">
        <v>0.0034</v>
      </c>
      <c r="F843" t="n">
        <v>0.0323</v>
      </c>
      <c r="G843" t="n">
        <v>0.0794</v>
      </c>
      <c r="H843" t="inlineStr">
        <is>
          <t>The repository contains backend software components that implement core algorithms. Complexity is O(N), indicating linear time complexity for certain operations. Comments provide detailed explanations of the implementation. Initial codebase commit was made. Total code size is 1000 lines.</t>
        </is>
      </c>
      <c r="I843" t="n">
        <v>0.0058</v>
      </c>
      <c r="J843" t="n">
        <v>0.1277</v>
      </c>
      <c r="K843" t="n">
        <v>0.2323</v>
      </c>
      <c r="L843" t="inlineStr">
        <is>
          <t>The code defines an `ReleaseAsset` interface that represents a downloadable asset associated with a GitHub release. It provides methods for accessing the release it belongs to, retrieving its number, and deleting itself from the release. The class uses annotations like `@Immutable`, `@Loggable`, and `@EqualsAndHashCode` for immutability, logging, and object equality checks, respectively.</t>
        </is>
      </c>
      <c r="M843" t="n">
        <v>0.0035</v>
      </c>
      <c r="N843" t="n">
        <v>0.0333</v>
      </c>
      <c r="O843" t="n">
        <v>0.0806</v>
      </c>
    </row>
    <row r="844">
      <c r="A844" t="inlineStr">
        <is>
          <t>jcabi</t>
        </is>
      </c>
      <c r="B844" t="inlineStr">
        <is>
          <t>src/main/java/com/jcabi/github/RtRepoCommits.java</t>
        </is>
      </c>
      <c r="C844">
        <f>HYPERLINK("https://github.com/jcabi/jcabi-github/blob/master/src/main/java/com/jcabi/github/RtRepoCommits.java")</f>
        <v/>
      </c>
      <c r="D844" t="inlineStr">
        <is>
          <t>The provided Java code defines a class `RtRepoCommits` that represents a collection of commits in a GitHub repository. It uses HTTP requests to interact with the GitHub REST API. The class is immutable, meaning its state cannot be changed after creation. It includes logging annotations for debugging purposes and equals/hashcode methods for object comparison. The class is designed to work with a specific RESTful API endpoint</t>
        </is>
      </c>
      <c r="E844" t="n">
        <v>0.0028</v>
      </c>
      <c r="F844" t="n">
        <v>0.0267</v>
      </c>
      <c r="G844" t="n">
        <v>0.0725</v>
      </c>
      <c r="H844" t="inlineStr">
        <is>
          <t>This repository contains backend software components that implement core algorithms. The complexity is O(N), indicating linear time complexity in relation to input size. The comments describe the implementation of these algorithms, while the README provides information about the project's purpose and structure. The code size is 1000 lines, reflecting its comprehensive nature.</t>
        </is>
      </c>
      <c r="I844" t="n">
        <v>0.005</v>
      </c>
      <c r="J844" t="n">
        <v>0.1613</v>
      </c>
      <c r="K844" t="n">
        <v>0.2016</v>
      </c>
      <c r="L844" t="inlineStr">
        <is>
          <t>This Java class `RtRepoCommits` provides access to the list of commits for a specific GitHub repository using HTTP requests. It uses the JCabi library to interact with the GitHub API, handling authentication through environment variables if configured. The class is immutable and includes logging for debugging purposes. It supports pagination by maintaining a request object that can be reused across multiple calls to fetch more commits.</t>
        </is>
      </c>
      <c r="M844" t="n">
        <v>0.0033</v>
      </c>
      <c r="N844" t="n">
        <v>0.0541</v>
      </c>
      <c r="O844" t="n">
        <v>0.1087</v>
      </c>
    </row>
    <row r="845">
      <c r="A845" t="inlineStr">
        <is>
          <t>jcabi</t>
        </is>
      </c>
      <c r="B845" t="inlineStr">
        <is>
          <t>src/main/java/com/jcabi/github/RtNotifications.java</t>
        </is>
      </c>
      <c r="C845">
        <f>HYPERLINK("https://github.com/jcabi/jcabi-github/blob/master/src/main/java/com/jcabi/github/RtNotifications.java")</f>
        <v/>
      </c>
      <c r="D845" t="inlineStr">
        <is>
          <t>The provided code defines a class `RtNotifications` that represents GitHub notifications using HTTP requests. It includes methods to retrieve all notifications (`iterate()`), but does not implement marking them as read or accessing individual notification threads (`markAsRead()` and `thread(int number)`). The class is marked with the `@Immutable` annotation to ensure it cannot be modified after creation.</t>
        </is>
      </c>
      <c r="E845" t="n">
        <v>0.0033</v>
      </c>
      <c r="F845" t="n">
        <v>0.0625</v>
      </c>
      <c r="G845" t="n">
        <v>0.1181</v>
      </c>
      <c r="H845" t="inlineStr">
        <is>
          <t>The repository contains backend software components that implement core algorithms. Complexity is O(N), indicating linear time complexity, with comments describing the implementation process. Initial codebase commit was made. Code size is 1000 lines.</t>
        </is>
      </c>
      <c r="I845" t="n">
        <v>0.0067</v>
      </c>
      <c r="J845" t="n">
        <v>0.1429</v>
      </c>
      <c r="K845" t="n">
        <v>0.1429</v>
      </c>
      <c r="L845" t="inlineStr">
        <is>
          <t>This Java library provides a client interface for interacting with GitHub's notification API using HTTP requests. It includes methods to retrieve all notifications and iterate over them, as well as a placeholder method for marking notifications as read. The implementation is marked as immutable and uses Apache Commons Lang's `NotImplementedException` to indicate that certain features like marking notifications as read and accessing specific threads have yet to be implemented.</t>
        </is>
      </c>
      <c r="M845" t="n">
        <v>0.0031</v>
      </c>
      <c r="N845" t="n">
        <v>0.0759</v>
      </c>
      <c r="O845" t="n">
        <v>0.1418</v>
      </c>
    </row>
    <row r="846">
      <c r="A846" t="inlineStr">
        <is>
          <t>jcabi</t>
        </is>
      </c>
      <c r="B846" t="inlineStr">
        <is>
          <t>src/main/java/com/jcabi/github/RtPublicKeys.java</t>
        </is>
      </c>
      <c r="C846">
        <f>HYPERLINK("https://github.com/jcabi/jcabi-github/blob/master/src/main/java/com/jcabi/github/RtPublicKeys.java")</f>
        <v/>
      </c>
      <c r="D846" t="inlineStr">
        <is>
          <t>The provided code defines a Java interface `RtPublicKeys` that represents GitHub's public key management system. It includes methods to retrieve all public keys for a user and add new ones. The implementation uses HTTP requests to interact with the GitHub API. The class is marked as immutable and loggable, and it utilizes Lombok annotations for object equality checks. The complexity of the implementation is O(N),</t>
        </is>
      </c>
      <c r="E846" t="n">
        <v>0.0028</v>
      </c>
      <c r="F846" t="n">
        <v>0.0533</v>
      </c>
      <c r="G846" t="n">
        <v>0.1095</v>
      </c>
      <c r="H846" t="inlineStr">
        <is>
          <t>The code is a Java implementation of a GitHub public key service using the JCabi library. It provides methods to interact with the GitHub API for managing user's public keys. The complexity is high due to the extensive use of HTTP requests and JSON parsing. Comments explain the purpose and functionality of each part of the code.</t>
        </is>
      </c>
      <c r="I846" t="n">
        <v>0.0038</v>
      </c>
      <c r="J846" t="n">
        <v>0.0606</v>
      </c>
      <c r="K846" t="n">
        <v>0.1163</v>
      </c>
      <c r="L846" t="inlineStr">
        <is>
          <t>This Java library provides access to GitHub's public keys through HTTP requests. It uses the Jcabi framework for aspect-oriented programming and logging. The `RtPublicKeys` class encapsulates methods to interact with the GitHub API endpoints related to user public keys, allowing developers to retrieve, add, update, or delete public keys associated with their GitHub accounts.</t>
        </is>
      </c>
      <c r="M846" t="n">
        <v>0.004</v>
      </c>
      <c r="N846" t="n">
        <v>0.0625</v>
      </c>
      <c r="O846" t="n">
        <v>0.119</v>
      </c>
    </row>
    <row r="847">
      <c r="A847" t="inlineStr">
        <is>
          <t>jcabi</t>
        </is>
      </c>
      <c r="B847" t="inlineStr">
        <is>
          <t>src/main/java/com/jcabi/github/RtLimits.java</t>
        </is>
      </c>
      <c r="C847">
        <f>HYPERLINK("https://github.com/jcabi/jcabi-github/blob/master/src/main/java/com/jcabi/github/RtLimits.java")</f>
        <v/>
      </c>
      <c r="D847" t="inlineStr">
        <is>
          <t>The provided code defines a `RtLimits` class that represents GitHub's rate limits using HTTP requests. It includes methods to retrieve the total number of remaining API calls (`getRemaining`) and the reset time for these calls (`resetTime`). The class is immutable and uses logging with debug level.</t>
        </is>
      </c>
      <c r="E847" t="n">
        <v>0.004</v>
      </c>
      <c r="F847" t="n">
        <v>0.0364</v>
      </c>
      <c r="G847" t="n">
        <v>0.0847</v>
      </c>
      <c r="H847" t="inlineStr">
        <is>
          <t>This repository contains backend software components that implement core algorithms. The complexity is O(N), indicating linear time complexity for certain operations. The comments describe the implementation details, while the commits record the initial creation of the codebase. The total size of the codebase is 1000 lines.</t>
        </is>
      </c>
      <c r="I847" t="n">
        <v>0.0053</v>
      </c>
      <c r="J847" t="n">
        <v>0.1455</v>
      </c>
      <c r="K847" t="n">
        <v>0.1695</v>
      </c>
      <c r="L847" t="inlineStr">
        <is>
          <t>This Java library provides a way to access GitHub's rate limits using HTTP requests. It includes methods to retrieve general rate limits and specific resource rates for various GitHub services like repositories, issues, pull requests, etc. The implementation is designed to be thread-safe and log all debug-level activity related to rate limiting checks.</t>
        </is>
      </c>
      <c r="M847" t="n">
        <v>0.0041</v>
      </c>
      <c r="N847" t="n">
        <v>0.09379999999999999</v>
      </c>
      <c r="O847" t="n">
        <v>0.16</v>
      </c>
    </row>
    <row r="848">
      <c r="A848" t="inlineStr">
        <is>
          <t>jcabi</t>
        </is>
      </c>
      <c r="B848" t="inlineStr">
        <is>
          <t>src/main/java/com/jcabi/github/RtReleaseAsset.java</t>
        </is>
      </c>
      <c r="C848">
        <f>HYPERLINK("https://github.com/jcabi/jcabi-github/blob/master/src/main/java/com/jcabi/github/RtReleaseAsset.java")</f>
        <v/>
      </c>
      <c r="D848" t="inlineStr">
        <is>
          <t>The provided code defines a Java class `RtReleaseAsset` that represents a GitHub release asset. It is part of a larger library for interacting with GitHub repositories using HTTP requests. The class provides methods to interact with specific assets within a GitHub release, such as retrieving metadata or downloading the asset file. The implementation uses JAX-RS for handling HTTP responses and JSON parsing. The class is marked as</t>
        </is>
      </c>
      <c r="E848" t="n">
        <v>0.0027</v>
      </c>
      <c r="F848" t="n">
        <v>0.0526</v>
      </c>
      <c r="G848" t="n">
        <v>0.1079</v>
      </c>
      <c r="H848" t="inlineStr">
        <is>
          <t>This repository contains backend software components that implement core algorithms. The complexity is O(N), indicating linear time complexity for certain operations. The implementation includes comments explaining the purpose of each part of the code. The code size is 1000 lines, which suggests it involves multiple modules or classes.</t>
        </is>
      </c>
      <c r="I848" t="n">
        <v>0.005</v>
      </c>
      <c r="J848" t="n">
        <v>0.1404</v>
      </c>
      <c r="K848" t="n">
        <v>0.25</v>
      </c>
      <c r="L848" t="inlineStr">
        <is>
          <t>This Java class `RtReleaseAsset` represents a specific release asset within a GitHub repository. It provides methods for interacting with individual assets associated with a particular release. The class uses HTTP requests to communicate with the GitHub API, handling various aspects such as authentication, headers, and response parsing. The implementation is designed to be immutable and loggable, ensuring thread safety and proper logging during operation.</t>
        </is>
      </c>
      <c r="M848" t="n">
        <v>0.0034</v>
      </c>
      <c r="N848" t="n">
        <v>0.0833</v>
      </c>
      <c r="O848" t="n">
        <v>0.1471</v>
      </c>
    </row>
    <row r="849">
      <c r="A849" t="inlineStr">
        <is>
          <t>jcabi</t>
        </is>
      </c>
      <c r="B849" t="inlineStr">
        <is>
          <t>src/main/java/com/jcabi/github/Check.java</t>
        </is>
      </c>
      <c r="C849">
        <f>HYPERLINK("https://github.com/jcabi/jcabi-github/blob/master/src/main/java/com/jcabi/github/Check.java")</f>
        <v/>
      </c>
      <c r="D849" t="inlineStr">
        <is>
          <t>The provided Java code defines an `interface` named `Check`, which represents a GitHub check run. It includes methods to determine if the check was successful and to retrieve its status. The class also enumerates possible statuses for check runs using an `enum`. This interface is part of a larger system designed to interact with GitHub's REST API for managing checks on Git references.</t>
        </is>
      </c>
      <c r="E849" t="n">
        <v>0.0034</v>
      </c>
      <c r="F849" t="n">
        <v>0.0278</v>
      </c>
      <c r="G849" t="n">
        <v>0.1111</v>
      </c>
      <c r="H849" t="inlineStr">
        <is>
          <t>The repository contains backend software components that implement core algorithms with a time complexity of O(N). The implementation includes comments explaining the logic and commits detailing the initial creation of the codebase. The total size of the codebase is 1000 lines.</t>
        </is>
      </c>
      <c r="I849" t="n">
        <v>0.0059</v>
      </c>
      <c r="J849" t="n">
        <v>0.16</v>
      </c>
      <c r="K849" t="n">
        <v>0.177</v>
      </c>
      <c r="L849" t="inlineStr">
        <is>
          <t>The `Check` interface provides methods for interacting with GitHub checks runs, allowing developers to determine if a specific check run has been successful and retrieve its status. The interface includes a method to check if the check run was successful and an enumeration for possible statuses of the check run.</t>
        </is>
      </c>
      <c r="M849" t="n">
        <v>0.0037</v>
      </c>
      <c r="N849" t="n">
        <v>0.0345</v>
      </c>
      <c r="O849" t="n">
        <v>0.082</v>
      </c>
    </row>
    <row r="850">
      <c r="A850" t="inlineStr">
        <is>
          <t>jcabi</t>
        </is>
      </c>
      <c r="B850" t="inlineStr">
        <is>
          <t>src/main/java/com/jcabi/github/RtOrganizations.java</t>
        </is>
      </c>
      <c r="C850">
        <f>HYPERLINK("https://github.com/jcabi/jcabi-github/blob/master/src/main/java/com/jcabi/github/RtOrganizations.java")</f>
        <v/>
      </c>
      <c r="D850" t="inlineStr">
        <is>
          <t>The provided code defines a Java class `RtOrganizations` that represents GitHub organizations using HTTP requests to interact with the GitHub API. It includes methods for listing all organizations associated with a given GitHub instance. The class is marked as immutable and uses logging aspects for debugging purposes.</t>
        </is>
      </c>
      <c r="E850" t="n">
        <v>0.0039</v>
      </c>
      <c r="F850" t="n">
        <v>0.0364</v>
      </c>
      <c r="G850" t="n">
        <v>0.08400000000000001</v>
      </c>
      <c r="H850" t="inlineStr">
        <is>
          <t>The repository contains backend software components that implement core algorithms. The complexity is O(N), indicating linear time complexity for certain operations. The implementation includes comments explaining the purpose and functionality of each part of the code.</t>
        </is>
      </c>
      <c r="I850" t="n">
        <v>0.0073</v>
      </c>
      <c r="J850" t="n">
        <v>0.1778</v>
      </c>
      <c r="K850" t="n">
        <v>0.2315</v>
      </c>
      <c r="L850" t="inlineStr">
        <is>
          <t>The `RtOrganizations` class provides access to GitHub organization data through HTTP requests. It encapsulates the necessary methods for interacting with the GitHub Organizations API, such as listing all organizations, retrieving details about a specific organization, and managing members within those organizations. The class is designed to be immutable and loggable, ensuring thread safety and providing detailed logging during operation.</t>
        </is>
      </c>
      <c r="M850" t="n">
        <v>0.0031</v>
      </c>
      <c r="N850" t="n">
        <v>0.0299</v>
      </c>
      <c r="O850" t="n">
        <v>0.0382</v>
      </c>
    </row>
    <row r="851">
      <c r="A851" t="inlineStr">
        <is>
          <t>jcabi</t>
        </is>
      </c>
      <c r="B851" t="inlineStr">
        <is>
          <t>src/main/java/com/jcabi/github/PullComments.java</t>
        </is>
      </c>
      <c r="C851">
        <f>HYPERLINK("https://github.com/jcabi/jcabi-github/blob/master/src/main/java/com/jcabi/github/PullComments.java")</f>
        <v/>
      </c>
      <c r="D851" t="inlineStr">
        <is>
          <t>The provided code defines an `PullComments` interface that represents GitHub pull request comments. It includes methods to access the pull request associated with these comments, retrieve a specific comment by its number, and iterate over all comments for a given pull request using optional parameters. The implementation is marked as immutable, ensuring thread safety. This interface is part of a larger library designed to interact with GitHub's RESTful API</t>
        </is>
      </c>
      <c r="E851" t="n">
        <v>0.0031</v>
      </c>
      <c r="F851" t="n">
        <v>0.0256</v>
      </c>
      <c r="G851" t="n">
        <v>0.1418</v>
      </c>
      <c r="H851" t="inlineStr">
        <is>
          <t>The repository contains backend software components that implement core algorithms. The complexity is O(N), indicating linear time complexity. The implementation includes comments explaining the purpose and functionality of each part of the code. The commits include an initial codebase commit. The total size of the codebase is 1000 lines.</t>
        </is>
      </c>
      <c r="I851" t="n">
        <v>0.0053</v>
      </c>
      <c r="J851" t="n">
        <v>0.1379</v>
      </c>
      <c r="K851" t="n">
        <v>0.2066</v>
      </c>
      <c r="L851" t="inlineStr">
        <is>
          <t>The `PullComments` interface provides methods to interact with pull request comments in GitHub repositories. It allows retrieval of specific comments by their numbers and iteration over all comments associated with a given pull request. The implementation is designed to be immutable and follows best practices for code readability and maintainability.</t>
        </is>
      </c>
      <c r="M851" t="n">
        <v>0.0037</v>
      </c>
      <c r="N851" t="n">
        <v>0.06900000000000001</v>
      </c>
      <c r="O851" t="n">
        <v>0.082</v>
      </c>
    </row>
    <row r="852">
      <c r="A852" t="inlineStr">
        <is>
          <t>jcabi</t>
        </is>
      </c>
      <c r="B852" t="inlineStr">
        <is>
          <t>src/main/java/com/jcabi/github/RtReleases.java</t>
        </is>
      </c>
      <c r="C852">
        <f>HYPERLINK("https://github.com/jcabi/jcabi-github/blob/master/src/main/java/com/jcabi/github/RtReleases.java")</f>
        <v/>
      </c>
      <c r="D852" t="inlineStr">
        <is>
          <t>The provided Java code defines a class `RtReleases` that represents GitHub releases for a given repository. It uses HTTP requests to interact with the GitHub API to fetch release information. The class is immutable and includes logging annotations for debugging purposes. The constructor takes a base URL (`entry`) and a repository object (`owner`). The `get()` method retrieves all releases from the specified repository using the GitHub</t>
        </is>
      </c>
      <c r="E852" t="n">
        <v>0.0028</v>
      </c>
      <c r="F852" t="n">
        <v>0.027</v>
      </c>
      <c r="G852" t="n">
        <v>0.0725</v>
      </c>
      <c r="H852" t="inlineStr">
        <is>
          <t>Manages GitHub releases for repositories.</t>
        </is>
      </c>
      <c r="I852" t="n">
        <v>0</v>
      </c>
      <c r="J852" t="n">
        <v>0</v>
      </c>
      <c r="K852" t="n">
        <v>0</v>
      </c>
      <c r="L852" t="inlineStr">
        <is>
          <t>The `RtReleases` class provides access to GitHub release data for a specified repository. It uses HTTP requests to interact with the GitHub API, handling responses as JSON structures. The class is immutable and includes logging annotations for debugging purposes. It encapsulates both the base URL (`entry`) and the specific endpoint for accessing releases (`request`). The constructor takes these parameters and initializes the necessary fields.</t>
        </is>
      </c>
      <c r="M852" t="n">
        <v>0.0028</v>
      </c>
      <c r="N852" t="n">
        <v>0.0278</v>
      </c>
      <c r="O852" t="n">
        <v>0.0735</v>
      </c>
    </row>
    <row r="853">
      <c r="A853" t="inlineStr">
        <is>
          <t>jcabi</t>
        </is>
      </c>
      <c r="B853" t="inlineStr">
        <is>
          <t>src/main/java/com/jcabi/github/Stargazers.java</t>
        </is>
      </c>
      <c r="C853">
        <f>HYPERLINK("https://github.com/jcabi/jcabi-github/blob/master/src/main/java/com/jcabi/github/Stargazers.java")</f>
        <v/>
      </c>
      <c r="D853" t="inlineStr">
        <is>
          <t>The `Stargazers` interface provides an API to retrieve and iterate over a list of users who have starred a specific GitHub repository. It includes a method `iterable()` that returns an iterator yielding JSON values representing each stargazer's information. This implementation adheres to the RESTful API for listing stargazers on GitHub, as documented in the provided link. The complexity of this operation is</t>
        </is>
      </c>
      <c r="E853" t="n">
        <v>0.0035</v>
      </c>
      <c r="F853" t="n">
        <v>0.0563</v>
      </c>
      <c r="G853" t="n">
        <v>0.1119</v>
      </c>
      <c r="H853" t="inlineStr">
        <is>
          <t>Provides an interface for iterating over stargazers on GitHub repositories.</t>
        </is>
      </c>
      <c r="I853" t="n">
        <v>0</v>
      </c>
      <c r="J853" t="n">
        <v>0</v>
      </c>
      <c r="K853" t="n">
        <v>0</v>
      </c>
      <c r="L853" t="inlineStr">
        <is>
          <t>The `Stargazers` interface provides an iterator for listing all users who have starred a GitHub repository. It uses JSON values to represent each stargazer and can throw an `IOException` if there's an issue with reading data from the API. The implementation complexity is O(N), where N is the number of stargazers.</t>
        </is>
      </c>
      <c r="M853" t="n">
        <v>0.0036</v>
      </c>
      <c r="N853" t="n">
        <v>0.0328</v>
      </c>
      <c r="O853" t="n">
        <v>0.122</v>
      </c>
    </row>
    <row r="854">
      <c r="A854" t="inlineStr">
        <is>
          <t>jcabi</t>
        </is>
      </c>
      <c r="B854" t="inlineStr">
        <is>
          <t>src/main/java/com/jcabi/github/RtHooks.java</t>
        </is>
      </c>
      <c r="C854">
        <f>HYPERLINK("https://github.com/jcabi/jcabi-github/blob/master/src/main/java/com/jcabi/github/RtHooks.java")</f>
        <v/>
      </c>
      <c r="D854" t="inlineStr">
        <is>
          <t>The provided Java code defines a class `RtHooks` that represents GitHub hooks for interacting with repositories. It uses HTTP requests to communicate with the GitHub API. The class is immutable and includes logging annotations. It provides methods to manage webhooks associated with a specific owner's repository. The complexity is O(N), where N is the number of operations performed on the data structures involved in managing the hooks.</t>
        </is>
      </c>
      <c r="E854" t="n">
        <v>0.0027</v>
      </c>
      <c r="F854" t="n">
        <v>0.026</v>
      </c>
      <c r="G854" t="n">
        <v>0.07190000000000001</v>
      </c>
      <c r="H854" t="inlineStr">
        <is>
          <t>The code is a Java implementation of GitHub hooks that provides methods to interact with GitHub's webhooks feature. It includes classes for handling requests, responses, and JSON structures, as well as annotations for immutability and logging. The complexity is high due to its extensive use of HTTP requests and JSON processing.</t>
        </is>
      </c>
      <c r="I854" t="n">
        <v>0.0036</v>
      </c>
      <c r="J854" t="n">
        <v>0.0667</v>
      </c>
      <c r="K854" t="n">
        <v>0.122</v>
      </c>
      <c r="L854" t="inlineStr">
        <is>
          <t>This Java class provides access to GitHub webhooks through HTTP requests. It uses the `RtRequest` for making API calls and handles responses as JSON structures. The class is immutable and includes logging annotations for debugging purposes. It supports methods like listing all hooks, creating new hooks, updating existing ones, and deleting them.</t>
        </is>
      </c>
      <c r="M854" t="n">
        <v>0.0042</v>
      </c>
      <c r="N854" t="n">
        <v>0.0667</v>
      </c>
      <c r="O854" t="n">
        <v>0.121</v>
      </c>
    </row>
    <row r="855">
      <c r="A855" t="inlineStr">
        <is>
          <t>jcabi</t>
        </is>
      </c>
      <c r="B855" t="inlineStr">
        <is>
          <t>src/main/java/com/jcabi/github/PullComment.java</t>
        </is>
      </c>
      <c r="C855">
        <f>HYPERLINK("https://github.com/jcabi/jcabi-github/blob/master/src/main/java/com/jcabi/github/PullComment.java")</f>
        <v/>
      </c>
      <c r="D855" t="inlineStr">
        <is>
          <t>The provided Java code defines a class `PullComment` within the package `com.jcabi.github`. This class represents a pull request comment on GitHub and provides methods for interacting with this data. Key functionalities include:
1. **JSON Readability**: The class implements `JsonReadable`, allowing users to access the comment's details in JSON format using the method `jsn()`.
2. **Smart</t>
        </is>
      </c>
      <c r="E855" t="n">
        <v>0.0044</v>
      </c>
      <c r="F855" t="n">
        <v>0.0606</v>
      </c>
      <c r="G855" t="n">
        <v>0.1575</v>
      </c>
      <c r="H855" t="inlineStr">
        <is>
          <t>The repository contains backend software components with complexity O(N), implementing core algorithms. The README describes this as a repository containing backend software components. Complexity is measured by N, indicating linear time complexity for certain operations. The implementation includes comments explaining the purpose of each part of the code, starting from an initial codebase commit. The total size of the codebase is 1000 lines.</t>
        </is>
      </c>
      <c r="I855" t="n">
        <v>0.0034</v>
      </c>
      <c r="J855" t="n">
        <v>0.0833</v>
      </c>
      <c r="K855" t="n">
        <v>0.1852</v>
      </c>
      <c r="L855" t="inlineStr">
        <is>
          <t>This Java class provides access to comments made on GitHub pull requests. It includes methods for retrieving the comment's ID, body, author, creation date, and more. The class is designed to be immutable and uses annotations for logging and immutability checks. It also supports reading the comment data as a JSON object.</t>
        </is>
      </c>
      <c r="M855" t="n">
        <v>0.0042</v>
      </c>
      <c r="N855" t="n">
        <v>0.06560000000000001</v>
      </c>
      <c r="O855" t="n">
        <v>0.121</v>
      </c>
    </row>
    <row r="856">
      <c r="A856" t="inlineStr">
        <is>
          <t>jcabi</t>
        </is>
      </c>
      <c r="B856" t="inlineStr">
        <is>
          <t>src/main/java/com/jcabi/github/PullRef.java</t>
        </is>
      </c>
      <c r="C856">
        <f>HYPERLINK("https://github.com/jcabi/jcabi-github/blob/master/src/main/java/com/jcabi/github/PullRef.java")</f>
        <v/>
      </c>
      <c r="D856" t="inlineStr">
        <is>
          <t>The provided code defines an `PullRef` interface that represents a reference to a pull request on GitHub. It includes methods for accessing the repository it belongs to, the ref name, and the commit SHA associated with the pull request. The class uses annotations like `@Immutable`, `@Loggable`, and `@ToString` from the Lombok library for immutability, logging, and string representation</t>
        </is>
      </c>
      <c r="E856" t="n">
        <v>0.0031</v>
      </c>
      <c r="F856" t="n">
        <v>0.0303</v>
      </c>
      <c r="G856" t="n">
        <v>0.0769</v>
      </c>
      <c r="H856" t="inlineStr">
        <is>
          <t>This repository contains backend software components that implement core algorithms. The complexity of the implementation is O(N), indicating linear time complexity for certain operations. The code size is 1000 lines, making it relatively large but focused on providing efficient algorithmic solutions.</t>
        </is>
      </c>
      <c r="I856" t="n">
        <v>0.0059</v>
      </c>
      <c r="J856" t="n">
        <v>0.16</v>
      </c>
      <c r="K856" t="n">
        <v>0.177</v>
      </c>
      <c r="L856" t="inlineStr">
        <is>
          <t>This Java interface `PullRef` represents a reference to a pull request on GitHub. It provides methods to retrieve details about the repository, the branch being referenced, and the commit associated with that branch. The class uses annotations for immutability and logging, making it suitable for use in applications requiring thread-safe data structures and performance optimization through caching mechanisms.</t>
        </is>
      </c>
      <c r="M856" t="n">
        <v>0.0037</v>
      </c>
      <c r="N856" t="n">
        <v>0.0597</v>
      </c>
      <c r="O856" t="n">
        <v>0.1154</v>
      </c>
    </row>
    <row r="857">
      <c r="A857" t="inlineStr">
        <is>
          <t>jcabi</t>
        </is>
      </c>
      <c r="B857" t="inlineStr">
        <is>
          <t>src/main/java/com/jcabi/github/Hook.java</t>
        </is>
      </c>
      <c r="C857">
        <f>HYPERLINK("https://github.com/jcabi/jcabi-github/blob/master/src/main/java/com/jcabi/github/Hook.java")</f>
        <v/>
      </c>
      <c r="D857" t="inlineStr">
        <is>
          <t>The provided Java code defines an interface `Hook` that represents a GitHub webhook. It includes methods to access the associated repository, retrieve the webhook's number, and provides a smart implementation (`Smart`) with additional logging and equality checks. The code is part of a larger project focused on interacting with GitHub repositories through webhooks.</t>
        </is>
      </c>
      <c r="E857" t="n">
        <v>0.0035</v>
      </c>
      <c r="F857" t="n">
        <v>0.0645</v>
      </c>
      <c r="G857" t="n">
        <v>0.12</v>
      </c>
      <c r="H857" t="inlineStr">
        <is>
          <t>The repository contains backend software components that implement core algorithms. The complexity is O(N), indicating linear time complexity for certain operations. Comments provide detailed explanations of the implementation. The commits include an initial codebase commit. The total size of the codebase is 1000 lines.</t>
        </is>
      </c>
      <c r="I857" t="n">
        <v>0.005</v>
      </c>
      <c r="J857" t="n">
        <v>0.1132</v>
      </c>
      <c r="K857" t="n">
        <v>0.2203</v>
      </c>
      <c r="L857" t="inlineStr">
        <is>
          <t>The code provides an interface `Hook` representing a GitHub webhook that interacts with repositories. It includes methods for accessing the associated repository, retrieving the hook's number, and providing a smart implementation with additional logging and equality checks. The code is designed to be immutable and uses Lombok annotations for convenience.</t>
        </is>
      </c>
      <c r="M857" t="n">
        <v>0.0037</v>
      </c>
      <c r="N857" t="n">
        <v>0.0678</v>
      </c>
      <c r="O857" t="n">
        <v>0.123</v>
      </c>
    </row>
    <row r="858">
      <c r="A858" t="inlineStr">
        <is>
          <t>jcabi</t>
        </is>
      </c>
      <c r="B858" t="inlineStr">
        <is>
          <t>src/main/java/com/jcabi/github/RtRepos.java</t>
        </is>
      </c>
      <c r="C858">
        <f>HYPERLINK("https://github.com/jcabi/jcabi-github/blob/master/src/main/java/com/jcabi/github/RtRepos.java")</f>
        <v/>
      </c>
      <c r="D858" t="inlineStr">
        <is>
          <t>The `RtRepos` class is an immutable implementation of the `Repos` interface from the `com.jcabi.github` package. It provides access to GitHub repositories through a RESTful API endpoint. The class uses the `GitHub`, `Request`, and `JsonResponse` classes from the same package for communication with the GitHub server. The `RestResponse` class is used to handle</t>
        </is>
      </c>
      <c r="E858" t="n">
        <v>0.0035</v>
      </c>
      <c r="F858" t="n">
        <v>0.0645</v>
      </c>
      <c r="G858" t="n">
        <v>0.121</v>
      </c>
      <c r="H858" t="inlineStr">
        <is>
          <t>Manages GitHub repositories using HTTP requests.</t>
        </is>
      </c>
      <c r="I858" t="n">
        <v>0</v>
      </c>
      <c r="J858" t="n">
        <v>0</v>
      </c>
      <c r="K858" t="n">
        <v>0.0641</v>
      </c>
      <c r="L858" t="inlineStr">
        <is>
          <t>The `RtRepos` class provides access to GitHub repositories through a RESTful API endpoint. It encapsulates a GitHub instance and a request object for making HTTP requests. The class is immutable and uses logging annotations for debugging purposes. It allows retrieval of repository data by sending GET requests to the appropriate endpoints.</t>
        </is>
      </c>
      <c r="M858" t="n">
        <v>0.0036</v>
      </c>
      <c r="N858" t="n">
        <v>0.0339</v>
      </c>
      <c r="O858" t="n">
        <v>0.0813</v>
      </c>
    </row>
    <row r="859">
      <c r="A859" t="inlineStr">
        <is>
          <t>jcabi</t>
        </is>
      </c>
      <c r="B859" t="inlineStr">
        <is>
          <t>src/main/java/com/jcabi/github/PublicMembers.java</t>
        </is>
      </c>
      <c r="C859">
        <f>HYPERLINK("https://github.com/jcabi/jcabi-github/blob/master/src/main/java/com/jcabi/github/PublicMembers.java")</f>
        <v/>
      </c>
      <c r="D859" t="inlineStr">
        <is>
          <t>The provided Java code defines an interface `PublicMembers` that represents the public members of a GitHub organization. It includes methods for accessing the organization itself and managing users' visibility within it:
1. **org()**: Returns the organization object associated with this collection of public members.
2. **conceal(User user)**: Hides a specific user's membership from being publicly visible in the organization.</t>
        </is>
      </c>
      <c r="E859" t="n">
        <v>0.0031</v>
      </c>
      <c r="F859" t="n">
        <v>0.029</v>
      </c>
      <c r="G859" t="n">
        <v>0.07630000000000001</v>
      </c>
      <c r="H859" t="inlineStr">
        <is>
          <t>The code provides backend software components that implement core algorithms. The complexity is O(N), indicating linear time complexity in relation to input size. Comments describe the implementation details, and commits include the initial creation of the codebase. The total code size is 1000 lines.</t>
        </is>
      </c>
      <c r="I859" t="n">
        <v>0.0055</v>
      </c>
      <c r="J859" t="n">
        <v>0.1509</v>
      </c>
      <c r="K859" t="n">
        <v>0.1724</v>
      </c>
      <c r="L859" t="inlineStr">
        <is>
          <t>The `PublicMembers` interface provides methods for managing public memberships within a GitHub organization. It includes operations to retrieve the organization associated with these memberships, conceal a user's membership from being publicly visible, and make a user's membership publicly accessible. The implementation is marked as immutable, ensuring that once created, the object cannot be modified.</t>
        </is>
      </c>
      <c r="M859" t="n">
        <v>0.0034</v>
      </c>
      <c r="N859" t="n">
        <v>0.0312</v>
      </c>
      <c r="O859" t="n">
        <v>0.0794</v>
      </c>
    </row>
    <row r="860">
      <c r="A860" t="inlineStr">
        <is>
          <t>jcabi</t>
        </is>
      </c>
      <c r="B860" t="inlineStr">
        <is>
          <t>src/main/java/com/jcabi/github/RtGit.java</t>
        </is>
      </c>
      <c r="C860">
        <f>HYPERLINK("https://github.com/jcabi/jcabi-github/blob/master/src/main/java/com/jcabi/github/RtGit.java")</f>
        <v/>
      </c>
      <c r="D860" t="inlineStr">
        <is>
          <t>The provided code defines a `RtGit` class that represents a Git repository on GitHub using HTTP requests. It includes methods to interact with different aspects of the repository such as retrieving blobs and commits. The class is immutable and uses logging for debugging purposes.</t>
        </is>
      </c>
      <c r="E860" t="n">
        <v>0.0042</v>
      </c>
      <c r="F860" t="n">
        <v>0.0385</v>
      </c>
      <c r="G860" t="n">
        <v>0.0862</v>
      </c>
      <c r="H860" t="inlineStr">
        <is>
          <t>Manages repositories on GitHub using HTTP requests.</t>
        </is>
      </c>
      <c r="I860" t="n">
        <v>0</v>
      </c>
      <c r="J860" t="n">
        <v>0</v>
      </c>
      <c r="K860" t="n">
        <v>0.0633</v>
      </c>
      <c r="L860" t="inlineStr">
        <is>
          <t>This code defines a `RtGit` class that provides access to Git repositories hosted on GitHub through HTTP requests. It encapsulates the necessary methods for interacting with different aspects of a repository such as retrieving blobs and commits. The class is immutable and uses logging for debugging purposes.</t>
        </is>
      </c>
      <c r="M860" t="n">
        <v>0.0046</v>
      </c>
      <c r="N860" t="n">
        <v>0.0727</v>
      </c>
      <c r="O860" t="n">
        <v>0.1261</v>
      </c>
    </row>
    <row r="861">
      <c r="A861" t="inlineStr">
        <is>
          <t>jcabi</t>
        </is>
      </c>
      <c r="B861" t="inlineStr">
        <is>
          <t>src/main/java/com/jcabi/github/RtGitignores.java</t>
        </is>
      </c>
      <c r="C861">
        <f>HYPERLINK("https://github.com/jcabi/jcabi-github/blob/master/src/main/java/com/jcabi/github/RtGitignores.java")</f>
        <v/>
      </c>
      <c r="D861" t="inlineStr">
        <is>
          <t>The provided code defines a Java class `RtGitignores` that represents a service for accessing `.gitignore` templates on GitHub. It uses HTTP requests to interact with the GitHub API and returns JSON responses containing information about available gitignore templates. The class is immutable and utilizes Lombok's `@EqualsAndHashCode` annotation to ensure proper object equality based on its fields.</t>
        </is>
      </c>
      <c r="E861" t="n">
        <v>0.0033</v>
      </c>
      <c r="F861" t="n">
        <v>0.0308</v>
      </c>
      <c r="G861" t="n">
        <v>0.0781</v>
      </c>
      <c r="H861" t="inlineStr">
        <is>
          <t>This repository contains backend software components that implement core algorithms. The complexity is O(N), indicating linear time complexity for certain operations. The implementation includes comments explaining key functionalities and commits detailing the initial creation of the codebase. The total size of the codebase is 1000 lines.</t>
        </is>
      </c>
      <c r="I861" t="n">
        <v>0.0057</v>
      </c>
      <c r="J861" t="n">
        <v>0.2182</v>
      </c>
      <c r="K861" t="n">
        <v>0.3613</v>
      </c>
      <c r="L861" t="inlineStr">
        <is>
          <t>The `RtGitignores` class provides access to GitHub's `.gitignore` template data using HTTP requests. It encapsulates the GitHub instance and a RESTful request object for making API calls. The class is immutable and uses Lombok annotations for equality checks. It allows retrieval of various types of `.gitignore` templates based on their names, such as global, system, user-specific,</t>
        </is>
      </c>
      <c r="M861" t="n">
        <v>0.0033</v>
      </c>
      <c r="N861" t="n">
        <v>0.0303</v>
      </c>
      <c r="O861" t="n">
        <v>0.0781</v>
      </c>
    </row>
    <row r="862">
      <c r="A862" t="inlineStr">
        <is>
          <t>jcabi</t>
        </is>
      </c>
      <c r="B862" t="inlineStr">
        <is>
          <t>src/main/java/com/jcabi/github/PublicKey.java</t>
        </is>
      </c>
      <c r="C862">
        <f>HYPERLINK("https://github.com/jcabi/jcabi-github/blob/master/src/main/java/com/jcabi/github/PublicKey.java")</f>
        <v/>
      </c>
      <c r="D862" t="inlineStr">
        <is>
          <t>The provided Java code defines a class `PublicKey` within the package `com.jcabi.github`. This class represents a public key associated with a user on GitHub. It includes methods for reading the public key in JSON format and provides a smart decorator (`Smart`) to simplify accessing specific attributes like the title or fingerprint. The class is annotated with `@Immutable`, indicating that instances should be immutable, and</t>
        </is>
      </c>
      <c r="E862" t="n">
        <v>0.0034</v>
      </c>
      <c r="F862" t="n">
        <v>0.0541</v>
      </c>
      <c r="G862" t="n">
        <v>0.0735</v>
      </c>
      <c r="H862" t="inlineStr">
        <is>
          <t>The code is a Java package containing backend software components for implementing core algorithms. It includes comments explaining the implementation and complexity analysis. The README provides information about the repository and commits made to the initial codebase.</t>
        </is>
      </c>
      <c r="I862" t="n">
        <v>0.0066</v>
      </c>
      <c r="J862" t="n">
        <v>0.1778</v>
      </c>
      <c r="K862" t="n">
        <v>0.1835</v>
      </c>
      <c r="L862" t="inlineStr">
        <is>
          <t>The `PublicKey` class provides access to GitHub user keys in JSON format, allowing for easy retrieval of various properties such as the key type, ID, and URL. It includes methods like `json()` to retrieve the full JSON representation and smart decorators (`Smart`) for convenient property access. The class is designed to be immutable and loggable, making it suitable for integration into larger systems.</t>
        </is>
      </c>
      <c r="M862" t="n">
        <v>0.0029</v>
      </c>
      <c r="N862" t="n">
        <v>0.0282</v>
      </c>
      <c r="O862" t="n">
        <v>0.037</v>
      </c>
    </row>
    <row r="863">
      <c r="A863" t="inlineStr">
        <is>
          <t>jcabi</t>
        </is>
      </c>
      <c r="B863" t="inlineStr">
        <is>
          <t>src/main/java/com/jcabi/github/Collaborators.java</t>
        </is>
      </c>
      <c r="C863">
        <f>HYPERLINK("https://github.com/jcabi/jcabi-github/blob/master/src/main/java/com/jcabi/github/Collaborators.java")</f>
        <v/>
      </c>
      <c r="D863" t="inlineStr">
        <is>
          <t>The provided code defines an `interface` named `Collaborators` within the package `com.jcabi.github`. This interface represents a collection of users who have access to collaborate on a specific GitHub repository. The interface includes:
- An enumeration `Permission` that lists different permission levels a user can be assigned in an organization repository.
- A method `repo()` that returns the repository object associated with</t>
        </is>
      </c>
      <c r="E863" t="n">
        <v>0.003</v>
      </c>
      <c r="F863" t="n">
        <v>0.029</v>
      </c>
      <c r="G863" t="n">
        <v>0.0376</v>
      </c>
      <c r="H863" t="inlineStr">
        <is>
          <t>The code provides a Java interface for managing collaborators on GitHub repositories. It includes methods to check if a user is a collaborator and retrieve permission levels. The complexity is O(N), indicating that operations may involve iterating over collections or data structures. The implementation focuses on core algorithmic logic related to GitHub collaboration management.</t>
        </is>
      </c>
      <c r="I863" t="n">
        <v>0.004</v>
      </c>
      <c r="J863" t="n">
        <v>0.09520000000000001</v>
      </c>
      <c r="K863" t="n">
        <v>0.119</v>
      </c>
      <c r="L863" t="inlineStr">
        <is>
          <t>The `Collaborators` interface provides methods for managing collaborators in a GitHub repository. It includes permission levels such as pull, push, admin, maintain, and triage. The interface allows checking if a specific user is a collaborator and retrieving the owner's repository details.</t>
        </is>
      </c>
      <c r="M863" t="n">
        <v>0.0045</v>
      </c>
      <c r="N863" t="n">
        <v>0.04</v>
      </c>
      <c r="O863" t="n">
        <v>0.0442</v>
      </c>
    </row>
    <row r="864">
      <c r="A864" t="inlineStr">
        <is>
          <t>jcabi</t>
        </is>
      </c>
      <c r="B864" t="inlineStr">
        <is>
          <t>src/main/java/com/jcabi/github/RtCheck.java</t>
        </is>
      </c>
      <c r="C864">
        <f>HYPERLINK("https://github.com/jcabi/jcabi-github/blob/master/src/main/java/com/jcabi/github/RtCheck.java")</f>
        <v/>
      </c>
      <c r="D864" t="inlineStr">
        <is>
          <t>The provided code defines a class `RtCheck` that represents a GitHub check with a specified status and conclusion. It includes methods to retrieve these properties and provides constructors for initializing the object with either string representations or instances of `Check.Status` and `Check.Conclusion`. The complexity is O(1) as it involves simple attribute access and construction operations.</t>
        </is>
      </c>
      <c r="E864" t="n">
        <v>0.0033</v>
      </c>
      <c r="F864" t="n">
        <v>0.0303</v>
      </c>
      <c r="G864" t="n">
        <v>0.0394</v>
      </c>
      <c r="H864" t="inlineStr">
        <is>
          <t>The code defines a class `RtCheck` that represents a GitHub check with a status and conclusion. It includes constructors to initialize these properties from strings or directly. The method `successful()` checks if the check is successful based on its conclusion. This class is part of a larger repository containing backend software components.</t>
        </is>
      </c>
      <c r="I864" t="n">
        <v>0.0046</v>
      </c>
      <c r="J864" t="n">
        <v>0.0667</v>
      </c>
      <c r="K864" t="n">
        <v>0.1613</v>
      </c>
      <c r="L864" t="inlineStr">
        <is>
          <t>This class `RtCheck` represents a GitHub check run, providing methods to retrieve its status and conclusion. It uses enums from the `com.jcabi.github.Check` package to define possible statuses and conclusions for checks. The constructor initializes these properties based on input strings, allowing for easy creation of instances representing different states of a check run.</t>
        </is>
      </c>
      <c r="M864" t="n">
        <v>0.0041</v>
      </c>
      <c r="N864" t="n">
        <v>0.0625</v>
      </c>
      <c r="O864" t="n">
        <v>0.12</v>
      </c>
    </row>
    <row r="865">
      <c r="A865" t="inlineStr">
        <is>
          <t>jcabi</t>
        </is>
      </c>
      <c r="B865" t="inlineStr">
        <is>
          <t>src/main/java/com/jcabi/github/Assignees.java</t>
        </is>
      </c>
      <c r="C865">
        <f>HYPERLINK("https://github.com/jcabi/jcabi-github/blob/master/src/main/java/com/jcabi/github/Assignees.java")</f>
        <v/>
      </c>
      <c r="D865" t="inlineStr">
        <is>
          <t>The `Assignees` interface provides methods to interact with GitHub's API for managing issue assignees in repositories. It includes:
- An `iterate()` method that returns an iterable of users who can be assigned issues in a repository.
- A `check(String login)` method that checks whether a specific user has been assigned to issues in the repository.
These methods allow developers to manage and verify assignees programm</t>
        </is>
      </c>
      <c r="E865" t="n">
        <v>0.0028</v>
      </c>
      <c r="F865" t="n">
        <v>0.0274</v>
      </c>
      <c r="G865" t="n">
        <v>0.0365</v>
      </c>
      <c r="H865" t="inlineStr">
        <is>
          <t>Manages GitHub assignees by providing methods to list all available assignees and check if a specific user is an assignee for a repository.</t>
        </is>
      </c>
      <c r="I865" t="n">
        <v>0.0083</v>
      </c>
      <c r="J865" t="n">
        <v>0.0645</v>
      </c>
      <c r="K865" t="n">
        <v>0.0526</v>
      </c>
      <c r="L865" t="inlineStr">
        <is>
          <t>The `Assignees` interface provides methods to manage assignees for repositories on GitHub. It allows iterating over all available assignees and checking if a specific user is an assignee for a given repository. The implementation uses immutable objects and handles potential IO exceptions when checking assignees.</t>
        </is>
      </c>
      <c r="M865" t="n">
        <v>0.0041</v>
      </c>
      <c r="N865" t="n">
        <v>0.0755</v>
      </c>
      <c r="O865" t="n">
        <v>0.1282</v>
      </c>
    </row>
    <row r="866">
      <c r="A866" t="inlineStr">
        <is>
          <t>jcabi</t>
        </is>
      </c>
      <c r="B866" t="inlineStr">
        <is>
          <t>src/main/java/com/jcabi/github/Notification.java</t>
        </is>
      </c>
      <c r="C866">
        <f>HYPERLINK("https://github.com/jcabi/jcabi-github/blob/master/src/main/java/com/jcabi/github/Notification.java")</f>
        <v/>
      </c>
      <c r="D866" t="inlineStr">
        <is>
          <t>The provided code defines an immutable `Notification` interface in the `com.jcabi.github` package. It includes a method `number()` that returns the unique identifier of the notification. The class is marked with the `@Immutable` annotation, indicating that instances of this class cannot be modified after creation. This design choice ensures thread safety and immutability, which can improve performance and reliability in concurrent</t>
        </is>
      </c>
      <c r="E866" t="n">
        <v>0.0036</v>
      </c>
      <c r="F866" t="n">
        <v>0.0571</v>
      </c>
      <c r="G866" t="n">
        <v>0.07580000000000001</v>
      </c>
      <c r="H866" t="inlineStr">
        <is>
          <t>The code defines an `Notification` interface in Java with a method to retrieve the notification's ID. It also includes comments explaining its purpose and usage, but lacks implementation details or complexity metrics. The README provides general information about the repository and commits, but does not detail the specific functionality of the code.</t>
        </is>
      </c>
      <c r="I866" t="n">
        <v>0.0042</v>
      </c>
      <c r="J866" t="n">
        <v>0.06560000000000001</v>
      </c>
      <c r="K866" t="n">
        <v>0.121</v>
      </c>
      <c r="L866" t="inlineStr">
        <is>
          <t>The `Notification` interface represents a single GitHub notification. It provides access to the notification's unique identifier (`number`). The class is marked as immutable, ensuring that once created, its state cannot be changed. The implementation includes a method to retrieve the notification's ID, which can be used by smart decorators to fetch additional properties like reason, unread status, update time, read time, URL, etc.,</t>
        </is>
      </c>
      <c r="M866" t="n">
        <v>0</v>
      </c>
      <c r="N866" t="n">
        <v>0.0274</v>
      </c>
      <c r="O866" t="n">
        <v>0.0741</v>
      </c>
    </row>
    <row r="867">
      <c r="A867" t="inlineStr">
        <is>
          <t>jcabi</t>
        </is>
      </c>
      <c r="B867" t="inlineStr">
        <is>
          <t>src/main/java/com/jcabi/github/RtPullRef.java</t>
        </is>
      </c>
      <c r="C867">
        <f>HYPERLINK("https://github.com/jcabi/jcabi-github/blob/master/src/main/java/com/jcabi/github/RtPullRef.java")</f>
        <v/>
      </c>
      <c r="D867" t="inlineStr">
        <is>
          <t>The provided code defines a Java class `RtPullRef` that represents a reference to a pull request in a GitHub repository. It includes methods for accessing various properties of the pull request such as its JSON representation, the reference string, and other relevant details. The class uses Lombok annotations for automatic generation of boilerplate code like equals and hashcode methods, and it is annotated with Loggable for</t>
        </is>
      </c>
      <c r="E867" t="n">
        <v>0.0028</v>
      </c>
      <c r="F867" t="n">
        <v>0.027</v>
      </c>
      <c r="G867" t="n">
        <v>0.0725</v>
      </c>
      <c r="H867" t="inlineStr">
        <is>
          <t>Manages GitHub pull requests by providing access to their details through a JSON representation.</t>
        </is>
      </c>
      <c r="I867" t="n">
        <v>0</v>
      </c>
      <c r="J867" t="n">
        <v>0</v>
      </c>
      <c r="K867" t="n">
        <v>0</v>
      </c>
      <c r="L867" t="inlineStr">
        <is>
          <t>This Java class `RtPullRef` represents a reference to a pull request on GitHub. It provides methods to access various properties of the pull request such as its JSON representation, the ref name, and other details through the GitHub API. The class uses annotations for logging and equality checks.</t>
        </is>
      </c>
      <c r="M867" t="n">
        <v>0.0045</v>
      </c>
      <c r="N867" t="n">
        <v>0.07140000000000001</v>
      </c>
      <c r="O867" t="n">
        <v>0.125</v>
      </c>
    </row>
    <row r="868">
      <c r="A868" t="inlineStr">
        <is>
          <t>jcabi</t>
        </is>
      </c>
      <c r="B868" t="inlineStr">
        <is>
          <t>src/main/java/com/jcabi/github/RtMilestones.java</t>
        </is>
      </c>
      <c r="C868">
        <f>HYPERLINK("https://github.com/jcabi/jcabi-github/blob/master/src/main/java/com/jcabi/github/RtMilestones.java")</f>
        <v/>
      </c>
      <c r="D868" t="inlineStr">
        <is>
          <t>The provided code defines a Java class `RtMilestones` that represents GitHub milestones using HTTP requests to interact with the GitHub API. It includes methods for listing all milestones in a repository, retrieving details about a specific milestone by its ID, creating a new milestone, updating an existing milestone, and deleting a milestone. The class uses annotations from the Jcabi library to enhance logging and immut</t>
        </is>
      </c>
      <c r="E868" t="n">
        <v>0.0028</v>
      </c>
      <c r="F868" t="n">
        <v>0.0274</v>
      </c>
      <c r="G868" t="n">
        <v>0.073</v>
      </c>
      <c r="H868" t="inlineStr">
        <is>
          <t>The provided code is a Java implementation of GitHub milestones using the JCabi library. It includes methods for managing milestones on repositories, such as retrieving all milestones or creating new ones. The code uses HTTP requests to interact with the GitHub API and processes JSON responses.</t>
        </is>
      </c>
      <c r="I868" t="n">
        <v>0.004</v>
      </c>
      <c r="J868" t="n">
        <v>0.0741</v>
      </c>
      <c r="K868" t="n">
        <v>0.1271</v>
      </c>
      <c r="L868" t="inlineStr">
        <is>
          <t>This Java code defines a class `RtMilestones` that provides access to milestone data for repositories hosted on GitHub using HTTP requests. It encapsulates methods to retrieve all milestones from a specified owner's repository, as well as individual milestone details by ID. The class uses annotations for immutability and logging, ensuring thread safety and performance optimization.</t>
        </is>
      </c>
      <c r="M868" t="n">
        <v>0.004</v>
      </c>
      <c r="N868" t="n">
        <v>0.0625</v>
      </c>
      <c r="O868" t="n">
        <v>0.1181</v>
      </c>
    </row>
    <row r="869">
      <c r="A869" t="inlineStr">
        <is>
          <t>jcabi</t>
        </is>
      </c>
      <c r="B869" t="inlineStr">
        <is>
          <t>src/main/java/com/jcabi/github/RtUser.java</t>
        </is>
      </c>
      <c r="C869">
        <f>HYPERLINK("https://github.com/jcabi/jcabi-github/blob/master/src/main/java/com/jcabi/github/RtUser.java")</f>
        <v/>
      </c>
      <c r="D869" t="inlineStr">
        <is>
          <t>The provided Java code defines a class `RtUser` that represents a user on GitHub using the Jcabi library. It provides methods to interact with various aspects of the GitHub API related to users, such as retrieving notifications. The class is immutable and uses logging for debugging purposes. It includes fields for the GitHub instance (`ghub`) and a RESTful request object (`request`). The class also</t>
        </is>
      </c>
      <c r="E869" t="n">
        <v>0.0028</v>
      </c>
      <c r="F869" t="n">
        <v>0.0278</v>
      </c>
      <c r="G869" t="n">
        <v>0.0735</v>
      </c>
      <c r="H869" t="inlineStr">
        <is>
          <t>The code is a Java implementation of a GitHub user API client that provides access to various resources related to users on GitHub, such as their notifications. It uses HTTP requests to interact with the GitHub API and processes JSON responses to retrieve user data. The complexity is high due to the number of methods and features implemented in the class.</t>
        </is>
      </c>
      <c r="I869" t="n">
        <v>0.003</v>
      </c>
      <c r="J869" t="n">
        <v>0.058</v>
      </c>
      <c r="K869" t="n">
        <v>0.1128</v>
      </c>
      <c r="L869" t="inlineStr">
        <is>
          <t>This Java class `RtUser` represents a GitHub user object that provides access to various endpoints related to the user's profile and notifications using HTTP requests. It is immutable and uses logging annotations for debugging purposes. The class includes methods to retrieve the user's login, list their repositories, fetch starred repositories, get followers, following users, check if they have starred a specific repository, send a notification,</t>
        </is>
      </c>
      <c r="M869" t="n">
        <v>0.0033</v>
      </c>
      <c r="N869" t="n">
        <v>0.0533</v>
      </c>
      <c r="O869" t="n">
        <v>0.1095</v>
      </c>
    </row>
    <row r="870">
      <c r="A870" t="inlineStr">
        <is>
          <t>jcabi</t>
        </is>
      </c>
      <c r="B870" t="inlineStr">
        <is>
          <t>src/main/java/com/jcabi/github/RtContents.java</t>
        </is>
      </c>
      <c r="C870">
        <f>HYPERLINK("https://github.com/jcabi/jcabi-github/blob/master/src/main/java/com/jcabi/github/RtContents.java")</f>
        <v/>
      </c>
      <c r="D870" t="inlineStr">
        <is>
          <t>The provided Java code defines a class `RtContents` that represents GitHub content within a specific repository. It uses HTTP requests to interact with the GitHub REST API to retrieve and manipulate files in repositories. The class is immutable and includes logging for debugging purposes. It provides methods to get file contents, update them, delete them, and list all files in the repository. The implementation uses JAX-RS</t>
        </is>
      </c>
      <c r="E870" t="n">
        <v>0.0028</v>
      </c>
      <c r="F870" t="n">
        <v>0.0267</v>
      </c>
      <c r="G870" t="n">
        <v>0.1087</v>
      </c>
      <c r="H870" t="inlineStr">
        <is>
          <t>The provided code is a Java implementation of a GitHub content management system using the JCabi library. It includes classes for handling requests to the GitHub REST API, parsing JSON responses, and managing repositories. The complexity is high due to its extensive use of HTTP requests and JSON processing.</t>
        </is>
      </c>
      <c r="I870" t="n">
        <v>0.0037</v>
      </c>
      <c r="J870" t="n">
        <v>0.0702</v>
      </c>
      <c r="K870" t="n">
        <v>0.124</v>
      </c>
      <c r="L870" t="inlineStr">
        <is>
          <t>This Java class `RtContents` provides access to content within a GitHub repository using HTTP requests. It encapsulates the necessary details such as the API entry point and the repository owner. The class is immutable and uses logging for debugging purposes. It supports various methods to retrieve different types of content from the specified repository, including files, directories, and blobs. The implementation leverages JSON responses to parse and</t>
        </is>
      </c>
      <c r="M870" t="n">
        <v>0.0032</v>
      </c>
      <c r="N870" t="n">
        <v>0.08</v>
      </c>
      <c r="O870" t="n">
        <v>0.1439</v>
      </c>
    </row>
    <row r="871">
      <c r="A871" t="inlineStr">
        <is>
          <t>jcabi</t>
        </is>
      </c>
      <c r="B871" t="inlineStr">
        <is>
          <t>src/main/java/com/jcabi/github/Branches.java</t>
        </is>
      </c>
      <c r="C871">
        <f>HYPERLINK("https://github.com/jcabi/jcabi-github/blob/master/src/main/java/com/jcabi/github/Branches.java")</f>
        <v/>
      </c>
      <c r="D871" t="inlineStr">
        <is>
          <t>The `Branches` interface provides methods to interact with GitHub repositories' branches. It includes:
- Accessing the repository (`repo()`).
- Iterating through all branches in the repository using an iterator (`iterate()`).
- Finding a specific branch by its name (`find(String name)`).
These methods utilize the GitHub REST API for listing branches and retrieving individual branch details. The implementation is marked as immutable</t>
        </is>
      </c>
      <c r="E871" t="n">
        <v>0.003</v>
      </c>
      <c r="F871" t="n">
        <v>0.0299</v>
      </c>
      <c r="G871" t="n">
        <v>0.1128</v>
      </c>
      <c r="H871" t="inlineStr">
        <is>
          <t>Manages GitHub repositories' branches with methods to retrieve them by name or iterate through all branches.</t>
        </is>
      </c>
      <c r="I871" t="n">
        <v>0</v>
      </c>
      <c r="J871" t="n">
        <v>0</v>
      </c>
      <c r="K871" t="n">
        <v>0</v>
      </c>
      <c r="L871" t="inlineStr">
        <is>
          <t>The `Branches` interface provides methods for interacting with branches in a GitHub repository. It includes methods to retrieve all branches (`iterate()`), find a specific branch by name (`find(String name)`), and access the repository associated with these branches (`repo()`) through the `Repo` interface. This interface is part of a larger library that interacts with GitHub repositories using their RESTful API.</t>
        </is>
      </c>
      <c r="M871" t="n">
        <v>0.0037</v>
      </c>
      <c r="N871" t="n">
        <v>0.0294</v>
      </c>
      <c r="O871" t="n">
        <v>0.1145</v>
      </c>
    </row>
    <row r="872">
      <c r="A872" t="inlineStr">
        <is>
          <t>jcabi</t>
        </is>
      </c>
      <c r="B872" t="inlineStr">
        <is>
          <t>src/main/java/com/jcabi/github/RtSearch.java</t>
        </is>
      </c>
      <c r="C872">
        <f>HYPERLINK("https://github.com/jcabi/jcabi-github/blob/master/src/main/java/com/jcabi/github/RtSearch.java")</f>
        <v/>
      </c>
      <c r="D872" t="inlineStr">
        <is>
          <t>The provided Java code defines a `RtSearch` class that represents a search functionality within the context of GitHub using the JCabi library. The class is immutable and uses logging to debug operations. It provides methods to perform searches on GitHub repositories based on various criteria such as language, topic, or user contributions. The implementation includes handling URLs and queries efficiently, ensuring robustness against common issues like URI syntax</t>
        </is>
      </c>
      <c r="E872" t="n">
        <v>0.0032</v>
      </c>
      <c r="F872" t="n">
        <v>0.0526</v>
      </c>
      <c r="G872" t="n">
        <v>0.1071</v>
      </c>
      <c r="H872" t="inlineStr">
        <is>
          <t>The provided code is a Java implementation of a search feature within a GitHub context. It uses HTTP requests to interact with the GitHub API and processes responses to perform searches based on various criteria such as repositories, issues, or users. The complexity of this component is O(N), where N represents the number of results returned from the GitHub API. The comments indicate that it implements core algorithms for handling search queries efficiently</t>
        </is>
      </c>
      <c r="I872" t="n">
        <v>0.0058</v>
      </c>
      <c r="J872" t="n">
        <v>0.0732</v>
      </c>
      <c r="K872" t="n">
        <v>0.2566</v>
      </c>
      <c r="L872" t="inlineStr">
        <is>
          <t>The `RtSearch` class is an immutable implementation of the `Search` interface from the `com.jcabi.github` package. It provides methods to search through repositories using various criteria such as keywords, languages, and user contributions. The class uses HTTP requests to interact with the GitHub API, handling both GET and POST requests based on the type of search being performed. The search results are returned</t>
        </is>
      </c>
      <c r="M872" t="n">
        <v>0.0029</v>
      </c>
      <c r="N872" t="n">
        <v>0.0556</v>
      </c>
      <c r="O872" t="n">
        <v>0.1119</v>
      </c>
    </row>
    <row r="873">
      <c r="A873" t="inlineStr">
        <is>
          <t>jcabi</t>
        </is>
      </c>
      <c r="B873" t="inlineStr">
        <is>
          <t>src/main/java/com/jcabi/github/RtJson.java</t>
        </is>
      </c>
      <c r="C873">
        <f>HYPERLINK("https://github.com/jcabi/jcabi-github/blob/master/src/main/java/com/jcabi/github/RtJson.java")</f>
        <v/>
      </c>
      <c r="D873" t="inlineStr">
        <is>
          <t>The `RtJson` class is part of a library for interacting with GitHub's API using HTTP requests. It provides methods to send GET requests to retrieve JSON data from GitHub resources and parse the responses into Java objects. The class uses the JAX-RS framework to handle HTTP requests and processes the JSON response using Jakarta EE's JSON processing APIs. This component is designed to be immutable and log all</t>
        </is>
      </c>
      <c r="E873" t="n">
        <v>0.0032</v>
      </c>
      <c r="F873" t="n">
        <v>0.0506</v>
      </c>
      <c r="G873" t="n">
        <v>0.1071</v>
      </c>
      <c r="H873" t="inlineStr">
        <is>
          <t>This repository contains backend software components implementing core algorithms. The complexity is O(N), indicating linear time complexity for certain operations.</t>
        </is>
      </c>
      <c r="I873" t="n">
        <v>0.0127</v>
      </c>
      <c r="J873" t="n">
        <v>0.2759</v>
      </c>
      <c r="K873" t="n">
        <v>0.3431</v>
      </c>
      <c r="L873" t="inlineStr">
        <is>
          <t>The `RtJson` class is an immutable wrapper around a RESTful HTTP request that retrieves JSON data from GitHub. It provides a method `fetch()` which sends the request and returns a `JsonObject`. The class uses logging for debugging purposes and ensures immutability through Lombok's `@Immutable` annotation.</t>
        </is>
      </c>
      <c r="M873" t="n">
        <v>0.0041</v>
      </c>
      <c r="N873" t="n">
        <v>0.037</v>
      </c>
      <c r="O873" t="n">
        <v>0.08550000000000001</v>
      </c>
    </row>
    <row r="874">
      <c r="A874" t="inlineStr">
        <is>
          <t>jcabi</t>
        </is>
      </c>
      <c r="B874" t="inlineStr">
        <is>
          <t>src/main/java/com/jcabi/github/RtUserEmails.java</t>
        </is>
      </c>
      <c r="C874">
        <f>HYPERLINK("https://github.com/jcabi/jcabi-github/blob/master/src/main/java/com/jcabi/github/RtUserEmails.java")</f>
        <v/>
      </c>
      <c r="D874" t="inlineStr">
        <is>
          <t>The provided code defines a Java class `RtUserEmails` that represents a collection of email addresses associated with a GitHub user. It uses HTTP requests to fetch these emails from the GitHub API and returns them as a list of strings. The class is immutable and includes logging annotations for debugging purposes. The constructor takes a `Request` object representing the base URL for accessing the GitHub API, which is</t>
        </is>
      </c>
      <c r="E874" t="n">
        <v>0.0027</v>
      </c>
      <c r="F874" t="n">
        <v>0.0263</v>
      </c>
      <c r="G874" t="n">
        <v>0.07140000000000001</v>
      </c>
      <c r="H874" t="inlineStr">
        <is>
          <t>The repository contains backend software components that implement core algorithms. The complexity is O(N), indicating linear time complexity in relation to input size. The comments describe the implementation as providing core algorithm implementations. The commits indicate the initial creation of the codebase. The total code size is 1000 lines.</t>
        </is>
      </c>
      <c r="I874" t="n">
        <v>0.0045</v>
      </c>
      <c r="J874" t="n">
        <v>0.1034</v>
      </c>
      <c r="K874" t="n">
        <v>0.124</v>
      </c>
      <c r="L874" t="inlineStr">
        <is>
          <t>The `RtUserEmails` class provides access to a GitHub user's email addresses by making HTTP requests to the GitHub API. It uses the `Request` interface from the `com.jcabi.http` package to interact with the API and returns the results as JSON arrays containing email details. The class is immutable and includes logging annotations for debugging purposes.</t>
        </is>
      </c>
      <c r="M874" t="n">
        <v>0.0034</v>
      </c>
      <c r="N874" t="n">
        <v>0.0308</v>
      </c>
      <c r="O874" t="n">
        <v>0.0794</v>
      </c>
    </row>
    <row r="875">
      <c r="A875" t="inlineStr">
        <is>
          <t>jcabi</t>
        </is>
      </c>
      <c r="B875" t="inlineStr">
        <is>
          <t>src/main/java/com/jcabi/github/Limit.java</t>
        </is>
      </c>
      <c r="C875">
        <f>HYPERLINK("https://github.com/jcabi/jcabi-github/blob/master/src/main/java/com/jcabi/github/Limit.java")</f>
        <v/>
      </c>
      <c r="D875" t="inlineStr">
        <is>
          <t>The provided code defines two interfaces: `Limit` and its implementation `Smart`. The `Limit` interface represents a rate limit for accessing GitHub resources, providing methods to retrieve information about the current usage and remaining quota. The `Smart` class is an immutable wrapper around the `Limit` interface that adds additional logging and equality checks. This setup allows developers to easily manage and monitor their access to GitHub's</t>
        </is>
      </c>
      <c r="E875" t="n">
        <v>0.0033</v>
      </c>
      <c r="F875" t="n">
        <v>0.0541</v>
      </c>
      <c r="G875" t="n">
        <v>0.1095</v>
      </c>
      <c r="H875" t="inlineStr">
        <is>
          <t>The repository contains backend software components that implement core algorithms. The complexity is O(N), indicating linear time complexity for certain operations. Comments provide detailed explanations of the implementation. The commits include an initial codebase commit. The total size of the codebase is 1000 lines.</t>
        </is>
      </c>
      <c r="I875" t="n">
        <v>0.005</v>
      </c>
      <c r="J875" t="n">
        <v>0.1132</v>
      </c>
      <c r="K875" t="n">
        <v>0.2203</v>
      </c>
      <c r="L875" t="inlineStr">
        <is>
          <t>The provided code defines an `Limit` interface that represents a rate limit for accessing GitHub resources. It includes methods to retrieve the GitHub instance associated with the limit and provides smart implementations of the `JsonReadable` interface to handle JSON data related to rate limits. The code is designed to be immutable and uses annotations like `@Immutable`, `@ToString`, and `@Loggable` for better readability and</t>
        </is>
      </c>
      <c r="M875" t="n">
        <v>0.0029</v>
      </c>
      <c r="N875" t="n">
        <v>0.0563</v>
      </c>
      <c r="O875" t="n">
        <v>0.1111</v>
      </c>
    </row>
    <row r="876">
      <c r="A876" t="inlineStr">
        <is>
          <t>jcabi</t>
        </is>
      </c>
      <c r="B876" t="inlineStr">
        <is>
          <t>src/main/java/com/jcabi/github/RtCollaborators.java</t>
        </is>
      </c>
      <c r="C876">
        <f>HYPERLINK("https://github.com/jcabi/jcabi-github/blob/master/src/main/java/com/jcabi/github/RtCollaborators.java")</f>
        <v/>
      </c>
      <c r="D876" t="inlineStr">
        <is>
          <t>The provided Java code defines a class `RtCollaborators` that implements the `Collaborators` interface from the JCabi GitHub library. This class is responsible for managing collaborators on a specific repository using HTTP requests to interact with the GitHub API.
Key functionalities include:
1. **API Entry Point**: The class uses a `Request` object (`entry`) to handle interactions with the GitHub API</t>
        </is>
      </c>
      <c r="E876" t="n">
        <v>0.0037</v>
      </c>
      <c r="F876" t="n">
        <v>0.0597</v>
      </c>
      <c r="G876" t="n">
        <v>0.1145</v>
      </c>
      <c r="H876" t="inlineStr">
        <is>
          <t>The repository contains backend software components with complexity O(N), implementing core algorithms. The implementation is documented with comments explaining its purpose and usage. The code size is 1000 lines.</t>
        </is>
      </c>
      <c r="I876" t="n">
        <v>0.008500000000000001</v>
      </c>
      <c r="J876" t="n">
        <v>0.2105</v>
      </c>
      <c r="K876" t="n">
        <v>0.198</v>
      </c>
      <c r="L876" t="inlineStr">
        <is>
          <t>This Java class `RtCollaborators` is part of a GitHub integration library that provides access to collaborators for a specific repository. It uses HTTP requests to interact with the GitHub API, handling JSON responses to retrieve and manipulate collaborator data. The class is designed to be immutable and loggable, ensuring thread safety and providing detailed logging during execution.</t>
        </is>
      </c>
      <c r="M876" t="n">
        <v>0.0038</v>
      </c>
      <c r="N876" t="n">
        <v>0.0615</v>
      </c>
      <c r="O876" t="n">
        <v>0.1163</v>
      </c>
    </row>
    <row r="877">
      <c r="A877" t="inlineStr">
        <is>
          <t>jcabi</t>
        </is>
      </c>
      <c r="B877" t="inlineStr">
        <is>
          <t>src/main/java/com/jcabi/github/Release.java</t>
        </is>
      </c>
      <c r="C877">
        <f>HYPERLINK("https://github.com/jcabi/jcabi-github/blob/master/src/main/java/com/jcabi/github/Release.java")</f>
        <v/>
      </c>
      <c r="D877" t="inlineStr">
        <is>
          <t>The provided Java code defines an `interface` named `Release`, which represents a GitHub release. It includes methods to interact with and retrieve information about releases from a GitHub repository. The class is marked as immutable and uses annotations for logging and immutability checks. Key functionalities include retrieving the owner's repository (`Repo`), accessing the release ID, deleting the release, and handling JSON operations using Jakarta Commons</t>
        </is>
      </c>
      <c r="E877" t="n">
        <v>0.0028</v>
      </c>
      <c r="F877" t="n">
        <v>0.0541</v>
      </c>
      <c r="G877" t="n">
        <v>0.073</v>
      </c>
      <c r="H877" t="inlineStr">
        <is>
          <t>The repository contains backend software components with complexity O(N), implementing core algorithms. The README provides information about the project's purpose and structure.</t>
        </is>
      </c>
      <c r="I877" t="n">
        <v>0.0114</v>
      </c>
      <c r="J877" t="n">
        <v>0.25</v>
      </c>
      <c r="K877" t="n">
        <v>0.3358</v>
      </c>
      <c r="L877" t="inlineStr">
        <is>
          <t>This Java interface `Release` represents a GitHub release, providing methods for accessing various properties such as the owner's repository, release ID, and deleting the release itself. It implements `JsonReadable` and `JsonPatchable`, allowing JSON serialization and patching capabilities. The class is marked as immutable and uses Lombok annotations for builder-style object creation and enhanced logging.</t>
        </is>
      </c>
      <c r="M877" t="n">
        <v>0.0045</v>
      </c>
      <c r="N877" t="n">
        <v>0.09379999999999999</v>
      </c>
      <c r="O877" t="n">
        <v>0.1587</v>
      </c>
    </row>
    <row r="878">
      <c r="A878" t="inlineStr">
        <is>
          <t>jcabi</t>
        </is>
      </c>
      <c r="B878" t="inlineStr">
        <is>
          <t>src/main/java/com/jcabi/github/Smarts.java</t>
        </is>
      </c>
      <c r="C878">
        <f>HYPERLINK("https://github.com/jcabi/jcabi-github/blob/master/src/main/java/com/jcabi/github/Smarts.java")</f>
        <v/>
      </c>
      <c r="D878" t="inlineStr">
        <is>
          <t>The `Smarts` class in this Java package provides a smart wrapper around any given iterable to enhance its functionality by adding additional methods or behavior. It uses reflection to dynamically instantiate each item in the iterable with a specified constructor argument. The main purpose is to simplify the process of working with complex data structures or when dealing with multiple types that require similar initialization logic. This can be particularly useful in scenarios where</t>
        </is>
      </c>
      <c r="E878" t="n">
        <v>0.0032</v>
      </c>
      <c r="F878" t="n">
        <v>0.0732</v>
      </c>
      <c r="G878" t="n">
        <v>0.1027</v>
      </c>
      <c r="H878" t="inlineStr">
        <is>
          <t>The repository contains backend software components that implement core algorithms. The complexity of these implementations is O(N), indicating linear time complexity in relation to input size.</t>
        </is>
      </c>
      <c r="I878" t="n">
        <v>0.0086</v>
      </c>
      <c r="J878" t="n">
        <v>0.1714</v>
      </c>
      <c r="K878" t="n">
        <v>0.1531</v>
      </c>
      <c r="L878" t="inlineStr">
        <is>
          <t>The `Smarts` class is a decorator that wraps an existing iterable of objects, providing additional functionality such as logging around each item during iteration. It uses reflection to dynamically create instances of smart wrappers (`Smart`) from the original items. The class is designed to be used as a decorator for any iterable of objects, allowing developers to easily access additional metadata or behaviors associated with each item without modifying the underlying</t>
        </is>
      </c>
      <c r="M878" t="n">
        <v>0.0026</v>
      </c>
      <c r="N878" t="n">
        <v>0.0253</v>
      </c>
      <c r="O878" t="n">
        <v>0.035</v>
      </c>
    </row>
    <row r="879">
      <c r="A879" t="inlineStr">
        <is>
          <t>jcabi</t>
        </is>
      </c>
      <c r="B879" t="inlineStr">
        <is>
          <t>src/main/java/com/jcabi/github/ReleaseAssets.java</t>
        </is>
      </c>
      <c r="C879">
        <f>HYPERLINK("https://github.com/jcabi/jcabi-github/blob/master/src/main/java/com/jcabi/github/ReleaseAssets.java")</f>
        <v/>
      </c>
      <c r="D879" t="inlineStr">
        <is>
          <t>The provided Java code defines an `interface` named `ReleaseAssets`, which represents GitHub release assets associated with a specific release. It includes methods to access the parent release, list all assets, and upload a new asset. This interface is part of a larger library that interacts with the GitHub REST API for managing releases and their assets.</t>
        </is>
      </c>
      <c r="E879" t="n">
        <v>0.0039</v>
      </c>
      <c r="F879" t="n">
        <v>0.0625</v>
      </c>
      <c r="G879" t="n">
        <v>0.1172</v>
      </c>
      <c r="H879" t="inlineStr">
        <is>
          <t>The repository contains backend software components that implement core algorithms. Complexity is O(N), indicating linear time complexity. Comments describe the implementation of these algorithms. Initial codebase was committed. Code size is 1000 lines.</t>
        </is>
      </c>
      <c r="I879" t="n">
        <v>0.0067</v>
      </c>
      <c r="J879" t="n">
        <v>0.1429</v>
      </c>
      <c r="K879" t="n">
        <v>0.1429</v>
      </c>
      <c r="L879" t="inlineStr">
        <is>
          <t>The `ReleaseAssets` interface provides methods to manage release assets associated with a GitHub release. It includes retrieving the parent release, iterating over existing assets, and uploading new assets. The implementation is immutable and leverages the GitHub Releases API.</t>
        </is>
      </c>
      <c r="M879" t="n">
        <v>0.0049</v>
      </c>
      <c r="N879" t="n">
        <v>0.08699999999999999</v>
      </c>
      <c r="O879" t="n">
        <v>0.09089999999999999</v>
      </c>
    </row>
    <row r="880">
      <c r="A880" t="inlineStr">
        <is>
          <t>jcabi</t>
        </is>
      </c>
      <c r="B880" t="inlineStr">
        <is>
          <t>src/main/java/com/jcabi/github/RtNotification.java</t>
        </is>
      </c>
      <c r="C880">
        <f>HYPERLINK("https://github.com/jcabi/jcabi-github/blob/master/src/main/java/com/jcabi/github/RtNotification.java")</f>
        <v/>
      </c>
      <c r="D880" t="inlineStr">
        <is>
          <t>The provided code defines a Java class `RtNotification` that represents a notification from GitHub. It includes:
- A constructor to initialize the notification with its unique identifier (`notifnumber`).
- An implementation of the `Notification` interface, which provides a method `number()` to retrieve the notification's ID.
### Key Points:
- **Immutability**: The class is marked as immutable using the</t>
        </is>
      </c>
      <c r="E880" t="n">
        <v>0</v>
      </c>
      <c r="F880" t="n">
        <v>0.0317</v>
      </c>
      <c r="G880" t="n">
        <v>0.0769</v>
      </c>
      <c r="H880" t="inlineStr">
        <is>
          <t>Implements a GitHub notification with its unique identifier.</t>
        </is>
      </c>
      <c r="I880" t="n">
        <v>0</v>
      </c>
      <c r="J880" t="n">
        <v>0.125</v>
      </c>
      <c r="K880" t="n">
        <v>0.0625</v>
      </c>
      <c r="L880" t="inlineStr">
        <is>
          <t>This Java class `RtNotification` represents a notification from GitHub, providing access to its unique identifier (`notifnumber`). It is part of the `com.jcaby.github` package and uses the `@Immutable` annotation for immutability. The class includes a constructor that takes a notification ID as input and provides a method `number()` to retrieve this ID.</t>
        </is>
      </c>
      <c r="M880" t="n">
        <v>0.0043</v>
      </c>
      <c r="N880" t="n">
        <v>0.06560000000000001</v>
      </c>
      <c r="O880" t="n">
        <v>0.122</v>
      </c>
    </row>
    <row r="881">
      <c r="A881" t="inlineStr">
        <is>
          <t>jcabi</t>
        </is>
      </c>
      <c r="B881" t="inlineStr">
        <is>
          <t>src/main/java/com/jcabi/github/RtLimit.java</t>
        </is>
      </c>
      <c r="C881">
        <f>HYPERLINK("https://github.com/jcabi/jcabi-github/blob/master/src/main/java/com/jcabi/github/RtLimit.java")</f>
        <v/>
      </c>
      <c r="D881" t="inlineStr">
        <is>
          <t>The provided code defines a class `RtLimit` that represents a GitHub rate limit for a specific resource. It includes methods to retrieve information about the current rate limits and reset them if necessary. The class is immutable and uses logging with debug level. It interacts with a GitHub instance through HTTP requests and utilizes JSON objects for data parsing.</t>
        </is>
      </c>
      <c r="E881" t="n">
        <v>0.0031</v>
      </c>
      <c r="F881" t="n">
        <v>0.0299</v>
      </c>
      <c r="G881" t="n">
        <v>0.07630000000000001</v>
      </c>
      <c r="H881" t="inlineStr">
        <is>
          <t>This repository contains backend software components that implement core algorithms. The complexity is O(N), indicating linear time complexity for certain operations. The implementation includes comments explaining the purpose of each part of the code. The commits include an initial codebase commit. The total size of the codebase is 1000 lines.</t>
        </is>
      </c>
      <c r="I881" t="n">
        <v>0.0048</v>
      </c>
      <c r="J881" t="n">
        <v>0.1356</v>
      </c>
      <c r="K881" t="n">
        <v>0.2049</v>
      </c>
      <c r="L881" t="inlineStr">
        <is>
          <t>The `RtLimit` class is an immutable implementation of the `Limit` interface for handling rate limits related to GitHub resources. It encapsulates a request object (`Request`) and a GitHub instance (`GitHub`). The constructor initializes these fields and provides accessors for them. The class uses logging at debug level and employs equalsAndHashCode for comparison based on the GitHub instance, request, and resource name. This</t>
        </is>
      </c>
      <c r="M881" t="n">
        <v>0.0035</v>
      </c>
      <c r="N881" t="n">
        <v>0.0571</v>
      </c>
      <c r="O881" t="n">
        <v>0.1493</v>
      </c>
    </row>
    <row r="882">
      <c r="A882" t="inlineStr">
        <is>
          <t>jcabi</t>
        </is>
      </c>
      <c r="B882" t="inlineStr">
        <is>
          <t>src/main/java/com/jcabi/github/GitHubThread.java</t>
        </is>
      </c>
      <c r="C882">
        <f>HYPERLINK("https://github.com/jcabi/jcabi-github/blob/master/src/main/java/com/jcabi/github/GitHubThread.java")</f>
        <v/>
      </c>
      <c r="D882" t="inlineStr">
        <is>
          <t>The provided code defines an interface `GitHubThread` that represents a notification thread in GitHub. It includes methods for marking the thread as read, checking subscription status, and subscribing or ignoring the thread based on the user's preferences. The complexity of the implementation is O(1), indicating constant time operations for these actions.</t>
        </is>
      </c>
      <c r="E882" t="n">
        <v>0.0036</v>
      </c>
      <c r="F882" t="n">
        <v>0.0328</v>
      </c>
      <c r="G882" t="n">
        <v>0.0813</v>
      </c>
      <c r="H882" t="inlineStr">
        <is>
          <t>Manages GitHub notifications threads by marking them as read, checking subscription status, and subscribing/unsubscribing users. Complexity is O(N), indicating linear time complexity for certain operations.</t>
        </is>
      </c>
      <c r="I882" t="n">
        <v>0.0076</v>
      </c>
      <c r="J882" t="n">
        <v>0.0571</v>
      </c>
      <c r="K882" t="n">
        <v>0.0515</v>
      </c>
      <c r="L882" t="inlineStr">
        <is>
          <t>The `GitHubThread` interface represents a notification thread on GitHub. It provides methods to mark the thread as read, check for subscription status, and manage subscriptions by subscribing or ignoring the thread. The implementation complexity is O(1), and existing comments indicate that it implements core algorithms related to GitHub notifications.</t>
        </is>
      </c>
      <c r="M882" t="n">
        <v>0.008800000000000001</v>
      </c>
      <c r="N882" t="n">
        <v>0.06900000000000001</v>
      </c>
      <c r="O882" t="n">
        <v>0.2112</v>
      </c>
    </row>
    <row r="883">
      <c r="A883" t="inlineStr">
        <is>
          <t>jcabi</t>
        </is>
      </c>
      <c r="B883" t="inlineStr">
        <is>
          <t>src/main/java/com/jcabi/github/Statuses.java</t>
        </is>
      </c>
      <c r="C883">
        <f>HYPERLINK("https://github.com/jcabi/jcabi-github/blob/master/src/main/java/com/jcabi/github/Statuses.java")</f>
        <v/>
      </c>
      <c r="D883" t="inlineStr">
        <is>
          <t>The provided Java code defines an interface `Statuses` that represents GitHub statuses associated with commits in a repository. It includes methods to interact with these statuses using JSON data. The class uses annotations like `@Immutable`, `@Loggable`, and `@ToString` from the Lombok library for immutability, logging, and string representation respectively. The interface also implements the `JsonReadable` interface</t>
        </is>
      </c>
      <c r="E883" t="n">
        <v>0.0039</v>
      </c>
      <c r="F883" t="n">
        <v>0.0312</v>
      </c>
      <c r="G883" t="n">
        <v>0.1172</v>
      </c>
      <c r="H883" t="inlineStr">
        <is>
          <t>Manages GitHub statuses with methods like `json()` and provides smart decorators for accessing JSON properties. Complexity is O(N), indicating linear time complexity in some operations. Comments describe implementation details and usage examples. The code size is 1000 lines.</t>
        </is>
      </c>
      <c r="I883" t="n">
        <v>0.0049</v>
      </c>
      <c r="J883" t="n">
        <v>0.0851</v>
      </c>
      <c r="K883" t="n">
        <v>0.09089999999999999</v>
      </c>
      <c r="L883" t="inlineStr">
        <is>
          <t>The `Statuses` interface represents GitHub statuses associated with commits. It provides methods to retrieve various details about these statuses, such as their URLs and messages, using both raw JSON data and smart decorators that offer more convenient property access. The class uses annotations like `@Immutable`, `@Loggable`, and `@ToString` for immutability, logging, and string representation respectively.</t>
        </is>
      </c>
      <c r="M883" t="n">
        <v>0.0033</v>
      </c>
      <c r="N883" t="n">
        <v>0.0317</v>
      </c>
      <c r="O883" t="n">
        <v>0.07870000000000001</v>
      </c>
    </row>
    <row r="884">
      <c r="A884" t="inlineStr">
        <is>
          <t>jcabi</t>
        </is>
      </c>
      <c r="B884" t="inlineStr">
        <is>
          <t>src/main/java/com/jcabi/github/RtRepo.java</t>
        </is>
      </c>
      <c r="C884">
        <f>HYPERLINK("https://github.com/jcabi/jcabi-github/blob/master/src/main/java/com/jcabi/github/RtRepo.java")</f>
        <v/>
      </c>
      <c r="D884" t="inlineStr">
        <is>
          <t>The provided Java code defines a `RtRepo` class that represents a GitHub repository using HTTP requests to interact with the GitHub API. The class is immutable and uses logging for debugging purposes. It includes methods to retrieve information about the repository such as its name, description, owner, and issues. The class also provides methods to create new repositories or update existing ones. The implementation is designed to be efficient</t>
        </is>
      </c>
      <c r="E884" t="n">
        <v>0.0026</v>
      </c>
      <c r="F884" t="n">
        <v>0.026</v>
      </c>
      <c r="G884" t="n">
        <v>0.1064</v>
      </c>
      <c r="H884" t="inlineStr">
        <is>
          <t>Manages GitHub repositories with RESTful requests and JSON operations. Complexity is O(N), focusing on implementing core algorithms.</t>
        </is>
      </c>
      <c r="I884" t="n">
        <v>0.0137</v>
      </c>
      <c r="J884" t="n">
        <v>0.1538</v>
      </c>
      <c r="K884" t="n">
        <v>0.2871</v>
      </c>
      <c r="L884" t="inlineStr">
        <is>
          <t>The `RtRepo` class is an immutable implementation of the `Repo` interface for interacting with GitHub repositories using HTTP requests. It encapsulates a GitHub instance (`GitHub`) and provides methods to perform various operations such as retrieving repository details, listing issues, and managing branches. The class uses logging annotations for debugging purposes and ensures that instances are immutable through the use of the `@Immutable` annotation from</t>
        </is>
      </c>
      <c r="M884" t="n">
        <v>0.0028</v>
      </c>
      <c r="N884" t="n">
        <v>0.0556</v>
      </c>
      <c r="O884" t="n">
        <v>0.1103</v>
      </c>
    </row>
    <row r="885">
      <c r="A885" t="inlineStr">
        <is>
          <t>jcabi</t>
        </is>
      </c>
      <c r="B885" t="inlineStr">
        <is>
          <t>src/main/java/com/jcabi/github/RtIssueEvents.java</t>
        </is>
      </c>
      <c r="C885">
        <f>HYPERLINK("https://github.com/jcabi/jcabi-github/blob/master/src/main/java/com/jcabi/github/RtIssueEvents.java")</f>
        <v/>
      </c>
      <c r="D885" t="inlineStr">
        <is>
          <t>The provided code defines a Java class `RtIssueEvents` that represents GitHub issue events for a specific repository. It uses HTTP requests to interact with the GitHub API. The class is immutable, loggable, and hashable based on its fields. The main functionalities include:
1. **API Entry Point**: Stores the base URL or endpoint for making HTTP requests to the GitHub API.
2. **</t>
        </is>
      </c>
      <c r="E885" t="n">
        <v>0.0029</v>
      </c>
      <c r="F885" t="n">
        <v>0.029</v>
      </c>
      <c r="G885" t="n">
        <v>0.0746</v>
      </c>
      <c r="H885" t="inlineStr">
        <is>
          <t>The repository contains backend software components implementing core algorithms. The complexity is O(N), indicating linear time complexity for certain operations. Comments describe the implementation of these algorithms. There have been multiple commits to establish the initial codebase. The total size of the codebase is 1000 lines.</t>
        </is>
      </c>
      <c r="I885" t="n">
        <v>0.0048</v>
      </c>
      <c r="J885" t="n">
        <v>0.1091</v>
      </c>
      <c r="K885" t="n">
        <v>0.1271</v>
      </c>
      <c r="L885" t="inlineStr">
        <is>
          <t>This Java code defines a class `RtIssueEvents` that provides access to issue events for a specific GitHub repository. It uses HTTP requests to interact with the GitHub API and is designed to be immutable and loggable. The class includes fields for the API entry point, a RESTful request object, and the repository itself. The public constructor initializes these fields, allowing instances to query issue events related to</t>
        </is>
      </c>
      <c r="M885" t="n">
        <v>0.0032</v>
      </c>
      <c r="N885" t="n">
        <v>0.0533</v>
      </c>
      <c r="O885" t="n">
        <v>0.1079</v>
      </c>
    </row>
    <row r="886">
      <c r="A886" t="inlineStr">
        <is>
          <t>jcabi</t>
        </is>
      </c>
      <c r="B886" t="inlineStr">
        <is>
          <t>src/main/java/com/jcabi/github/RtGist.java</t>
        </is>
      </c>
      <c r="C886">
        <f>HYPERLINK("https://github.com/jcabi/jcabi-github/blob/master/src/main/java/com/jcabi/github/RtGist.java")</f>
        <v/>
      </c>
      <c r="D886" t="inlineStr">
        <is>
          <t>The provided Java code defines a class `RtGist` that represents a GitHub gist using HTTP requests to interact with the GitHub API. It includes methods for creating, retrieving, updating, deleting, listing gists, and checking if a gist exists. The class is immutable and uses logging aspects to provide debug-level output. It also utilizes JSON parsing from responses to extract data about the gist.</t>
        </is>
      </c>
      <c r="E886" t="n">
        <v>0.0029</v>
      </c>
      <c r="F886" t="n">
        <v>0.0278</v>
      </c>
      <c r="G886" t="n">
        <v>0.1111</v>
      </c>
      <c r="H886" t="inlineStr">
        <is>
          <t>This repository contains backend software components that implement core algorithms. The complexity is O(N), indicating linear time complexity in relation to input size. The implementation includes comments explaining the purpose and functionality of each part of the code. The commits indicate the initial creation of the codebase. The total code size is 1000 lines.</t>
        </is>
      </c>
      <c r="I886" t="n">
        <v>0.0051</v>
      </c>
      <c r="J886" t="n">
        <v>0.1587</v>
      </c>
      <c r="K886" t="n">
        <v>0.2381</v>
      </c>
      <c r="L886" t="inlineStr">
        <is>
          <t>The `RtGist` class provides a high-level interface for interacting with GitHub gists using HTTP requests. It encapsulates the necessary methods to create, retrieve, update, and delete gists, leveraging the `Request` object from the `jcabi-http` library to handle API interactions. The class is designed to be immutable and uses logging annotations for debugging purposes.</t>
        </is>
      </c>
      <c r="M886" t="n">
        <v>0.0035</v>
      </c>
      <c r="N886" t="n">
        <v>0.0317</v>
      </c>
      <c r="O886" t="n">
        <v>0.12</v>
      </c>
    </row>
    <row r="887">
      <c r="A887" t="inlineStr">
        <is>
          <t>jcabi</t>
        </is>
      </c>
      <c r="B887" t="inlineStr">
        <is>
          <t>src/main/java/com/jcabi/github/RepoCommit.java</t>
        </is>
      </c>
      <c r="C887">
        <f>HYPERLINK("https://github.com/jcabi/jcabi-github/blob/master/src/main/java/com/jcabi/github/RepoCommit.java")</f>
        <v/>
      </c>
      <c r="D887" t="inlineStr">
        <is>
          <t>The provided Java code defines an interface `RepoCommit` that represents a GitHub repository commit. It includes methods to interact with the commit's metadata using JSON format and provides smart decorators to simplify accessing specific properties like URLs. The class uses annotations such as `@Immutable`, `@Loggable`, and `@EqualsAndHashCode` for immutability, logging, and object equality checks, respectively. The complexity</t>
        </is>
      </c>
      <c r="E887" t="n">
        <v>0.0032</v>
      </c>
      <c r="F887" t="n">
        <v>0.0303</v>
      </c>
      <c r="G887" t="n">
        <v>0.0775</v>
      </c>
      <c r="H887" t="inlineStr">
        <is>
          <t>The repository contains backend software components with implementations of core algorithms. The complexity of the code is O(N), indicating linear time complexity in relation to input size.</t>
        </is>
      </c>
      <c r="I887" t="n">
        <v>0.0083</v>
      </c>
      <c r="J887" t="n">
        <v>0.1667</v>
      </c>
      <c r="K887" t="n">
        <v>0.1515</v>
      </c>
      <c r="L887" t="inlineStr">
        <is>
          <t>This Java interface `RepoCommit` represents a GitHub repository commit. It provides methods to interact with various aspects of the commit, such as retrieving URLs, comparing commits, and accessing JSON data. The class uses annotations like `@Immutable`, `@Loggable`, and `@ToString` for immutability, logging, and string representation respectively. The `JsonReadable` interface indicates that the commit can</t>
        </is>
      </c>
      <c r="M887" t="n">
        <v>0.004</v>
      </c>
      <c r="N887" t="n">
        <v>0.0645</v>
      </c>
      <c r="O887" t="n">
        <v>0.119</v>
      </c>
    </row>
    <row r="888">
      <c r="A888" t="inlineStr">
        <is>
          <t>jcabi</t>
        </is>
      </c>
      <c r="B888" t="inlineStr">
        <is>
          <t>src/main/java/com/jcabi/github/RtLabel.java</t>
        </is>
      </c>
      <c r="C888">
        <f>HYPERLINK("https://github.com/jcabi/jcabi-github/blob/master/src/main/java/com/jcabi/github/RtLabel.java")</f>
        <v/>
      </c>
      <c r="D888" t="inlineStr">
        <is>
          <t>The provided code defines a `RtLabel` class that represents a GitHub label within a specific repository. It uses HTTP requests to interact with the GitHub API. The class is immutable and includes logging for debugging purposes. The constructor initializes the necessary fields such as the RESTful request, the repository object, and the label's text. This class allows operations like retrieving or updating labels associated with a repository.</t>
        </is>
      </c>
      <c r="E888" t="n">
        <v>0.0032</v>
      </c>
      <c r="F888" t="n">
        <v>0.0263</v>
      </c>
      <c r="G888" t="n">
        <v>0.1079</v>
      </c>
      <c r="H888" t="inlineStr">
        <is>
          <t>Manages GitHub labels for repositories.</t>
        </is>
      </c>
      <c r="I888" t="n">
        <v>0</v>
      </c>
      <c r="J888" t="n">
        <v>0</v>
      </c>
      <c r="K888" t="n">
        <v>0</v>
      </c>
      <c r="L888" t="inlineStr">
        <is>
          <t>The `RtLabel` class represents a GitHub label within a specific repository. It provides methods for interacting with labels through HTTP requests, such as retrieving label details and managing them. The class is immutable and uses logging annotations for debugging purposes. It includes fields for the RESTful request, the repository, and the label's text name.</t>
        </is>
      </c>
      <c r="M888" t="n">
        <v>0.0034</v>
      </c>
      <c r="N888" t="n">
        <v>0.0317</v>
      </c>
      <c r="O888" t="n">
        <v>0.0794</v>
      </c>
    </row>
    <row r="889">
      <c r="A889" t="inlineStr">
        <is>
          <t>jcabi</t>
        </is>
      </c>
      <c r="B889" t="inlineStr">
        <is>
          <t>src/main/java/com/jcabi/github/RtOrganization.java</t>
        </is>
      </c>
      <c r="C889">
        <f>HYPERLINK("https://github.com/jcabi/jcabi-github/blob/master/src/main/java/com/jcabi/github/RtOrganization.java")</f>
        <v/>
      </c>
      <c r="D889" t="inlineStr">
        <is>
          <t>The provided code defines a Java interface `Organization` that represents a GitHub organization using the Jcabi library for HTTP requests. It includes methods to interact with various aspects of the organization's data such as retrieving information about members, repositories, etc. The implementation is marked as immutable and uses logging annotations for debugging purposes. The class utilizes Lombok annotations for automatic generation of equals and hashCode methods based on its</t>
        </is>
      </c>
      <c r="E889" t="n">
        <v>0.0026</v>
      </c>
      <c r="F889" t="n">
        <v>0.0513</v>
      </c>
      <c r="G889" t="n">
        <v>0.1064</v>
      </c>
      <c r="H889" t="inlineStr">
        <is>
          <t>The repository contains backend software components that implement core algorithms. The complexity is O(N), indicating linear time complexity for certain operations. Comments provide detailed explanations of the implementation. The commits include an initial codebase commit. The total size of the codebase is 1000 lines.</t>
        </is>
      </c>
      <c r="I889" t="n">
        <v>0.005</v>
      </c>
      <c r="J889" t="n">
        <v>0.1132</v>
      </c>
      <c r="K889" t="n">
        <v>0.2203</v>
      </c>
      <c r="L889" t="inlineStr">
        <is>
          <t>This Java class represents a GitHub organization using the jcabi-github library. It provides methods for interacting with the organization's data through HTTP requests. The class is immutable and uses logging for debugging purposes. It includes fields for the GitHub instance, API entry point, RESTful request object, and the login name of the organization. The class extends the `Organization` interface from the same library.</t>
        </is>
      </c>
      <c r="M889" t="n">
        <v>0.0034</v>
      </c>
      <c r="N889" t="n">
        <v>0.0548</v>
      </c>
      <c r="O889" t="n">
        <v>0.1111</v>
      </c>
    </row>
    <row r="890">
      <c r="A890" t="inlineStr">
        <is>
          <t>jcabi</t>
        </is>
      </c>
      <c r="B890" t="inlineStr">
        <is>
          <t>src/main/java/com/jcabi/github/MergeState.java</t>
        </is>
      </c>
      <c r="C890">
        <f>HYPERLINK("https://github.com/jcabi/jcabi-github/blob/master/src/main/java/com/jcabi/github/MergeState.java")</f>
        <v/>
      </c>
      <c r="D890" t="inlineStr">
        <is>
          <t>The `MergeState` enum in the provided code defines three possible states for a pull request when it is being merged:
1. **SUCCESS**: Indicates that the pull request has been successfully merged into the target branch.
2. **NOT_MERGEABLE**: Indicates that the pull request cannot be automatically merged due to conflicts or other issues.
3. **BAD_HEAD**: Indicates that the current head of the</t>
        </is>
      </c>
      <c r="E890" t="n">
        <v>0</v>
      </c>
      <c r="F890" t="n">
        <v>0</v>
      </c>
      <c r="G890" t="n">
        <v>0</v>
      </c>
      <c r="H890" t="inlineStr">
        <is>
          <t>The code defines an enumeration `MergeState` in the package `com.jcabi.github`, which represents different states related to pull request merges. The states include `SUCCESS`, `NOT_MERGEABLE`, and `BAD_HEAD`. Each state is described with comments explaining its purpose. The complexity is noted as \(O(N)\), but this appears to be incorrect for this specific implementation since it only has</t>
        </is>
      </c>
      <c r="I890" t="n">
        <v>0.0033</v>
      </c>
      <c r="J890" t="n">
        <v>0.0588</v>
      </c>
      <c r="K890" t="n">
        <v>0.1181</v>
      </c>
      <c r="L890" t="inlineStr">
        <is>
          <t>This Java enumeration `MergeState` defines three possible states for a pull request when merging changes into a branch:
1. **SUCCESS**: Indicates that the pull request has been successfully merged.
2. **NOT_MERGEABLE**: Signals that the pull request cannot be automatically merged due to conflicts or other issues.
3. **BAD_HEAD**: Alerts that the current head of the pull request does not match the</t>
        </is>
      </c>
      <c r="M890" t="n">
        <v>0.003</v>
      </c>
      <c r="N890" t="n">
        <v>0.0282</v>
      </c>
      <c r="O890" t="n">
        <v>0.0376</v>
      </c>
    </row>
    <row r="891">
      <c r="A891" t="inlineStr">
        <is>
          <t>jcabi</t>
        </is>
      </c>
      <c r="B891" t="inlineStr">
        <is>
          <t>src/main/java/com/jcabi/github/RtCommits.java</t>
        </is>
      </c>
      <c r="C891">
        <f>HYPERLINK("https://github.com/jcabi/jcabi-github/blob/master/src/main/java/com/jcabi/github/RtCommits.java")</f>
        <v/>
      </c>
      <c r="D891" t="inlineStr">
        <is>
          <t>The provided code defines a Java interface `RtCommits` that represents GitHub commits using HTTP requests to interact with the GitHub API. It includes methods to retrieve commits from a specified repository. The implementation uses the Jcabi library for handling HTTP requests and JSON responses. The class is marked as immutable and loggable, and it utilizes Lombok's `@EqualsAndHashCode` annotation for object equality checks</t>
        </is>
      </c>
      <c r="E891" t="n">
        <v>0.0029</v>
      </c>
      <c r="F891" t="n">
        <v>0.0563</v>
      </c>
      <c r="G891" t="n">
        <v>0.1119</v>
      </c>
      <c r="H891" t="inlineStr">
        <is>
          <t>This repository contains backend software components with complexity O(N), implementing core algorithms. It includes comments explaining the implementation and is initialized with the first commit. The total size of the codebase is 1000 lines.</t>
        </is>
      </c>
      <c r="I891" t="n">
        <v>0.0077</v>
      </c>
      <c r="J891" t="n">
        <v>0.2326</v>
      </c>
      <c r="K891" t="n">
        <v>0.2358</v>
      </c>
      <c r="L891" t="inlineStr">
        <is>
          <t>The `RtCommits` class provides access to GitHub commits through a RESTful interface. It encapsulates the necessary HTTP requests and responses using JCabi's HTTP library. The class is immutable and uses logging for debugging purposes. It allows retrieval of commits from a specified repository by making appropriate HTTP GET requests.</t>
        </is>
      </c>
      <c r="M891" t="n">
        <v>0.0037</v>
      </c>
      <c r="N891" t="n">
        <v>0.0345</v>
      </c>
      <c r="O891" t="n">
        <v>0.08260000000000001</v>
      </c>
    </row>
    <row r="892">
      <c r="A892" t="inlineStr">
        <is>
          <t>jcabi</t>
        </is>
      </c>
      <c r="B892" t="inlineStr">
        <is>
          <t>src/main/java/com/jcabi/github/RtDeployKeys.java</t>
        </is>
      </c>
      <c r="C892">
        <f>HYPERLINK("https://github.com/jcabi/jcabi-github/blob/master/src/main/java/com/jcabi/github/RtDeployKeys.java")</f>
        <v/>
      </c>
      <c r="D892" t="inlineStr">
        <is>
          <t>The provided Java code defines a class `RtDeployKeys` that represents GitHub deploy keys. It is part of a larger library (`com.jcabi.github`) designed to interact with the GitHub API. The class provides methods to manage deploy keys associated with a specific repository on GitHub. Here's a concise summary of its functionality:
### Key Features:
1. **Repository Owner**: Represents the owner of</t>
        </is>
      </c>
      <c r="E892" t="n">
        <v>0</v>
      </c>
      <c r="F892" t="n">
        <v>0.0286</v>
      </c>
      <c r="G892" t="n">
        <v>0.0379</v>
      </c>
      <c r="H892" t="inlineStr">
        <is>
          <t>The code provides a backend implementation of core algorithms in a repository. It includes comments explaining the implementation details and commits tracking the initial creation of the codebase. The complexity is described as O(N), indicating that it scales linearly with input size.</t>
        </is>
      </c>
      <c r="I892" t="n">
        <v>0.0052</v>
      </c>
      <c r="J892" t="n">
        <v>0.1176</v>
      </c>
      <c r="K892" t="n">
        <v>0.1316</v>
      </c>
      <c r="L892" t="inlineStr">
        <is>
          <t>This Java library provides access to GitHub's deploy keys through a RESTful interface. It includes methods to list, add, remove, and retrieve details about deploy keys associated with a specific repository. The implementation is designed to be immutable and loggable, ensuring thread safety and providing detailed logging for debugging purposes.</t>
        </is>
      </c>
      <c r="M892" t="n">
        <v>0.0044</v>
      </c>
      <c r="N892" t="n">
        <v>0.1017</v>
      </c>
      <c r="O892" t="n">
        <v>0.123</v>
      </c>
    </row>
    <row r="893">
      <c r="A893" t="inlineStr">
        <is>
          <t>jcabi</t>
        </is>
      </c>
      <c r="B893" t="inlineStr">
        <is>
          <t>src/main/java/com/jcabi/github/RtMarkdown.java</t>
        </is>
      </c>
      <c r="C893">
        <f>HYPERLINK("https://github.com/jcabi/jcabi-github/blob/master/src/main/java/com/jcabi/github/RtMarkdown.java")</f>
        <v/>
      </c>
      <c r="D893" t="inlineStr">
        <is>
          <t>The provided Java code defines a class `RtMarkdown` that serves as a wrapper for processing Markdown content using the GitHub API. It includes methods to convert plain text into HTML format by sending HTTP requests to the GitHub API's markdown endpoint. The class is immutable and uses logging with aspect-oriented programming for debugging purposes. It also utilizes Lombok annotations for generating boilerplate code like equals and hashcode implementations</t>
        </is>
      </c>
      <c r="E893" t="n">
        <v>0.0027</v>
      </c>
      <c r="F893" t="n">
        <v>0.0256</v>
      </c>
      <c r="G893" t="n">
        <v>0.1071</v>
      </c>
      <c r="H893" t="inlineStr">
        <is>
          <t>The repository contains backend software components implementing core algorithms. The complexity is O(N), indicating linear time complexity for certain operations. Comments provide details about the implementation's purpose and structure. Initial codebase commit was made. The total size of the codebase is 1000 lines.</t>
        </is>
      </c>
      <c r="I893" t="n">
        <v>0.0056</v>
      </c>
      <c r="J893" t="n">
        <v>0.1509</v>
      </c>
      <c r="K893" t="n">
        <v>0.2745</v>
      </c>
      <c r="L893" t="inlineStr">
        <is>
          <t>This Java class `RtMarkdown` is part of a library for interacting with GitHub's API. It provides methods to convert plain text into formatted HTML using GitHub's Markdown syntax. The class uses HTTP requests to communicate with the GitHub server and handles responses as JSON objects. The implementation includes logging and immutability annotations to ensure thread safety and correctness.</t>
        </is>
      </c>
      <c r="M893" t="n">
        <v>0.0037</v>
      </c>
      <c r="N893" t="n">
        <v>0.0882</v>
      </c>
      <c r="O893" t="n">
        <v>0.1538</v>
      </c>
    </row>
    <row r="894">
      <c r="A894" t="inlineStr">
        <is>
          <t>jcabi</t>
        </is>
      </c>
      <c r="B894" t="inlineStr">
        <is>
          <t>src/main/java/com/jcabi/github/RtStargazers.java</t>
        </is>
      </c>
      <c r="C894">
        <f>HYPERLINK("https://github.com/jcabi/jcabi-github/blob/master/src/main/java/com/jcabi/github/RtStargazers.java")</f>
        <v/>
      </c>
      <c r="D894" t="inlineStr">
        <is>
          <t>The provided code defines a Java class `RtStargazers` that represents GitHub stargazers for a specific repository. It uses a RESTful HTTP request to fetch the list of stargazers from the GitHub API. The class provides an `iterable()` method that returns an `Iterable&lt;JsonValue&gt;` containing information about each stargazer. This implementation is part of a larger project with complexity</t>
        </is>
      </c>
      <c r="E894" t="n">
        <v>0.0032</v>
      </c>
      <c r="F894" t="n">
        <v>0.0606</v>
      </c>
      <c r="G894" t="n">
        <v>0.1163</v>
      </c>
      <c r="H894" t="inlineStr">
        <is>
          <t>Manages GitHub stargazers by providing an interface to retrieve them through HTTP requests.</t>
        </is>
      </c>
      <c r="I894" t="n">
        <v>0</v>
      </c>
      <c r="J894" t="n">
        <v>0</v>
      </c>
      <c r="K894" t="n">
        <v>0</v>
      </c>
      <c r="L894" t="inlineStr">
        <is>
          <t>The `RtStargazers` class provides an interface for retrieving a list of stargazers for a given GitHub repository using HTTP requests. It constructs a RESTful URL by appending "stargazers" to the base URI of the repository's API endpoint. The method `iterable()` fetches the JSON response from the server, parses it into a JSON array, and returns it as an</t>
        </is>
      </c>
      <c r="M894" t="n">
        <v>0.0031</v>
      </c>
      <c r="N894" t="n">
        <v>0.0299</v>
      </c>
      <c r="O894" t="n">
        <v>0.0769</v>
      </c>
    </row>
    <row r="895">
      <c r="A895" t="inlineStr">
        <is>
          <t>jcabi</t>
        </is>
      </c>
      <c r="B895" t="inlineStr">
        <is>
          <t>src/main/java/com/jcabi/github/Content.java</t>
        </is>
      </c>
      <c r="C895">
        <f>HYPERLINK("https://github.com/jcabi/jcabi-github/blob/master/src/main/java/com/jcabi/github/Content.java")</f>
        <v/>
      </c>
      <c r="D895" t="inlineStr">
        <is>
          <t>The provided Java code defines an `interface` named `Content`, which represents a file or directory within a Git repository on GitHub. It includes methods to interact with the content such as retrieving the repository it belongs to, accessing the file's path, reading the raw content, and applying JSON patches to modify the content. This interface is part of a larger library for interacting with GitHub repositories using Java.</t>
        </is>
      </c>
      <c r="E895" t="n">
        <v>0.0032</v>
      </c>
      <c r="F895" t="n">
        <v>0.026</v>
      </c>
      <c r="G895" t="n">
        <v>0.1071</v>
      </c>
      <c r="H895" t="inlineStr">
        <is>
          <t>The repository contains backend software components with complexity O(N), implementing core algorithms. It includes comments explaining the implementation details and has been committed to initially. The total size of the code is 1000 lines.</t>
        </is>
      </c>
      <c r="I895" t="n">
        <v>0.0072</v>
      </c>
      <c r="J895" t="n">
        <v>0.186</v>
      </c>
      <c r="K895" t="n">
        <v>0.1887</v>
      </c>
      <c r="L895" t="inlineStr">
        <is>
          <t>The `Content` interface represents files within a GitHub repository, providing methods to access their metadata and retrieve the raw content as an input stream. It includes functionalities such as retrieving the repository associated with the content, accessing the file's path, obtaining the raw content data, and handling JSON operations for reading and patching the content.</t>
        </is>
      </c>
      <c r="M895" t="n">
        <v>0.0033</v>
      </c>
      <c r="N895" t="n">
        <v>0.0625</v>
      </c>
      <c r="O895" t="n">
        <v>0.07870000000000001</v>
      </c>
    </row>
    <row r="896">
      <c r="A896" t="inlineStr">
        <is>
          <t>jcabi</t>
        </is>
      </c>
      <c r="B896" t="inlineStr">
        <is>
          <t>src/main/java/com/jcabi/github/Commits.java</t>
        </is>
      </c>
      <c r="C896">
        <f>HYPERLINK("https://github.com/jcabi/jcabi-github/blob/master/src/main/java/com/jcabi/github/Commits.java")</f>
        <v/>
      </c>
      <c r="D896" t="inlineStr">
        <is>
          <t>The `Commits` interface in the `com.jcabi.github` package provides methods to interact with commits on a GitHub repository. It includes operations such as creating new commits, retrieving existing commits by their SHA, and accessing status information for a specific reference. This interface is part of a larger library designed to work with GitHub repositories programmatically.</t>
        </is>
      </c>
      <c r="E896" t="n">
        <v>0.004</v>
      </c>
      <c r="F896" t="n">
        <v>0.0312</v>
      </c>
      <c r="G896" t="n">
        <v>0.119</v>
      </c>
      <c r="H896" t="inlineStr">
        <is>
          <t>The repository contains backend software components with complexity O(N), implementing core algorithms. It includes comments explaining the implementation details. The code size is 1000 lines.</t>
        </is>
      </c>
      <c r="I896" t="n">
        <v>0.008999999999999999</v>
      </c>
      <c r="J896" t="n">
        <v>0.1765</v>
      </c>
      <c r="K896" t="n">
        <v>0.1546</v>
      </c>
      <c r="L896" t="inlineStr">
        <is>
          <t>The `Commits` interface provides methods to interact with commits in a GitHub repository, including creating new commits, retrieving existing ones by their SHA, and accessing status data for specific references. It is part of a larger library that handles GitHub-related functionalities, such as repositories and tags.</t>
        </is>
      </c>
      <c r="M896" t="n">
        <v>0.004</v>
      </c>
      <c r="N896" t="n">
        <v>0.0727</v>
      </c>
      <c r="O896" t="n">
        <v>0.0847</v>
      </c>
    </row>
    <row r="897">
      <c r="A897" t="inlineStr">
        <is>
          <t>jcabi</t>
        </is>
      </c>
      <c r="B897" t="inlineStr">
        <is>
          <t>src/main/java/com/jcabi/github/Language.java</t>
        </is>
      </c>
      <c r="C897">
        <f>HYPERLINK("https://github.com/jcabi/jcabi-github/blob/master/src/main/java/com/jcabi/github/Language.java")</f>
        <v/>
      </c>
      <c r="D897" t="inlineStr">
        <is>
          <t>The provided Java code defines an `Language` interface from the Jcabi-Github library, which represents a programming language used in a GitHub repository. The interface includes two methods:
1. `name()`: Returns the name of the programming language as a string.
2. `bytes()`: Returns the number of bytes of code written in that specific language within the repository.
This interface is part of</t>
        </is>
      </c>
      <c r="E897" t="n">
        <v>0.003</v>
      </c>
      <c r="F897" t="n">
        <v>0.0286</v>
      </c>
      <c r="G897" t="n">
        <v>0.0752</v>
      </c>
      <c r="H897" t="inlineStr">
        <is>
          <t>Provides an immutable interface for representing the programming language used in a GitHub repository along with its byte count.</t>
        </is>
      </c>
      <c r="I897" t="n">
        <v>0</v>
      </c>
      <c r="J897" t="n">
        <v>0</v>
      </c>
      <c r="K897" t="n">
        <v>0.0549</v>
      </c>
      <c r="L897" t="inlineStr">
        <is>
          <t>The `Language` interface represents a programming language used within a GitHub repository. It provides methods to retrieve the name of the language and the number of bytes of code written in that language. The implementation complexity is O(1), as both properties can be accessed directly from the object's state without additional computations.</t>
        </is>
      </c>
      <c r="M897" t="n">
        <v>0.0035</v>
      </c>
      <c r="N897" t="n">
        <v>0.0323</v>
      </c>
      <c r="O897" t="n">
        <v>0.121</v>
      </c>
    </row>
    <row r="898">
      <c r="A898" t="inlineStr">
        <is>
          <t>jcabi</t>
        </is>
      </c>
      <c r="B898" t="inlineStr">
        <is>
          <t>src/main/java/com/jcabi/github/RtPulls.java</t>
        </is>
      </c>
      <c r="C898">
        <f>HYPERLINK("https://github.com/jcabi/jcabi-github/blob/master/src/main/java/com/jcabi/github/RtPulls.java")</f>
        <v/>
      </c>
      <c r="D898" t="inlineStr">
        <is>
          <t>The provided code defines a Java interface `RtPulls` that represents GitHub pull requests using HTTP requests to interact with the GitHub API. It includes methods for listing all pull requests, retrieving a specific pull request by number, creating a new pull request, updating an existing pull request, merging a pull request, closing a pull request, and more. The implementation uses the Jcabi library for handling</t>
        </is>
      </c>
      <c r="E898" t="n">
        <v>0.0028</v>
      </c>
      <c r="F898" t="n">
        <v>0.0274</v>
      </c>
      <c r="G898" t="n">
        <v>0.1095</v>
      </c>
      <c r="H898" t="inlineStr">
        <is>
          <t>The repository contains backend software components with complexity O(N), implementing core algorithms. The implementation is documented in comments and includes initial codebase commits. The total size of the codebase is 1000 bytes.</t>
        </is>
      </c>
      <c r="I898" t="n">
        <v>0.0077</v>
      </c>
      <c r="J898" t="n">
        <v>0.1951</v>
      </c>
      <c r="K898" t="n">
        <v>0.1923</v>
      </c>
      <c r="L898" t="inlineStr">
        <is>
          <t>The `RtPulls` class provides access to GitHub pull requests through HTTP requests. It uses the `Request` interface from the JCABI library to interact with the GitHub API. The class is immutable and includes logging for debugging purposes. It supports retrieving all pull requests for a given owner using the `/repos/{owner}/pulls` endpoint. The implementation handles JSON responses and maps them into Java</t>
        </is>
      </c>
      <c r="M898" t="n">
        <v>0.003</v>
      </c>
      <c r="N898" t="n">
        <v>0.0563</v>
      </c>
      <c r="O898" t="n">
        <v>0.1128</v>
      </c>
    </row>
    <row r="899">
      <c r="A899" t="inlineStr">
        <is>
          <t>jcabi</t>
        </is>
      </c>
      <c r="B899" t="inlineStr">
        <is>
          <t>src/main/java/com/jcabi/github/SmartJson.java</t>
        </is>
      </c>
      <c r="C899">
        <f>HYPERLINK("https://github.com/jcabi/jcabi-github/blob/master/src/main/java/com/jcabi/github/SmartJson.java")</f>
        <v/>
      </c>
      <c r="D899" t="inlineStr">
        <is>
          <t>The `SmartJson` class is a utility class that provides additional methods for working with JSON objects in Java. It encapsulates a `JsonReadable` object and offers methods to retrieve properties as strings or numbers, handling potential exceptions gracefully. The class uses Lombok annotations for immutability, logging, and equality checks, ensuring robustness and maintainability.</t>
        </is>
      </c>
      <c r="E899" t="n">
        <v>0.0035</v>
      </c>
      <c r="F899" t="n">
        <v>0.0333</v>
      </c>
      <c r="G899" t="n">
        <v>0.0806</v>
      </c>
      <c r="H899" t="inlineStr">
        <is>
          <t>Manages smart JSON objects with methods to retrieve properties as strings or numbers. Complexity is O(N), indicating linear time complexity for operations that depend on the size of the JSON object. Comments describe the implementation of core algorithms. The code base has been initialized with a single commit.</t>
        </is>
      </c>
      <c r="I899" t="n">
        <v>0.0038</v>
      </c>
      <c r="J899" t="n">
        <v>0.0702</v>
      </c>
      <c r="K899" t="n">
        <v>0.0833</v>
      </c>
      <c r="L899" t="inlineStr">
        <is>
          <t>The `SmartJson` class is a utility that provides supplementary methods for working with JSON objects. It encapsulates a `JsonReadable` object and offers methods to retrieve properties as strings, numbers, or other types. The class uses annotations for immutability, logging, and equality checks, enhancing its reliability and performance.</t>
        </is>
      </c>
      <c r="M899" t="n">
        <v>0.0039</v>
      </c>
      <c r="N899" t="n">
        <v>0.0364</v>
      </c>
      <c r="O899" t="n">
        <v>0.08400000000000001</v>
      </c>
    </row>
    <row r="900">
      <c r="A900" t="inlineStr">
        <is>
          <t>jcabi</t>
        </is>
      </c>
      <c r="B900" t="inlineStr">
        <is>
          <t>src/main/java/com/jcabi/github/Git.java</t>
        </is>
      </c>
      <c r="C900">
        <f>HYPERLINK("https://github.com/jcabi/jcabi-github/blob/master/src/main/java/com/jcabi/github/Git.java")</f>
        <v/>
      </c>
      <c r="D900" t="inlineStr">
        <is>
          <t>The provided Java code defines an `Git` interface that represents a GitHub repository's Git operations. It includes methods to interact with various aspects of the repository such as retrieving blobs, commits, references, and tags. The interface is marked as immutable using the `@Immutable` annotation from the JCabi library, ensuring thread safety and immutability of instances created from this class. The implementation details for these</t>
        </is>
      </c>
      <c r="E900" t="n">
        <v>0.0028</v>
      </c>
      <c r="F900" t="n">
        <v>0.0548</v>
      </c>
      <c r="G900" t="n">
        <v>0.1471</v>
      </c>
      <c r="H900" t="inlineStr">
        <is>
          <t>Manages repositories on GitHub with methods for accessing various aspects such as blobs, commits, references, and tags. Complexity is O(N), indicating linear time complexity in certain operations. Comments describe the implementation of core algorithms. The code size is 1000 lines.</t>
        </is>
      </c>
      <c r="I900" t="n">
        <v>0.0055</v>
      </c>
      <c r="J900" t="n">
        <v>0.08160000000000001</v>
      </c>
      <c r="K900" t="n">
        <v>0.1339</v>
      </c>
      <c r="L900" t="inlineStr">
        <is>
          <t>The `Git` interface provides access to various aspects of a GitHub repository's Git data, including retrieving blobs, commits, references, and tags. It encapsulates the owner of the repository and exposes methods for interacting with these resources through HTTP requests. The implementation is immutable, ensuring that once created, the object remains unchanged.</t>
        </is>
      </c>
      <c r="M900" t="n">
        <v>0.0036</v>
      </c>
      <c r="N900" t="n">
        <v>0.0333</v>
      </c>
      <c r="O900" t="n">
        <v>0.0813</v>
      </c>
    </row>
    <row r="901">
      <c r="A901" t="inlineStr">
        <is>
          <t>jcabi</t>
        </is>
      </c>
      <c r="B901" t="inlineStr">
        <is>
          <t>src/main/java/com/jcabi/github/RtStars.java</t>
        </is>
      </c>
      <c r="C901">
        <f>HYPERLINK("https://github.com/jcabi/jcabi-github/blob/master/src/main/java/com/jcabi/github/RtStars.java")</f>
        <v/>
      </c>
      <c r="D901" t="inlineStr">
        <is>
          <t>The provided code is for interacting with the GitHub Starring API using Java. It includes classes that handle requests to star or unstar repositories on GitHub. The `RtStars` class manages HTTP requests to the GitHub API to perform starring operations. This component is part of a larger system designed to interact with GitHub's activity and repository management features.</t>
        </is>
      </c>
      <c r="E901" t="n">
        <v>0.0037</v>
      </c>
      <c r="F901" t="n">
        <v>0.0597</v>
      </c>
      <c r="G901" t="n">
        <v>0.1154</v>
      </c>
      <c r="H901" t="inlineStr">
        <is>
          <t>Manages GitHub starring operations for repositories.</t>
        </is>
      </c>
      <c r="I901" t="n">
        <v>0</v>
      </c>
      <c r="J901" t="n">
        <v>0</v>
      </c>
      <c r="K901" t="n">
        <v>0</v>
      </c>
      <c r="L901" t="inlineStr">
        <is>
          <t>The `RtStars` class provides an implementation for interacting with the GitHub starring API using HTTP requests. It encapsulates the necessary logic to check if a user has starred a specific repository, add a star, or remove a star from the repository. The class is immutable and uses logging for debugging purposes. It takes a `Request` object and a `Repo` object as parameters during initialization.</t>
        </is>
      </c>
      <c r="M901" t="n">
        <v>0.0028</v>
      </c>
      <c r="N901" t="n">
        <v>0.0556</v>
      </c>
      <c r="O901" t="n">
        <v>0.1103</v>
      </c>
    </row>
    <row r="902">
      <c r="A902" t="inlineStr">
        <is>
          <t>jcabi</t>
        </is>
      </c>
      <c r="B902" t="inlineStr">
        <is>
          <t>src/main/java/com/jcabi/github/Contents.java</t>
        </is>
      </c>
      <c r="C902">
        <f>HYPERLINK("https://github.com/jcabi/jcabi-github/blob/master/src/main/java/com/jcabi/github/Contents.java")</f>
        <v/>
      </c>
      <c r="D902" t="inlineStr">
        <is>
          <t>The provided Java code defines an `Contents` interface for interacting with GitHub repositories' content using the GitHub REST API. Key functionalities include:
1. **Owner Access**: Provides access to the repository (`Repo`) that owns these contents.
2. **Readme Retrieval**:
   - Retrieves the README file from the default branch (usually "master").
   - Can also retrieve the README from a specific</t>
        </is>
      </c>
      <c r="E902" t="n">
        <v>0</v>
      </c>
      <c r="F902" t="n">
        <v>0.0312</v>
      </c>
      <c r="G902" t="n">
        <v>0.0385</v>
      </c>
      <c r="H902" t="inlineStr">
        <is>
          <t>The repository contains backend software components with complexity O(N), implementing core algorithms. It includes comments explaining the implementation and was initially committed to the codebase. The total size of the code is 1000 bytes.</t>
        </is>
      </c>
      <c r="I902" t="n">
        <v>0.0072</v>
      </c>
      <c r="J902" t="n">
        <v>0.186</v>
      </c>
      <c r="K902" t="n">
        <v>0.1887</v>
      </c>
      <c r="L902" t="inlineStr">
        <is>
          <t>The `Contents` interface provides methods for interacting with files within repositories hosted on GitHub. It includes functionalities such as retrieving the content of the README file from both the default branch and a specified branch. The implementation is designed to be immutable and efficient, adhering to best practices for code readability and maintainability.</t>
        </is>
      </c>
      <c r="M902" t="n">
        <v>0.0035</v>
      </c>
      <c r="N902" t="n">
        <v>0.06560000000000001</v>
      </c>
      <c r="O902" t="n">
        <v>0.12</v>
      </c>
    </row>
    <row r="903">
      <c r="A903" t="inlineStr">
        <is>
          <t>jcabi</t>
        </is>
      </c>
      <c r="B903" t="inlineStr">
        <is>
          <t>src/main/java/com/jcabi/github/IssueEvents.java</t>
        </is>
      </c>
      <c r="C903">
        <f>HYPERLINK("https://github.com/jcabi/jcabi-github/blob/master/src/main/java/com/jcabi/github/IssueEvents.java")</f>
        <v/>
      </c>
      <c r="D903" t="inlineStr">
        <is>
          <t>The provided Java code defines an `IssueEvents` interface that represents GitHub issue events. It includes methods to access the owner's repository, retrieve a specific issue event by its number, and iterate over all issue events in the repository. The class is marked as immutable using the `@Immutable` annotation from the Javassist library. This interface allows developers to interact with GitHub issue events through these methods,</t>
        </is>
      </c>
      <c r="E903" t="n">
        <v>0.0033</v>
      </c>
      <c r="F903" t="n">
        <v>0.027</v>
      </c>
      <c r="G903" t="n">
        <v>0.1095</v>
      </c>
      <c r="H903" t="inlineStr">
        <is>
          <t>Provides interfaces and classes for interacting with GitHub issues and their events.</t>
        </is>
      </c>
      <c r="I903" t="n">
        <v>0.017</v>
      </c>
      <c r="J903" t="n">
        <v>0.1</v>
      </c>
      <c r="K903" t="n">
        <v>0.0595</v>
      </c>
      <c r="L903" t="inlineStr">
        <is>
          <t>The `IssueEvents` interface provides access to GitHub issue events associated with a repository. It includes methods to retrieve a specific event by number, fetch all events, and iterate over them using pagination. The class is marked as immutable, ensuring that once created, its state cannot be modified.</t>
        </is>
      </c>
      <c r="M903" t="n">
        <v>0.0039</v>
      </c>
      <c r="N903" t="n">
        <v>0.0364</v>
      </c>
      <c r="O903" t="n">
        <v>0.08400000000000001</v>
      </c>
    </row>
    <row r="904">
      <c r="A904" t="inlineStr">
        <is>
          <t>jcabi</t>
        </is>
      </c>
      <c r="B904" t="inlineStr">
        <is>
          <t>src/main/java/com/jcabi/github/Pull.java</t>
        </is>
      </c>
      <c r="C904">
        <f>HYPERLINK("https://github.com/jcabi/jcabi-github/blob/master/src/main/java/com/jcabi/github/Pull.java")</f>
        <v/>
      </c>
      <c r="D904" t="inlineStr">
        <is>
          <t>The provided Java code defines an `interface` named `Pull`, which represents a GitHub pull request. It includes methods for accessing various properties of the pull request such as the repository it belongs to, its number, and its base reference. The class is marked with annotations like `@Immutable` and `@Loggable` to indicate immutability and logging capabilities, respectively. The interface also implements two</t>
        </is>
      </c>
      <c r="E904" t="n">
        <v>0.0036</v>
      </c>
      <c r="F904" t="n">
        <v>0.029</v>
      </c>
      <c r="G904" t="n">
        <v>0.0752</v>
      </c>
      <c r="H904" t="inlineStr">
        <is>
          <t>The repository contains backend software components with complexity O(N), implementing core algorithms. The code size is 1000 lines, and it includes comments explaining the implementation.</t>
        </is>
      </c>
      <c r="I904" t="n">
        <v>0.01</v>
      </c>
      <c r="J904" t="n">
        <v>0.2353</v>
      </c>
      <c r="K904" t="n">
        <v>0.3254</v>
      </c>
      <c r="L904" t="inlineStr">
        <is>
          <t>This Java library provides an immutable interface for interacting with GitHub pull requests through the RESTful API. It includes methods to access the repository associated with the pull request, retrieve its number, identify the base reference, get the head reference, check if the pull request is merged, fetch comments, list commits, and more. The class uses annotations like `@Immutable` and `@Loggable` for imm</t>
        </is>
      </c>
      <c r="M904" t="n">
        <v>0.0034</v>
      </c>
      <c r="N904" t="n">
        <v>0.0563</v>
      </c>
      <c r="O904" t="n">
        <v>0.1111</v>
      </c>
    </row>
    <row r="905">
      <c r="A905" t="inlineStr">
        <is>
          <t>jcabi</t>
        </is>
      </c>
      <c r="B905" t="inlineStr">
        <is>
          <t>src/main/java/com/jcabi/github/RtUsers.java</t>
        </is>
      </c>
      <c r="C905">
        <f>HYPERLINK("https://github.com/jcabi/jcabi-github/blob/master/src/main/java/com/jcabi/github/RtUsers.java")</f>
        <v/>
      </c>
      <c r="D905" t="inlineStr">
        <is>
          <t>The provided code defines a class `RtUsers` that represents a collection of GitHub users. It uses HTTP requests to interact with the GitHub API. The class is immutable and includes logging for debugging purposes. The constructor takes a `GitHub` instance and an initial `Request`, which is used to build further paths for user-related operations. The class provides methods to access user information through the GitHub API.</t>
        </is>
      </c>
      <c r="E905" t="n">
        <v>0.0028</v>
      </c>
      <c r="F905" t="n">
        <v>0.0267</v>
      </c>
      <c r="G905" t="n">
        <v>0.0725</v>
      </c>
      <c r="H905" t="inlineStr">
        <is>
          <t>The repository contains backend software components that implement core algorithms. The complexity is O(N), indicating linear time complexity in relation to input size.</t>
        </is>
      </c>
      <c r="I905" t="n">
        <v>0.0098</v>
      </c>
      <c r="J905" t="n">
        <v>0.1875</v>
      </c>
      <c r="K905" t="n">
        <v>0.269</v>
      </c>
      <c r="L905" t="inlineStr">
        <is>
          <t>This Java class `RtUsers` provides access to user data from GitHub using HTTP requests. It encapsulates the necessary API endpoint and handles authentication through the `GitHub` object. The class is immutable and uses logging for debugging purposes. The constructor initializes the base URL for user-related endpoints and sets up a RESTful request object. The `toStr()` method is intended to return a string representation of</t>
        </is>
      </c>
      <c r="M905" t="n">
        <v>0.0034</v>
      </c>
      <c r="N905" t="n">
        <v>0.0548</v>
      </c>
      <c r="O905" t="n">
        <v>0.1103</v>
      </c>
    </row>
    <row r="906">
      <c r="A906" t="inlineStr">
        <is>
          <t>jcabi</t>
        </is>
      </c>
      <c r="B906" t="inlineStr">
        <is>
          <t>src/main/java/com/jcabi/github/RepoCommits.java</t>
        </is>
      </c>
      <c r="C906">
        <f>HYPERLINK("https://github.com/jcabi/jcabi-github/blob/master/src/main/java/com/jcabi/github/RepoCommits.java")</f>
        <v/>
      </c>
      <c r="D906" t="inlineStr">
        <is>
          <t>The provided Java code defines an `interface` named `RepoCommits` that represents a collection of commits for a GitHub repository. It includes methods to retrieve all commits using URL parameters and to fetch a specific commit by its SHA hash. The class is marked as immutable and uses annotations from PMD to suppress certain warnings related to duplicate literals in comments. This interface is part of a larger library (`com</t>
        </is>
      </c>
      <c r="E906" t="n">
        <v>0.0031</v>
      </c>
      <c r="F906" t="n">
        <v>0.026</v>
      </c>
      <c r="G906" t="n">
        <v>0.1064</v>
      </c>
      <c r="H906" t="inlineStr">
        <is>
          <t>The repository contains backend software components that implement core algorithms. The complexity is O(N), indicating linear time complexity for certain operations. Comments describe the implementation of these algorithms. The repository has been initialized with the first commit. The total size of the codebase is 1000 lines.</t>
        </is>
      </c>
      <c r="I906" t="n">
        <v>0.0048</v>
      </c>
      <c r="J906" t="n">
        <v>0.1091</v>
      </c>
      <c r="K906" t="n">
        <v>0.1271</v>
      </c>
      <c r="L906" t="inlineStr">
        <is>
          <t>The `RepoCommits` interface provides methods for interacting with the commits of a GitHub repository. It allows iteration over all commits using URL parameters and retrieval of a specific commit by its SHA hash. The implementation is designed to be immutable and uses JSON parsing capabilities.</t>
        </is>
      </c>
      <c r="M906" t="n">
        <v>0.0041</v>
      </c>
      <c r="N906" t="n">
        <v>0.0755</v>
      </c>
      <c r="O906" t="n">
        <v>0.1282</v>
      </c>
    </row>
    <row r="907">
      <c r="A907" t="inlineStr">
        <is>
          <t>jcabi</t>
        </is>
      </c>
      <c r="B907" t="inlineStr">
        <is>
          <t>src/main/java/com/jcabi/github/Gitignores.java</t>
        </is>
      </c>
      <c r="C907">
        <f>HYPERLINK("https://github.com/jcabi/jcabi-github/blob/master/src/main/java/com/jcabi/github/Gitignores.java")</f>
        <v/>
      </c>
      <c r="D907" t="inlineStr">
        <is>
          <t>The provided Java code defines an `interface` named `Gitignores`, which represents a service for managing `.gitignore` templates on GitHub. The class is marked as immutable, meaning once created, its state cannot be changed. Here's a concise summary of its key functionalities:
### Key Features:
1. **GitHub Owner Access**: 
   - Provides access to the GitHub instance through the `github</t>
        </is>
      </c>
      <c r="E907" t="n">
        <v>0</v>
      </c>
      <c r="F907" t="n">
        <v>0.0308</v>
      </c>
      <c r="G907" t="n">
        <v>0</v>
      </c>
      <c r="H907" t="inlineStr">
        <is>
          <t>The provided code defines a `Gitignores` interface in Java that provides methods for interacting with GitHub's Gitignore templates. It includes methods to retrieve the GitHub instance, list all available templates, and fetch the raw content of a specific template by name. The complexity is marked as \(O(N)\), indicating linear time complexity, where \(N\) represents the number of templates or operations performed. The</t>
        </is>
      </c>
      <c r="I907" t="n">
        <v>0.0029</v>
      </c>
      <c r="J907" t="n">
        <v>0.0278</v>
      </c>
      <c r="K907" t="n">
        <v>0.0373</v>
      </c>
      <c r="L907" t="inlineStr">
        <is>
          <t>The `Gitignores` interface provides access to GitHub's list of available `.gitignore` templates. It allows developers to retrieve both the names of these templates and their raw content, facilitating integration into version control systems for project-specific configuration files. The implementation is designed to be immutable and efficient, making it suitable for use in applications that need to manage multiple repositories effectively.</t>
        </is>
      </c>
      <c r="M907" t="n">
        <v>0.003</v>
      </c>
      <c r="N907" t="n">
        <v>0.0571</v>
      </c>
      <c r="O907" t="n">
        <v>0.1136</v>
      </c>
    </row>
    <row r="908">
      <c r="A908" t="inlineStr">
        <is>
          <t>jcabi</t>
        </is>
      </c>
      <c r="B908" t="inlineStr">
        <is>
          <t>src/main/java/com/jcabi/github/Label.java</t>
        </is>
      </c>
      <c r="C908">
        <f>HYPERLINK("https://github.com/jcabi/jcabi-github/blob/master/src/main/java/com/jcabi/github/Label.java")</f>
        <v/>
      </c>
      <c r="D908" t="inlineStr">
        <is>
          <t>The provided code defines an `interface` named `Label` within the package `com.jcabi.github`. This interface represents a label on a GitHub issue or pull request. It includes methods for accessing the repository (`repo()`), retrieving the label's name (`name()`), and providing JSON representations of itself (`JsonReadable`, `JsonPatchable`). The class is marked as immutable to ensure thread safety</t>
        </is>
      </c>
      <c r="E908" t="n">
        <v>0.004</v>
      </c>
      <c r="F908" t="n">
        <v>0.0606</v>
      </c>
      <c r="G908" t="n">
        <v>0.07870000000000001</v>
      </c>
      <c r="H908" t="inlineStr">
        <is>
          <t>The repository contains backend software components implementing core algorithms.</t>
        </is>
      </c>
      <c r="I908" t="n">
        <v>0.0285</v>
      </c>
      <c r="J908" t="n">
        <v>0.3529</v>
      </c>
      <c r="K908" t="n">
        <v>0.3155</v>
      </c>
      <c r="L908" t="inlineStr">
        <is>
          <t>The code defines an `Label` interface that represents a label used for issues in a GitHub repository. It includes methods to access the repository, retrieve the label's name, and provides additional functionalities such as comparison and JSON representation. The class is marked as immutable and uses annotations for logging and immutability checks.</t>
        </is>
      </c>
      <c r="M908" t="n">
        <v>0.0035</v>
      </c>
      <c r="N908" t="n">
        <v>0.06560000000000001</v>
      </c>
      <c r="O908" t="n">
        <v>0.0806</v>
      </c>
    </row>
    <row r="909">
      <c r="A909" t="inlineStr">
        <is>
          <t>jcabi</t>
        </is>
      </c>
      <c r="B909" t="inlineStr">
        <is>
          <t>src/main/java/com/jcabi/github/Limits.java</t>
        </is>
      </c>
      <c r="C909">
        <f>HYPERLINK("https://github.com/jcabi/jcabi-github/blob/master/src/main/java/com/jcabi/github/Limits.java")</f>
        <v/>
      </c>
      <c r="D909" t="inlineStr">
        <is>
          <t>The provided code defines an interface `Limits` that represents the rate limiting API for GitHub resources such as "core" and "search". It includes methods to retrieve the GitHub instance associated with these limits and to obtain specific limit information for each resource. The implementation is marked as immutable and uses Lombok annotations for readability and logging purposes.</t>
        </is>
      </c>
      <c r="E909" t="n">
        <v>0.0032</v>
      </c>
      <c r="F909" t="n">
        <v>0.0615</v>
      </c>
      <c r="G909" t="n">
        <v>0.1163</v>
      </c>
      <c r="H909" t="inlineStr">
        <is>
          <t>This repository contains backend software components that implement core algorithms. The complexity is O(N), indicating linear time complexity, which means the execution time grows proportionally to the input size N. The implementation includes comments explaining the purpose and functionality of each part of the code. The commits indicate the initial creation of the codebase. The total code size is 1000 lines.</t>
        </is>
      </c>
      <c r="I909" t="n">
        <v>0.0045</v>
      </c>
      <c r="J909" t="n">
        <v>0.1429</v>
      </c>
      <c r="K909" t="n">
        <v>0.2256</v>
      </c>
      <c r="L909" t="inlineStr">
        <is>
          <t>This code provides an interface `Limits` that allows access to GitHub's rate limits for different resources such as 'core' and 'search'. It includes methods to retrieve these limits and a nested class `Throttled` which is used internally by the implementation to manage throttling based on these limits. The code uses annotations like `@Immutable`, `@ToString`, `@Loggable`, and `</t>
        </is>
      </c>
      <c r="M909" t="n">
        <v>0.0038</v>
      </c>
      <c r="N909" t="n">
        <v>0.09229999999999999</v>
      </c>
      <c r="O909" t="n">
        <v>0.155</v>
      </c>
    </row>
    <row r="910">
      <c r="A910" t="inlineStr">
        <is>
          <t>jcabi</t>
        </is>
      </c>
      <c r="B910" t="inlineStr">
        <is>
          <t>src/main/java/com/jcabi/github/Existence.java</t>
        </is>
      </c>
      <c r="C910">
        <f>HYPERLINK("https://github.com/jcabi/jcabi-github/blob/master/src/main/java/com/jcabi/github/Existence.java")</f>
        <v/>
      </c>
      <c r="D910" t="inlineStr">
        <is>
          <t>The `Existence` class checks whether a GitHub JSON object exists by attempting to read its JSON representation. It uses the `JsonReadable` interface to perform the check. The method returns `true` if the object exists and `false` otherwise, handling any potential exceptions that may occur during the process. This utility is useful for verifying the presence of resources in a GitHub API response.</t>
        </is>
      </c>
      <c r="E910" t="n">
        <v>0.0035</v>
      </c>
      <c r="F910" t="n">
        <v>0.0286</v>
      </c>
      <c r="G910" t="n">
        <v>0.1119</v>
      </c>
      <c r="H910" t="inlineStr">
        <is>
          <t>The repository contains backend software components that implement core algorithms. The complexity of these implementations is O(N), indicating linear time complexity with respect to input size. The code base has been initialized with the first commit.</t>
        </is>
      </c>
      <c r="I910" t="n">
        <v>0.0061</v>
      </c>
      <c r="J910" t="n">
        <v>0.1333</v>
      </c>
      <c r="K910" t="n">
        <v>0.1389</v>
      </c>
      <c r="L910" t="inlineStr">
        <is>
          <t>The `Existence` class checks whether a given GitHub JSON object exists by attempting to read its content. It uses the `JsonReadable` interface to handle the JSON data. The method returns `true` if the JSON can be successfully parsed without errors, indicating that the object exists; otherwise, it returns `false`. This utility is useful for verifying the presence of resources in a GitHub API response.</t>
        </is>
      </c>
      <c r="M910" t="n">
        <v>0.0028</v>
      </c>
      <c r="N910" t="n">
        <v>0.0278</v>
      </c>
      <c r="O910" t="n">
        <v>0.0735</v>
      </c>
    </row>
    <row r="911">
      <c r="A911" t="inlineStr">
        <is>
          <t>jcabi</t>
        </is>
      </c>
      <c r="B911" t="inlineStr">
        <is>
          <t>src/main/java/com/jcabi/github/RtPull.java</t>
        </is>
      </c>
      <c r="C911">
        <f>HYPERLINK("https://github.com/jcabi/jcabi-github/blob/master/src/main/java/com/jcabi/github/RtPull.java")</f>
        <v/>
      </c>
      <c r="D911" t="inlineStr">
        <is>
          <t>The provided Java code defines a class `RtPull` that represents a GitHub pull request. It uses HTTP requests to interact with the GitHub API. The class is immutable and includes logging for debugging purposes. Key functionalities include:
1. **API Entry Point**: Stores the base URL for making API calls.
2. **RESTful Request**: Manages the actual HTTP requests to fetch data about the pull</t>
        </is>
      </c>
      <c r="E911" t="n">
        <v>0.0029</v>
      </c>
      <c r="F911" t="n">
        <v>0.0282</v>
      </c>
      <c r="G911" t="n">
        <v>0.0741</v>
      </c>
      <c r="H911" t="inlineStr">
        <is>
          <t>The repository contains backend software components that implement core algorithms. The complexity is O(N), indicating linear time complexity for certain operations. There are comments explaining the implementation details. The code size is 1000 lines.</t>
        </is>
      </c>
      <c r="I911" t="n">
        <v>0.0065</v>
      </c>
      <c r="J911" t="n">
        <v>0.1395</v>
      </c>
      <c r="K911" t="n">
        <v>0.1415</v>
      </c>
      <c r="L911" t="inlineStr">
        <is>
          <t>This Java code defines a `RtPull` class that represents a GitHub pull request using HTTP requests. It provides methods for retrieving details about the pull request, such as merging it, checking if it's open, and getting comments. The class uses annotations like `@Immutable`, `@Loggable`, and `@EqualsAndHashCode` to ensure immutability, logging, and hashcode generation,</t>
        </is>
      </c>
      <c r="M911" t="n">
        <v>0.0041</v>
      </c>
      <c r="N911" t="n">
        <v>0.0645</v>
      </c>
      <c r="O911" t="n">
        <v>0.12</v>
      </c>
    </row>
    <row r="912">
      <c r="A912" t="inlineStr">
        <is>
          <t>jcabi</t>
        </is>
      </c>
      <c r="B912" t="inlineStr">
        <is>
          <t>src/main/java/com/jcabi/github/DeployKey.java</t>
        </is>
      </c>
      <c r="C912">
        <f>HYPERLINK("https://github.com/jcabi/jcabi-github/blob/master/src/main/java/com/jcabi/github/DeployKey.java")</f>
        <v/>
      </c>
      <c r="D912" t="inlineStr">
        <is>
          <t>The provided Java code defines an `DeployKey` interface that represents a deploy key on a GitHub repository. It includes methods to retrieve the key's ID, delete it from the repository, and read/write JSON data associated with the key. The class uses annotations for immutability and logging, and leverages Lombok for builder-style object creation. The complexity of the implementation is O(1), as</t>
        </is>
      </c>
      <c r="E912" t="n">
        <v>0.003</v>
      </c>
      <c r="F912" t="n">
        <v>0.0274</v>
      </c>
      <c r="G912" t="n">
        <v>0.1128</v>
      </c>
      <c r="H912" t="inlineStr">
        <is>
          <t>The repository contains backend software components with complexity O(N), implementing core algorithms. The implementation includes comments explaining the purpose and functionality of each part of the code. The code size is 1000 lines.</t>
        </is>
      </c>
      <c r="I912" t="n">
        <v>0.008</v>
      </c>
      <c r="J912" t="n">
        <v>0.1905</v>
      </c>
      <c r="K912" t="n">
        <v>0.2381</v>
      </c>
      <c r="L912" t="inlineStr">
        <is>
          <t>The `DeployKey` interface represents a deployment key for a GitHub repository, providing methods to retrieve its ID, delete it, and manage its JSON representation. It implements both `JsonReadable` and `JsonPatchable`, allowing access to its data as JSON and modification capabilities through patching. The class uses annotations like `@Immutable` and `@Loggable` for immutability and logging purposes</t>
        </is>
      </c>
      <c r="M912" t="n">
        <v>0.004</v>
      </c>
      <c r="N912" t="n">
        <v>0.0635</v>
      </c>
      <c r="O912" t="n">
        <v>0.1181</v>
      </c>
    </row>
    <row r="913">
      <c r="A913" t="inlineStr">
        <is>
          <t>jcabi</t>
        </is>
      </c>
      <c r="B913" t="inlineStr">
        <is>
          <t>src/main/java/com/jcabi/github/RtContent.java</t>
        </is>
      </c>
      <c r="C913">
        <f>HYPERLINK("https://github.com/jcabi/jcabi-github/blob/master/src/main/java/com/jcabi/github/RtContent.java")</f>
        <v/>
      </c>
      <c r="D913" t="inlineStr">
        <is>
          <t>The provided Java code defines a class `RtContent` that represents a piece of content stored on GitHub. It is part of a larger library for interacting with GitHub repositories using HTTP requests. The class encapsulates information about a specific file or directory within a repository, including its location, associated request object, and the repository it belongs to. The class uses annotations from the JCabi framework to enhance logging</t>
        </is>
      </c>
      <c r="E913" t="n">
        <v>0.0027</v>
      </c>
      <c r="F913" t="n">
        <v>0.0263</v>
      </c>
      <c r="G913" t="n">
        <v>0.07140000000000001</v>
      </c>
      <c r="H913" t="inlineStr">
        <is>
          <t>This repository contains backend software components that implement core algorithms. The complexity is O(N), indicating linear time complexity for certain operations. The implementation includes comments explaining the purpose and functionality of each part of the code.</t>
        </is>
      </c>
      <c r="I913" t="n">
        <v>0.0077</v>
      </c>
      <c r="J913" t="n">
        <v>0.2222</v>
      </c>
      <c r="K913" t="n">
        <v>0.2778</v>
      </c>
      <c r="L913" t="inlineStr">
        <is>
          <t>This Java code defines a class `RtContent` that represents content from a GitHub repository. It uses HTTP requests to fetch and manipulate content stored in the specified path within the given repository. The class is immutable and includes logging for debugging purposes. It provides methods to retrieve the content as JSON, handle different HTTP response statuses, and manage caching using a location string.</t>
        </is>
      </c>
      <c r="M913" t="n">
        <v>0.0034</v>
      </c>
      <c r="N913" t="n">
        <v>0.0563</v>
      </c>
      <c r="O913" t="n">
        <v>0.1111</v>
      </c>
    </row>
    <row r="914">
      <c r="A914" t="inlineStr">
        <is>
          <t>jcabi</t>
        </is>
      </c>
      <c r="B914" t="inlineStr">
        <is>
          <t>src/main/java/com/jcabi/github/FileChange.java</t>
        </is>
      </c>
      <c r="C914">
        <f>HYPERLINK("https://github.com/jcabi/jcabi-github/blob/master/src/main/java/com/jcabi/github/FileChange.java")</f>
        <v/>
      </c>
      <c r="D914" t="inlineStr">
        <is>
          <t>The provided Java code defines an `interface` named `FileChange`, which represents a file change in Git repositories. It includes methods for reading JSON data related to file changes and provides various status options such as "added," "modified," "removed," and "renamed." The class is marked with annotations like `@Immutable` and `@Loggable` to ensure immutability and logging capabilities</t>
        </is>
      </c>
      <c r="E914" t="n">
        <v>0.0033</v>
      </c>
      <c r="F914" t="n">
        <v>0.0312</v>
      </c>
      <c r="G914" t="n">
        <v>0.0391</v>
      </c>
      <c r="H914" t="inlineStr">
        <is>
          <t>The repository contains backend software components with complexity O(N), implementing core algorithms. The implementation is documented in comments, starting from an initial codebase commit. The total size of the codebase is 1000 lines.</t>
        </is>
      </c>
      <c r="I914" t="n">
        <v>0.0067</v>
      </c>
      <c r="J914" t="n">
        <v>0.1429</v>
      </c>
      <c r="K914" t="n">
        <v>0.1429</v>
      </c>
      <c r="L914" t="inlineStr">
        <is>
          <t>The `FileChange` interface represents changes made to files within a GitHub repository. It provides methods to retrieve various details about these changes, such as whether they were added, modified, removed, or renamed. The implementation is designed to be immutable and includes logging for better traceability.</t>
        </is>
      </c>
      <c r="M914" t="n">
        <v>0.0041</v>
      </c>
      <c r="N914" t="n">
        <v>0.0755</v>
      </c>
      <c r="O914" t="n">
        <v>0.08550000000000001</v>
      </c>
    </row>
    <row r="915">
      <c r="A915" t="inlineStr">
        <is>
          <t>jcabi</t>
        </is>
      </c>
      <c r="B915" t="inlineStr">
        <is>
          <t>src/main/java/com/jcabi/github/Releases.java</t>
        </is>
      </c>
      <c r="C915">
        <f>HYPERLINK("https://github.com/jcabi/jcabi-github/blob/master/src/main/java/com/jcabi/github/Releases.java")</f>
        <v/>
      </c>
      <c r="D915" t="inlineStr">
        <is>
          <t>The provided code defines an `Releases` interface in Java that represents GitHub releases for a specific repository. It includes methods to interact with these releases, such as iterating over all releases, retrieving a specific release by its ID, and creating a new release. The class is marked as immutable using the `@Immutable` annotation from the Jcabi library, ensuring thread safety.</t>
        </is>
      </c>
      <c r="E915" t="n">
        <v>0.003</v>
      </c>
      <c r="F915" t="n">
        <v>0.0294</v>
      </c>
      <c r="G915" t="n">
        <v>0.07580000000000001</v>
      </c>
      <c r="H915" t="inlineStr">
        <is>
          <t>Manages GitHub releases for repositories.</t>
        </is>
      </c>
      <c r="I915" t="n">
        <v>0</v>
      </c>
      <c r="J915" t="n">
        <v>0</v>
      </c>
      <c r="K915" t="n">
        <v>0</v>
      </c>
      <c r="L915" t="inlineStr">
        <is>
          <t>The `Releases` interface provides methods for interacting with GitHub releases, including retrieving all releases, getting a specific release by ID, and creating a new release. It is part of a larger library that handles GitHub repositories and their associated resources.</t>
        </is>
      </c>
      <c r="M915" t="n">
        <v>0.0046</v>
      </c>
      <c r="N915" t="n">
        <v>0.0417</v>
      </c>
      <c r="O915" t="n">
        <v>0.0893</v>
      </c>
    </row>
    <row r="916">
      <c r="A916" t="inlineStr">
        <is>
          <t>jcabi</t>
        </is>
      </c>
      <c r="B916" t="inlineStr">
        <is>
          <t>src/main/java/com/jcabi/github/JsonPatchable.java</t>
        </is>
      </c>
      <c r="C916">
        <f>HYPERLINK("https://github.com/jcabi/jcabi-github/blob/master/src/main/java/com/jcabi/github/JsonPatchable.java")</f>
        <v/>
      </c>
      <c r="D916" t="inlineStr">
        <is>
          <t>The `JsonPatchable` interface defines a method to apply a JSON patch to an object. It takes a `JsonObject` as input and updates the object accordingly, potentially throwing an `IOException`. This interface is marked as immutable, ensuring that once created, its state cannot be changed. The complexity of implementing this interface is O(N), where N represents the number of operations required to apply the JSON patch</t>
        </is>
      </c>
      <c r="E916" t="n">
        <v>0.0033</v>
      </c>
      <c r="F916" t="n">
        <v>0.0541</v>
      </c>
      <c r="G916" t="n">
        <v>0.1095</v>
      </c>
      <c r="H916" t="inlineStr">
        <is>
          <t>The provided code defines an `JsonPatchable` interface in Java that allows objects to be patched with JSON data. The complexity of implementing this interface is O(N), where N represents the number of operations performed during the patching process. This interface includes a method `patch` that takes a `JsonObject` as input and applies it to the object's state, potentially modifying its internal structure or attributes based</t>
        </is>
      </c>
      <c r="I916" t="n">
        <v>0.0033</v>
      </c>
      <c r="J916" t="n">
        <v>0.0533</v>
      </c>
      <c r="K916" t="n">
        <v>0.1095</v>
      </c>
      <c r="L916" t="inlineStr">
        <is>
          <t>The `JsonPatchable` interface defines a method for applying JSON patches to objects, which can be useful for updating data stored as JSON format. The implementation complexity is O(N), where N is the size of the JSON object being patched. The interface provides a straightforward way to apply changes to JSON structures programmatically.</t>
        </is>
      </c>
      <c r="M916" t="n">
        <v>0</v>
      </c>
      <c r="N916" t="n">
        <v>0.0328</v>
      </c>
      <c r="O916" t="n">
        <v>0.0806</v>
      </c>
    </row>
    <row r="917">
      <c r="A917" t="inlineStr">
        <is>
          <t>jcabi</t>
        </is>
      </c>
      <c r="B917" t="inlineStr">
        <is>
          <t>src/main/java/com/jcabi/github/User.java</t>
        </is>
      </c>
      <c r="C917">
        <f>HYPERLINK("https://github.com/jcabi/jcabi-github/blob/master/src/main/java/com/jcabi/github/User.java")</f>
        <v/>
      </c>
      <c r="D917" t="inlineStr">
        <is>
          <t>The provided Java code defines an `interface` named `User` within the package `com.jcabi.github`. This interface represents a GitHub user entity with various functionalities such as accessing the GitHub instance, retrieving the user's login name, and performing JSON operations like reading and patching data related to the user. The class is marked as immutable and uses annotations for logging and immutability checks. It</t>
        </is>
      </c>
      <c r="E917" t="n">
        <v>0.0035</v>
      </c>
      <c r="F917" t="n">
        <v>0.0822</v>
      </c>
      <c r="G917" t="n">
        <v>0.1119</v>
      </c>
      <c r="H917" t="inlineStr">
        <is>
          <t>The repository contains backend software components with complexity O(N), implementing core algorithms. The code size is 1000 lines, and the README provides information about the project's purpose and structure.</t>
        </is>
      </c>
      <c r="I917" t="n">
        <v>0.008500000000000001</v>
      </c>
      <c r="J917" t="n">
        <v>0.2051</v>
      </c>
      <c r="K917" t="n">
        <v>0.3125</v>
      </c>
      <c r="L917" t="inlineStr">
        <is>
          <t>The `User` interface represents a GitHub user entity, providing methods for interacting with their data such as retrieving their login name, accessing JSON representations, applying patches, and managing GitHub instances. It is part of a larger library that handles various aspects of GitHub interactions through RESTful APIs. The implementation complexity is O(N), indicating potential performance considerations when dealing with large datasets.</t>
        </is>
      </c>
      <c r="M917" t="n">
        <v>0.003</v>
      </c>
      <c r="N917" t="n">
        <v>0.0286</v>
      </c>
      <c r="O917" t="n">
        <v>0.1128</v>
      </c>
    </row>
    <row r="918">
      <c r="A918" t="inlineStr">
        <is>
          <t>jcabi</t>
        </is>
      </c>
      <c r="B918" t="inlineStr">
        <is>
          <t>src/main/java/com/jcabi/github/RtAssignees.java</t>
        </is>
      </c>
      <c r="C918">
        <f>HYPERLINK("https://github.com/jcabi/jcabi-github/blob/master/src/main/java/com/jcabi/github/RtAssignees.java")</f>
        <v/>
      </c>
      <c r="D918" t="inlineStr">
        <is>
          <t>The provided Java code defines a class `RtAssignees` that represents GitHub assignees for a specific repository. It uses HTTP requests to interact with the GitHub API. The class is immutable and includes logging annotations. The constructor initializes the API entry point, RESTful request, and repository object. The class provides methods to retrieve assignee information from the GitHub API.</t>
        </is>
      </c>
      <c r="E918" t="n">
        <v>0.0031</v>
      </c>
      <c r="F918" t="n">
        <v>0.0303</v>
      </c>
      <c r="G918" t="n">
        <v>0.0769</v>
      </c>
      <c r="H918" t="inlineStr">
        <is>
          <t>Manages GitHub assignees for repositories.</t>
        </is>
      </c>
      <c r="I918" t="n">
        <v>0</v>
      </c>
      <c r="J918" t="n">
        <v>0</v>
      </c>
      <c r="K918" t="n">
        <v>0</v>
      </c>
      <c r="L918" t="inlineStr">
        <is>
          <t>This Java class provides a wrapper for managing assignees in a GitHub repository using HTTP requests. It encapsulates the necessary methods to interact with the GitHub API, such as listing all assignees, adding new ones, and removing existing ones. The class is immutable and uses logging for debugging purposes.</t>
        </is>
      </c>
      <c r="M918" t="n">
        <v>0.0045</v>
      </c>
      <c r="N918" t="n">
        <v>0.0702</v>
      </c>
      <c r="O918" t="n">
        <v>0.124</v>
      </c>
    </row>
    <row r="919">
      <c r="A919" t="inlineStr">
        <is>
          <t>jcabi</t>
        </is>
      </c>
      <c r="B919" t="inlineStr">
        <is>
          <t>src/main/java/com/jcabi/github/RtReleaseAssets.java</t>
        </is>
      </c>
      <c r="C919">
        <f>HYPERLINK("https://github.com/jcabi/jcabi-github/blob/master/src/main/java/com/jcabi/github/RtReleaseAssets.java")</f>
        <v/>
      </c>
      <c r="D919" t="inlineStr">
        <is>
          <t>The provided code defines a Java class `RtReleaseAssets` that represents GitHub release assets. It uses the JCabi library to interact with the GitHub API for retrieving release assets associated with a specific release owned by another user or organization. The class is immutable and includes logging annotations for debugging purposes. It encapsulates the necessary HTTP requests and responses using JCabi's HTTP client capabilities.</t>
        </is>
      </c>
      <c r="E919" t="n">
        <v>0.0029</v>
      </c>
      <c r="F919" t="n">
        <v>0.0278</v>
      </c>
      <c r="G919" t="n">
        <v>0.0741</v>
      </c>
      <c r="H919" t="inlineStr">
        <is>
          <t>Manages GitHub release assets for repositories.</t>
        </is>
      </c>
      <c r="I919" t="n">
        <v>0</v>
      </c>
      <c r="J919" t="n">
        <v>0</v>
      </c>
      <c r="K919" t="n">
        <v>0</v>
      </c>
      <c r="L919" t="inlineStr">
        <is>
          <t>This Java class `RtReleaseAssets` provides access to release assets for a specific GitHub release using HTTP requests. It encapsulates the necessary methods to interact with the GitHub API, including retrieving asset details such as names, URLs, and download sizes. The class uses immutable properties and logging annotations for better performance and debugging capabilities.</t>
        </is>
      </c>
      <c r="M919" t="n">
        <v>0.0041</v>
      </c>
      <c r="N919" t="n">
        <v>0.06560000000000001</v>
      </c>
      <c r="O919" t="n">
        <v>0.12</v>
      </c>
    </row>
    <row r="920">
      <c r="A920" t="inlineStr">
        <is>
          <t>jcabi</t>
        </is>
      </c>
      <c r="B920" t="inlineStr">
        <is>
          <t>src/main/java/com/jcabi/github/Issues.java</t>
        </is>
      </c>
      <c r="C920">
        <f>HYPERLINK("https://github.com/jcabi/jcabi-github/blob/master/src/main/java/com/jcabi/github/Issues.java")</f>
        <v/>
      </c>
      <c r="D920" t="inlineStr">
        <is>
          <t>The provided Java code defines an `Issues` interface that represents GitHub issues. It includes methods to interact with issues in a repository, such as retrieving a specific issue by its number and creating a new issue. The interface uses annotations for immutability and handles exceptions related to input/output operations.</t>
        </is>
      </c>
      <c r="E920" t="n">
        <v>0.0037</v>
      </c>
      <c r="F920" t="n">
        <v>0.0345</v>
      </c>
      <c r="G920" t="n">
        <v>0.08260000000000001</v>
      </c>
      <c r="H920" t="inlineStr">
        <is>
          <t>Manages GitHub issues for a specified repository. Provides methods to retrieve specific issues by number and create new ones. Complexity is O(N), indicating linear time complexity in relation to input size. Comments describe implementation details, while commits track initial creation of the codebase. The code size is 1000 lines.</t>
        </is>
      </c>
      <c r="I920" t="n">
        <v>0.0037</v>
      </c>
      <c r="J920" t="n">
        <v>0.0345</v>
      </c>
      <c r="K920" t="n">
        <v>0.08260000000000001</v>
      </c>
      <c r="L920" t="inlineStr">
        <is>
          <t>This Java library provides access to GitHub issues through the GitHub REST API. It includes methods for retrieving specific issues by their numbers and creating new ones. The class `Issues` is immutable and uses annotations from the JCabi framework for aspect-oriented programming.</t>
        </is>
      </c>
      <c r="M920" t="n">
        <v>0.0052</v>
      </c>
      <c r="N920" t="n">
        <v>0.0784</v>
      </c>
      <c r="O920" t="n">
        <v>0.1316</v>
      </c>
    </row>
    <row r="921">
      <c r="A921" t="inlineStr">
        <is>
          <t>jcabi</t>
        </is>
      </c>
      <c r="B921" t="inlineStr">
        <is>
          <t>src/main/java/com/jcabi/github/Markdown.java</t>
        </is>
      </c>
      <c r="C921">
        <f>HYPERLINK("https://github.com/jcabi/jcabi-github/blob/master/src/main/java/com/jcabi/github/Markdown.java")</f>
        <v/>
      </c>
      <c r="D921" t="inlineStr">
        <is>
          <t>The `Markdown` interface provides methods for rendering markdown content into HTML using the GitHub Markdown API. It includes two main functionalities:
1. **Render**: This method takes a JSON object as input and returns the rendered HTML string based on the specified markdown content.
2. **Raw Rendering**: This method directly converts plain text written in Markdown format into HTML without any additional processing or formatting options.
Both methods throw</t>
        </is>
      </c>
      <c r="E921" t="n">
        <v>0.0032</v>
      </c>
      <c r="F921" t="n">
        <v>0.0526</v>
      </c>
      <c r="G921" t="n">
        <v>0.1071</v>
      </c>
      <c r="H921" t="inlineStr">
        <is>
          <t>Provides interfaces for interacting with GitHub's Markdown API, including methods to render markdown content as HTML.</t>
        </is>
      </c>
      <c r="I921" t="n">
        <v>0</v>
      </c>
      <c r="J921" t="n">
        <v>0</v>
      </c>
      <c r="K921" t="n">
        <v>0</v>
      </c>
      <c r="L921" t="inlineStr">
        <is>
          <t>The `Markdown` interface provides methods for rendering Markdown content into HTML using the GitHub API. It includes two primary functionalities:
1. **Render Method**: Takes a JSON object as input, which specifies various options for rendering, and returns the rendered HTML string.
2. **Raw Rendering Method**: Converts plain-text Markdown content into HTML without any additional formatting options specified by the user.
Both methods throw an `</t>
        </is>
      </c>
      <c r="M921" t="n">
        <v>0.0028</v>
      </c>
      <c r="N921" t="n">
        <v>0.0548</v>
      </c>
      <c r="O921" t="n">
        <v>0.073</v>
      </c>
    </row>
    <row r="922">
      <c r="A922" t="inlineStr">
        <is>
          <t>jcabi</t>
        </is>
      </c>
      <c r="B922" t="inlineStr">
        <is>
          <t>src/main/java/com/jcabi/github/RtDeployKey.java</t>
        </is>
      </c>
      <c r="C922">
        <f>HYPERLINK("https://github.com/jcabi/jcabi-github/blob/master/src/main/java/com/jcabi/github/RtDeployKey.java")</f>
        <v/>
      </c>
      <c r="D922" t="inlineStr">
        <is>
          <t>The provided code defines a `RtDeployKey` class that represents a deployment key in GitHub using HTTP requests to interact with the GitHub API. It includes methods to retrieve information about the deploy key, such as its ID and permissions. The class is immutable and uses logging for debugging purposes.</t>
        </is>
      </c>
      <c r="E922" t="n">
        <v>0.0037</v>
      </c>
      <c r="F922" t="n">
        <v>0.0351</v>
      </c>
      <c r="G922" t="n">
        <v>0.08260000000000001</v>
      </c>
      <c r="H922" t="inlineStr">
        <is>
          <t>The repository contains backend software components that implement core algorithms. The complexity is O(N), indicating linear time complexity in relation to input size N. Comments describe the implementation as providing core algorithm implementations. Initial codebase commit was made. The total code size is 1000 lines.</t>
        </is>
      </c>
      <c r="I922" t="n">
        <v>0.0049</v>
      </c>
      <c r="J922" t="n">
        <v>0.1111</v>
      </c>
      <c r="K922" t="n">
        <v>0.1282</v>
      </c>
      <c r="L922" t="inlineStr">
        <is>
          <t>The `RtDeployKey` class represents a GitHub deploy key, providing methods to interact with deploy keys via HTTP requests. It encapsulates the necessary details such as the RESTful API request, key ID, and associated repository. The class is immutable and uses logging for debugging purposes.</t>
        </is>
      </c>
      <c r="M922" t="n">
        <v>0.0042</v>
      </c>
      <c r="N922" t="n">
        <v>0.0385</v>
      </c>
      <c r="O922" t="n">
        <v>0.0862</v>
      </c>
    </row>
    <row r="923">
      <c r="A923" t="inlineStr">
        <is>
          <t>jcabi</t>
        </is>
      </c>
      <c r="B923" t="inlineStr">
        <is>
          <t>src/main/java/com/jcabi/github/Organization.java</t>
        </is>
      </c>
      <c r="C923">
        <f>HYPERLINK("https://github.com/jcabi/jcabi-github/blob/master/src/main/java/com/jcabi/github/Organization.java")</f>
        <v/>
      </c>
      <c r="D923" t="inlineStr">
        <is>
          <t>The provided Java code defines an `Organization` interface in the `com.jcabi.github` package. This interface represents a GitHub organization and provides methods to interact with its properties such as name, description, URL, creation date, etc. The class is marked as immutable using the `@Immutable` annotation and includes logging capabilities via the `@Loggable` annotation. It uses Jakarta JSON for handling</t>
        </is>
      </c>
      <c r="E923" t="n">
        <v>0.0037</v>
      </c>
      <c r="F923" t="n">
        <v>0.0588</v>
      </c>
      <c r="G923" t="n">
        <v>0.1154</v>
      </c>
      <c r="H923" t="inlineStr">
        <is>
          <t>The repository contains backend software components that implement core algorithms. The complexity is O(N), indicating linear time complexity in relation to input size N. Comments describe the implementation as providing core algorithmic functionalities. The commits indicate this is the initial codebase creation. The total code size is 1000 lines.</t>
        </is>
      </c>
      <c r="I923" t="n">
        <v>0.0045</v>
      </c>
      <c r="J923" t="n">
        <v>0.1379</v>
      </c>
      <c r="K923" t="n">
        <v>0.1653</v>
      </c>
      <c r="L923" t="inlineStr">
        <is>
          <t>This Java interface represents a GitHub organization, providing methods to retrieve various details about the organization such as its name, description, URL, creation date, number of repositories, members, and more. It includes smart decorators for additional functionalities like retrieving specific user roles within the organization. The class is immutable and uses annotations for logging and immutability checks.</t>
        </is>
      </c>
      <c r="M923" t="n">
        <v>0.0038</v>
      </c>
      <c r="N923" t="n">
        <v>0.09229999999999999</v>
      </c>
      <c r="O923" t="n">
        <v>0.1163</v>
      </c>
    </row>
    <row r="924">
      <c r="A924" t="inlineStr">
        <is>
          <t>jcabi</t>
        </is>
      </c>
      <c r="B924" t="inlineStr">
        <is>
          <t>src/main/java/com/jcabi/github/Status.java</t>
        </is>
      </c>
      <c r="C924">
        <f>HYPERLINK("https://github.com/jcabi/jcabi-github/blob/master/src/main/java/com/jcabi/github/Status.java")</f>
        <v/>
      </c>
      <c r="D924" t="inlineStr">
        <is>
          <t>The provided Java code defines an `Status` interface that represents a commit status in a GitHub repository. It includes methods to access the associated commit, its unique identifier, and its URL. The class is marked as immutable using the `@Immutable` annotation from the `jcabi-aspects` library, ensuring that once created, it cannot be modified. The `State` enum within the `Status`</t>
        </is>
      </c>
      <c r="E924" t="n">
        <v>0.0031</v>
      </c>
      <c r="F924" t="n">
        <v>0.0294</v>
      </c>
      <c r="G924" t="n">
        <v>0.07630000000000001</v>
      </c>
      <c r="H924" t="inlineStr">
        <is>
          <t>The repository contains backend software components with complexity O(N), implementing core algorithms. The code size is 1000 lines.</t>
        </is>
      </c>
      <c r="I924" t="n">
        <v>0.0128</v>
      </c>
      <c r="J924" t="n">
        <v>0.2222</v>
      </c>
      <c r="K924" t="n">
        <v>0.284</v>
      </c>
      <c r="L924" t="inlineStr">
        <is>
          <t>The code defines a `Status` interface that represents a commit status in GitHub. It includes methods for accessing the associated commit, its ID number, and its URL. The class is immutable and uses annotations for logging and immutability checks. The `State` enum provides predefined states for the commit statuses.</t>
        </is>
      </c>
      <c r="M924" t="n">
        <v>0.0037</v>
      </c>
      <c r="N924" t="n">
        <v>0.0351</v>
      </c>
      <c r="O924" t="n">
        <v>0.08260000000000001</v>
      </c>
    </row>
    <row r="925">
      <c r="A925" t="inlineStr">
        <is>
          <t>jcabi</t>
        </is>
      </c>
      <c r="B925" t="inlineStr">
        <is>
          <t>src/main/java/com/jcabi/github/RtCommitsComparison.java</t>
        </is>
      </c>
      <c r="C925">
        <f>HYPERLINK("https://github.com/jcabi/jcabi-github/blob/master/src/main/java/com/jcabi/github/RtCommitsComparison.java")</f>
        <v/>
      </c>
      <c r="D925" t="inlineStr">
        <is>
          <t>The `RtCommitsComparison` class is an immutable implementation of the `CommitsComparison` interface in Java. It provides methods to compare two commits within a GitHub repository using HTTP requests. The class uses the Jcabi library for handling HTTP requests and JSON data. Key functionalities include:
1. **Request Handling**: It takes a `Request` object as input, which likely represents the entry</t>
        </is>
      </c>
      <c r="E925" t="n">
        <v>0.0031</v>
      </c>
      <c r="F925" t="n">
        <v>0.0606</v>
      </c>
      <c r="G925" t="n">
        <v>0.1154</v>
      </c>
      <c r="H925" t="inlineStr">
        <is>
          <t>This repository contains backend software components that implement core algorithms. The complexity is O(N), indicating linear time complexity in relation to input size. The comments describe the implementation of these algorithms. The commits include an initial codebase commit. The total code size is 1000 lines.</t>
        </is>
      </c>
      <c r="I925" t="n">
        <v>0.0054</v>
      </c>
      <c r="J925" t="n">
        <v>0.1481</v>
      </c>
      <c r="K925" t="n">
        <v>0.1709</v>
      </c>
      <c r="L925" t="inlineStr">
        <is>
          <t>The `RtCommitsComparison` class provides a way to compare two commits within a GitHub repository using HTTP requests. It takes a parent repository object, base and head commit SHAs, and constructs a RESTful request to fetch the differences between these commits. The result is returned as a JSON array containing details about each change made from the base commit to the head commit.</t>
        </is>
      </c>
      <c r="M925" t="n">
        <v>0.0029</v>
      </c>
      <c r="N925" t="n">
        <v>0.0286</v>
      </c>
      <c r="O925" t="n">
        <v>0.0746</v>
      </c>
    </row>
    <row r="926">
      <c r="A926" t="inlineStr">
        <is>
          <t>jcabi</t>
        </is>
      </c>
      <c r="B926" t="inlineStr">
        <is>
          <t>src/main/java/com/jcabi/github/RtChecks.java</t>
        </is>
      </c>
      <c r="C926">
        <f>HYPERLINK("https://github.com/jcabi/jcabi-github/blob/master/src/main/java/com/jcabi/github/RtChecks.java")</f>
        <v/>
      </c>
      <c r="D926" t="inlineStr">
        <is>
          <t>The provided code defines a class `RtChecks` that interacts with the GitHub Check Runs API to manage checks for pull requests. It includes methods to retrieve check runs, create new ones, update existing ones, and delete them. The class uses HTTP requests to communicate with the GitHub REST API and processes JSON responses to extract relevant information about check runs.</t>
        </is>
      </c>
      <c r="E926" t="n">
        <v>0.003</v>
      </c>
      <c r="F926" t="n">
        <v>0.0294</v>
      </c>
      <c r="G926" t="n">
        <v>0.07580000000000001</v>
      </c>
      <c r="H926" t="inlineStr">
        <is>
          <t>The code is a Java implementation of a class `RtChecks` that provides methods for interacting with GitHub checks runs through HTTP requests. It includes functionality to retrieve check runs associated with a specific pull request. The complexity is high due to its extensive use of JSON parsing and handling, as well as interactions with multiple endpoints in the GitHub REST API.</t>
        </is>
      </c>
      <c r="I926" t="n">
        <v>0.0036</v>
      </c>
      <c r="J926" t="n">
        <v>0.08699999999999999</v>
      </c>
      <c r="K926" t="n">
        <v>0.1128</v>
      </c>
      <c r="L926" t="inlineStr">
        <is>
          <t>This class provides access to GitHub checks for a specific pull request using HTTP requests. It encapsulates methods to retrieve check runs, list all available statuses, get details about a single check run by ID, create new check runs, update existing ones, and delete them. The implementation uses JSON responses from the GitHub REST API to interact with the checks endpoint.</t>
        </is>
      </c>
      <c r="M926" t="n">
        <v>0.0036</v>
      </c>
      <c r="N926" t="n">
        <v>0.058</v>
      </c>
      <c r="O926" t="n">
        <v>0.1504</v>
      </c>
    </row>
    <row r="927">
      <c r="A927" t="inlineStr">
        <is>
          <t>jcabi</t>
        </is>
      </c>
      <c r="B927" t="inlineStr">
        <is>
          <t>src/main/java/com/jcabi/github/RtTrees.java</t>
        </is>
      </c>
      <c r="C927">
        <f>HYPERLINK("https://github.com/jcabi/jcabi-github/blob/master/src/main/java/com/jcabi/github/RtTrees.java")</f>
        <v/>
      </c>
      <c r="D927" t="inlineStr">
        <is>
          <t>The provided Java code defines a class `RtTrees` that represents GitHub trees in a Git repository using the JCabi library for HTTP requests. The class is immutable and uses logging to debug its operations. It includes fields for the RESTful API entry point, the repository, and the RESTful request itself. The constructor initializes these fields, and the class provides methods to interact with GitHub's tree resources</t>
        </is>
      </c>
      <c r="E927" t="n">
        <v>0.0028</v>
      </c>
      <c r="F927" t="n">
        <v>0.0267</v>
      </c>
      <c r="G927" t="n">
        <v>0.0725</v>
      </c>
      <c r="H927" t="inlineStr">
        <is>
          <t>Manages backend software components with core algorithm implementations.</t>
        </is>
      </c>
      <c r="I927" t="n">
        <v>0.033</v>
      </c>
      <c r="J927" t="n">
        <v>0.25</v>
      </c>
      <c r="K927" t="n">
        <v>0.125</v>
      </c>
      <c r="L927" t="inlineStr">
        <is>
          <t>This Java library provides a client for interacting with GitHub's tree resources through HTTP requests. It includes methods to retrieve tree data from repositories, handling JSON responses, and managing logging at debug level. The implementation is immutable and uses Lombok annotations for equality checks.</t>
        </is>
      </c>
      <c r="M927" t="n">
        <v>0.005</v>
      </c>
      <c r="N927" t="n">
        <v>0.1132</v>
      </c>
      <c r="O927" t="n">
        <v>0.1724</v>
      </c>
    </row>
    <row r="928">
      <c r="A928" t="inlineStr">
        <is>
          <t>jcabi</t>
        </is>
      </c>
      <c r="B928" t="inlineStr">
        <is>
          <t>src/main/java/com/jcabi/github/RtUserOrganizations.java</t>
        </is>
      </c>
      <c r="C928">
        <f>HYPERLINK("https://github.com/jcabi/jcabi-github/blob/master/src/main/java/com/jcabi/github/RtUserOrganizations.java")</f>
        <v/>
      </c>
      <c r="D928" t="inlineStr">
        <is>
          <t>The provided Java code defines a class `RtUserOrganizations` that represents the organizations to which a specific GitHub user belongs. It uses HTTP requests to interact with the GitHub API to fetch this information. The class is immutable and includes logging for debugging purposes. The constructor takes parameters for the GitHub instance, the request object, and the user whose organizations are being retrieved. The class provides methods to access</t>
        </is>
      </c>
      <c r="E928" t="n">
        <v>0.0027</v>
      </c>
      <c r="F928" t="n">
        <v>0.0526</v>
      </c>
      <c r="G928" t="n">
        <v>0.1071</v>
      </c>
      <c r="H928" t="inlineStr">
        <is>
          <t>This repository contains backend software components with complexity O(N), implementing core algorithms. The README provides information about the project's purpose, structure, and key features.</t>
        </is>
      </c>
      <c r="I928" t="n">
        <v>0.0112</v>
      </c>
      <c r="J928" t="n">
        <v>0.2941</v>
      </c>
      <c r="K928" t="n">
        <v>0.3875</v>
      </c>
      <c r="L928" t="inlineStr">
        <is>
          <t>This Java code provides a wrapper for accessing GitHub organization data for a specific user. It uses HTTP requests to interact with the GitHub REST API and returns the list of organizations associated with the specified user. The implementation is designed to be immutable, loggable, and hashable based on certain fields.</t>
        </is>
      </c>
      <c r="M928" t="n">
        <v>0.0043</v>
      </c>
      <c r="N928" t="n">
        <v>0.1017</v>
      </c>
      <c r="O928" t="n">
        <v>0.1626</v>
      </c>
    </row>
    <row r="929">
      <c r="A929" t="inlineStr">
        <is>
          <t>jcabi</t>
        </is>
      </c>
      <c r="B929" t="inlineStr">
        <is>
          <t>src/main/java/com/jcabi/github/RtRelease.java</t>
        </is>
      </c>
      <c r="C929">
        <f>HYPERLINK("https://github.com/jcabi/jcabi-github/blob/master/src/main/java/com/jcabi/github/RtRelease.java")</f>
        <v/>
      </c>
      <c r="D929" t="inlineStr">
        <is>
          <t>The provided code defines a Java class `RtRelease` that represents a GitHub release. It is part of a larger library for interacting with GitHub's APIs using HTTP requests. The class provides methods to interact with specific releases within repositories on GitHub. Here's a concise summary:
### Key Features:
- **Immutability**: The class uses the `@Immutable` annotation from the Javolution library</t>
        </is>
      </c>
      <c r="E929" t="n">
        <v>0</v>
      </c>
      <c r="F929" t="n">
        <v>0</v>
      </c>
      <c r="G929" t="n">
        <v>0.0379</v>
      </c>
      <c r="H929" t="inlineStr">
        <is>
          <t>Manages GitHub releases for repositories.</t>
        </is>
      </c>
      <c r="I929" t="n">
        <v>0</v>
      </c>
      <c r="J929" t="n">
        <v>0</v>
      </c>
      <c r="K929" t="n">
        <v>0</v>
      </c>
      <c r="L929" t="inlineStr">
        <is>
          <t>This Java class `RtRelease` represents a GitHub release using HTTP requests. It provides methods to fetch details about a specific release from a given repository. The class is immutable and uses logging for debugging purposes. It encapsulates the necessary fields such as the API entry point, repository, and release ID.</t>
        </is>
      </c>
      <c r="M929" t="n">
        <v>0.0044</v>
      </c>
      <c r="N929" t="n">
        <v>0.06900000000000001</v>
      </c>
      <c r="O929" t="n">
        <v>0.123</v>
      </c>
    </row>
    <row r="930">
      <c r="A930" t="inlineStr">
        <is>
          <t>jcabi</t>
        </is>
      </c>
      <c r="B930" t="inlineStr">
        <is>
          <t>src/main/java/com/jcabi/github/RtReferences.java</t>
        </is>
      </c>
      <c r="C930">
        <f>HYPERLINK("https://github.com/jcabi/jcabi-github/blob/master/src/main/java/com/jcabi/github/RtReferences.java")</f>
        <v/>
      </c>
      <c r="D930" t="inlineStr">
        <is>
          <t>The provided Java code defines a class `RtReferences` that represents GitHub references using HTTP requests to interact with the GitHub API. It includes methods to retrieve information about branches or tags within a repository. The class is immutable and uses logging aspects for debugging purposes. The main functionalities include fetching reference details by their names and handling potential exceptions during HTTP operations.</t>
        </is>
      </c>
      <c r="E930" t="n">
        <v>0.0029</v>
      </c>
      <c r="F930" t="n">
        <v>0.0571</v>
      </c>
      <c r="G930" t="n">
        <v>0.0746</v>
      </c>
      <c r="H930" t="inlineStr">
        <is>
          <t>This repository contains backend software components that implement core algorithms. The complexity is O(N), indicating linear time complexity, which means the performance increases proportionally with the size of the input data.</t>
        </is>
      </c>
      <c r="I930" t="n">
        <v>0.007900000000000001</v>
      </c>
      <c r="J930" t="n">
        <v>0.2</v>
      </c>
      <c r="K930" t="n">
        <v>0.3064</v>
      </c>
      <c r="L930" t="inlineStr">
        <is>
          <t>This Java library provides access to GitHub repositories' reference data through HTTP requests. It includes methods to retrieve branches, tags, and other reference points associated with a specific owner's repository. The implementation is designed to be immutable and loggable, ensuring thread safety and providing detailed logging for debugging purposes.</t>
        </is>
      </c>
      <c r="M930" t="n">
        <v>0.0045</v>
      </c>
      <c r="N930" t="n">
        <v>0.1034</v>
      </c>
      <c r="O930" t="n">
        <v>0.124</v>
      </c>
    </row>
    <row r="931">
      <c r="A931" t="inlineStr">
        <is>
          <t>jcabi</t>
        </is>
      </c>
      <c r="B931" t="inlineStr">
        <is>
          <t>src/main/java/com/jcabi/github/RtBranches.java</t>
        </is>
      </c>
      <c r="C931">
        <f>HYPERLINK("https://github.com/jcabi/jcabi-github/blob/master/src/main/java/com/jcabi/github/RtBranches.java")</f>
        <v/>
      </c>
      <c r="D931" t="inlineStr">
        <is>
          <t>The provided Java code defines a class `RtBranches` that represents a collection of branches in a GitHub repository. It uses HTTP requests to interact with the GitHub API to fetch branch information. The class is immutable and includes logging annotations for debugging purposes. The constructor initializes the necessary fields such as the RESTful API entry point, the specific request for branches, and the parent repository. This setup allows</t>
        </is>
      </c>
      <c r="E931" t="n">
        <v>0.0032</v>
      </c>
      <c r="F931" t="n">
        <v>0.0263</v>
      </c>
      <c r="G931" t="n">
        <v>0.1071</v>
      </c>
      <c r="H931" t="inlineStr">
        <is>
          <t>Manages GitHub repositories by providing methods to interact with their branches through HTTP requests.</t>
        </is>
      </c>
      <c r="I931" t="n">
        <v>0</v>
      </c>
      <c r="J931" t="n">
        <v>0</v>
      </c>
      <c r="K931" t="n">
        <v>0</v>
      </c>
      <c r="L931" t="inlineStr">
        <is>
          <t>This Java class `RtBranches` provides an implementation of the `Branches` interface using HTTP requests to interact with GitHub's REST API. It encapsulates access to branch data for a given repository, allowing retrieval of all branches as a stream. The class is immutable and uses logging for debugging purposes.</t>
        </is>
      </c>
      <c r="M931" t="n">
        <v>0.0045</v>
      </c>
      <c r="N931" t="n">
        <v>0.1053</v>
      </c>
      <c r="O931" t="n">
        <v>0.1667</v>
      </c>
    </row>
    <row r="932">
      <c r="A932" t="inlineStr">
        <is>
          <t>jcabi</t>
        </is>
      </c>
      <c r="B932" t="inlineStr">
        <is>
          <t>src/main/java/com/jcabi/github/UserAgent.java</t>
        </is>
      </c>
      <c r="C932">
        <f>HYPERLINK("https://github.com/jcabi/jcabi-github/blob/master/src/main/java/com/jcabi/github/UserAgent.java")</f>
        <v/>
      </c>
      <c r="D932" t="inlineStr">
        <is>
          <t>The `UserAgent` interface in the provided code defines a method to return a formatted HTTP user-agent string. This is useful for identifying clients or servers when making requests over the internet. The complexity of this implementation is O(1), as it involves simple operations like concatenation and formatting strings.</t>
        </is>
      </c>
      <c r="E932" t="n">
        <v>0.0045</v>
      </c>
      <c r="F932" t="n">
        <v>0.1034</v>
      </c>
      <c r="G932" t="n">
        <v>0.1667</v>
      </c>
      <c r="H932" t="inlineStr">
        <is>
          <t>Provides an interface for formatting HTTP headers with user-agent information.</t>
        </is>
      </c>
      <c r="I932" t="n">
        <v>0</v>
      </c>
      <c r="J932" t="n">
        <v>0</v>
      </c>
      <c r="K932" t="n">
        <v>0</v>
      </c>
      <c r="L932" t="inlineStr">
        <is>
          <t>The `UserAgent` interface defines a method for formatting HTTP headers that identify the client making requests to GitHub repositories. The implementation complexity is O(1), as it involves simple string manipulation without loops or recursion. The existing comments indicate that this class implements core algorithms related to user agent handling. The commit messages suggest that this was part of the initial codebase setup. The README context specifies that this component</t>
        </is>
      </c>
      <c r="M932" t="n">
        <v>0.0056</v>
      </c>
      <c r="N932" t="n">
        <v>0.0769</v>
      </c>
      <c r="O932" t="n">
        <v>0.2238</v>
      </c>
    </row>
    <row r="933">
      <c r="A933" t="inlineStr">
        <is>
          <t>jcabi</t>
        </is>
      </c>
      <c r="B933" t="inlineStr">
        <is>
          <t>src/main/java/com/jcabi/github/RtStatuses.java</t>
        </is>
      </c>
      <c r="C933">
        <f>HYPERLINK("https://github.com/jcabi/jcabi-github/blob/master/src/main/java/com/jcabi/github/RtStatuses.java")</f>
        <v/>
      </c>
      <c r="D933" t="inlineStr">
        <is>
          <t>The provided Java code defines a class `RtStatuses` that represents GitHub statuses associated with a specific commit. It uses HTTP requests to interact with the GitHub API to fetch and manage these statuses. The class includes methods to retrieve all statuses for a given commit, as well as to add or update individual statuses. The implementation is designed to handle various aspects of GitHub's webhooks and status updates efficiently</t>
        </is>
      </c>
      <c r="E933" t="n">
        <v>0.0026</v>
      </c>
      <c r="F933" t="n">
        <v>0.0513</v>
      </c>
      <c r="G933" t="n">
        <v>0.1064</v>
      </c>
      <c r="H933" t="inlineStr">
        <is>
          <t>This repository contains backend software components with complexity O(N), implementing core algorithms. The code size is 1000 bytes.</t>
        </is>
      </c>
      <c r="I933" t="n">
        <v>0.0142</v>
      </c>
      <c r="J933" t="n">
        <v>0.2963</v>
      </c>
      <c r="K933" t="n">
        <v>0.3507</v>
      </c>
      <c r="L933" t="inlineStr">
        <is>
          <t>This Java class `RtStatuses` provides access to GitHub statuses for a specific commit using HTTP requests. It encapsulates a `Request` object and a `Commit` object, allowing retrieval of status data associated with that commit. The implementation is designed to handle JSON responses from GitHub's API, providing methods to interact with different aspects of commit statuses.</t>
        </is>
      </c>
      <c r="M933" t="n">
        <v>0.004</v>
      </c>
      <c r="N933" t="n">
        <v>0.0625</v>
      </c>
      <c r="O933" t="n">
        <v>0.1575</v>
      </c>
    </row>
    <row r="934">
      <c r="A934" t="inlineStr">
        <is>
          <t>jcabi</t>
        </is>
      </c>
      <c r="B934" t="inlineStr">
        <is>
          <t>src/main/java/com/jcabi/github/References.java</t>
        </is>
      </c>
      <c r="C934">
        <f>HYPERLINK("https://github.com/jcabi/jcabi-github/blob/master/src/main/java/com/jcabi/github/References.java")</f>
        <v/>
      </c>
      <c r="D934" t="inlineStr">
        <is>
          <t>The provided code defines an `Interfaces` class that represents GitHub Git data references. It includes methods for creating new references and retrieving existing ones based on their identifiers. The class is marked as immutable, ensuring thread safety. The implementation uses Java annotations like `@Immutable` from the JCabi library to enforce immutability. The complexity of the code is O(N), indicating linear time complexity in some operations</t>
        </is>
      </c>
      <c r="E934" t="n">
        <v>0.0028</v>
      </c>
      <c r="F934" t="n">
        <v>0.027</v>
      </c>
      <c r="G934" t="n">
        <v>0.1095</v>
      </c>
      <c r="H934" t="inlineStr">
        <is>
          <t>Manages GitHub Git references.</t>
        </is>
      </c>
      <c r="I934" t="n">
        <v>0</v>
      </c>
      <c r="J934" t="n">
        <v>0</v>
      </c>
      <c r="K934" t="n">
        <v>0</v>
      </c>
      <c r="L934" t="inlineStr">
        <is>
          <t>The `References` interface provides methods for interacting with references in a GitHub repository. It includes methods to create new references and retrieve existing ones based on their identifiers. The class is immutable and implements aspects related to immutability.</t>
        </is>
      </c>
      <c r="M934" t="n">
        <v>0.0058</v>
      </c>
      <c r="N934" t="n">
        <v>0.0435</v>
      </c>
      <c r="O934" t="n">
        <v>0.09089999999999999</v>
      </c>
    </row>
    <row r="935">
      <c r="A935" t="inlineStr">
        <is>
          <t>jcabi</t>
        </is>
      </c>
      <c r="B935" t="inlineStr">
        <is>
          <t>src/main/java/com/jcabi/github/Milestones.java</t>
        </is>
      </c>
      <c r="C935">
        <f>HYPERLINK("https://github.com/jcabi/jcabi-github/blob/master/src/main/java/com/jcabi/github/Milestones.java")</f>
        <v/>
      </c>
      <c r="D935" t="inlineStr">
        <is>
          <t>The provided code defines an `Milestones` interface in Java that represents GitHub milestones for repositories. It includes methods to interact with these milestones, such as creating new ones and retrieving existing ones by their numbers. The class uses annotations like `@Immutable` from the Javacafe library to ensure immutability, which helps prevent accidental modifications to instances of this class. The implementation details are omitted</t>
        </is>
      </c>
      <c r="E935" t="n">
        <v>0.0029</v>
      </c>
      <c r="F935" t="n">
        <v>0.0563</v>
      </c>
      <c r="G935" t="n">
        <v>0.1481</v>
      </c>
      <c r="H935" t="inlineStr">
        <is>
          <t>This repository contains backend software components that implement core algorithms. The complexity of these implementations is O(N), indicating linear time complexity in relation to input size. The codebase has been initialized with the first commit containing the initial implementation.</t>
        </is>
      </c>
      <c r="I935" t="n">
        <v>0.0062</v>
      </c>
      <c r="J935" t="n">
        <v>0.1667</v>
      </c>
      <c r="K935" t="n">
        <v>0.1802</v>
      </c>
      <c r="L935" t="inlineStr">
        <is>
          <t>The `Milestones` interface provides methods for interacting with milestones in a GitHub repository. It includes functionalities such as retrieving the owner's repository, creating new milestones using JSON data, and fetching existing milestones by their numbers. The implementation complexity is O(N), where N represents the number of issues associated with the milestone.</t>
        </is>
      </c>
      <c r="M935" t="n">
        <v>0.0036</v>
      </c>
      <c r="N935" t="n">
        <v>0.06560000000000001</v>
      </c>
      <c r="O935" t="n">
        <v>0.122</v>
      </c>
    </row>
    <row r="936">
      <c r="A936" t="inlineStr">
        <is>
          <t>jcabi</t>
        </is>
      </c>
      <c r="B936" t="inlineStr">
        <is>
          <t>src/main/java/com/jcabi/github/RtGistComment.java</t>
        </is>
      </c>
      <c r="C936">
        <f>HYPERLINK("https://github.com/jcabi/jcabi-github/blob/master/src/main/java/com/jcabi/github/RtGistComment.java")</f>
        <v/>
      </c>
      <c r="D936" t="inlineStr">
        <is>
          <t>The provided code defines a Java class `RtGistComment` that represents a comment on a GitHub Gist. It is part of a larger library for interacting with GitHub's API using HTTP requests. The class uses annotations to indicate immutability and logging levels, and it includes fields for the RESTful request, the parent Gist, and the comment number. The constructor initializes these fields,</t>
        </is>
      </c>
      <c r="E936" t="n">
        <v>0.003</v>
      </c>
      <c r="F936" t="n">
        <v>0.0286</v>
      </c>
      <c r="G936" t="n">
        <v>0.0752</v>
      </c>
      <c r="H936" t="inlineStr">
        <is>
          <t>This repository contains backend software components that implement core algorithms. The complexity is O(N), indicating linear time complexity for certain operations. Comments provide detailed explanations of the implementation, while commits document the initial creation of the codebase. The total size of the codebase is 1000 lines.</t>
        </is>
      </c>
      <c r="I936" t="n">
        <v>0.0053</v>
      </c>
      <c r="J936" t="n">
        <v>0.1455</v>
      </c>
      <c r="K936" t="n">
        <v>0.2675</v>
      </c>
      <c r="L936" t="inlineStr">
        <is>
          <t>This Java class represents a comment within a GitHub gist using HTTP requests. It provides methods to retrieve and manage comments for a specific gist by specifying the gist object and the comment's unique identifier. The class uses immutable properties and logging annotations for better performance and debugging capabilities.</t>
        </is>
      </c>
      <c r="M936" t="n">
        <v>0.0045</v>
      </c>
      <c r="N936" t="n">
        <v>0.06900000000000001</v>
      </c>
      <c r="O936" t="n">
        <v>0.1653</v>
      </c>
    </row>
    <row r="937">
      <c r="A937" t="inlineStr">
        <is>
          <t>jcabi</t>
        </is>
      </c>
      <c r="B937" t="inlineStr">
        <is>
          <t>src/main/java/com/jcabi/github/RtTags.java</t>
        </is>
      </c>
      <c r="C937">
        <f>HYPERLINK("https://github.com/jcabi/jcabi-github/blob/master/src/main/java/com/jcabi/github/RtTags.java")</f>
        <v/>
      </c>
      <c r="D937" t="inlineStr">
        <is>
          <t>The provided code defines a Java interface `Tags` that represents tags in a GitHub repository. It uses the Jcabi library to interact with the GitHub API. Here's a concise summary:
**Functionality Summary:**
1. **Interface Definition**: 
   - Defines methods to manage tags in a GitHub repository, such as listing all tags or retrieving specific tag information.
2. **Immutability</t>
        </is>
      </c>
      <c r="E937" t="n">
        <v>0</v>
      </c>
      <c r="F937" t="n">
        <v>0.0308</v>
      </c>
      <c r="G937" t="n">
        <v>0.0388</v>
      </c>
      <c r="H937" t="inlineStr">
        <is>
          <t>The code is a Java implementation of a GitHub tags interface using the JCabi library. It provides methods to interact with GitHub repositories' tags through HTTP requests. The complexity is O(N), indicating that it may involve processing or iterating over data structures containing N elements. The comments describe its purpose as implementing core algorithms for handling GitHub tags.</t>
        </is>
      </c>
      <c r="I937" t="n">
        <v>0.0031</v>
      </c>
      <c r="J937" t="n">
        <v>0.0597</v>
      </c>
      <c r="K937" t="n">
        <v>0.1966</v>
      </c>
      <c r="L937" t="inlineStr">
        <is>
          <t>This Java class provides an implementation of `Tags` interface using HTTP requests to interact with the GitHub API. It retrieves tags associated with a given repository, handling both JSON responses and logging at debug level.</t>
        </is>
      </c>
      <c r="M937" t="n">
        <v>0.0063</v>
      </c>
      <c r="N937" t="n">
        <v>0.1395</v>
      </c>
      <c r="O937" t="n">
        <v>0.1869</v>
      </c>
    </row>
    <row r="938">
      <c r="A938" t="inlineStr">
        <is>
          <t>jcabi</t>
        </is>
      </c>
      <c r="B938" t="inlineStr">
        <is>
          <t>src/main/java/com/jcabi/github/RtValuePagination.java</t>
        </is>
      </c>
      <c r="C938">
        <f>HYPERLINK("https://github.com/jcabi/jcabi-github/blob/master/src/main/java/com/jcabi/github/RtValuePagination.java")</f>
        <v/>
      </c>
      <c r="D938" t="inlineStr">
        <is>
          <t>The `RtValuePagination` class is designed for handling paginated data from GitHub API responses. It takes two generic types: `&lt;T&gt;` representing the type of elements in the resulting iterable, and `&lt;P&gt;` representing the type of JSON values that contain the actual data. The class uses HTTP requests to fetch pages of data from the GitHub API and processes them to yield individual elements of type `&lt;T</t>
        </is>
      </c>
      <c r="E938" t="n">
        <v>0.0028</v>
      </c>
      <c r="F938" t="n">
        <v>0.0274</v>
      </c>
      <c r="G938" t="n">
        <v>0.073</v>
      </c>
      <c r="H938" t="inlineStr">
        <is>
          <t>The repository contains backend software components with implementations of core algorithms. The complexity is O(N), indicating linear time complexity for certain operations. Comments explain the implementation details, and there have been several commits since the initial codebase creation. The total size of the codebase is 1000 lines.</t>
        </is>
      </c>
      <c r="I938" t="n">
        <v>0.0051</v>
      </c>
      <c r="J938" t="n">
        <v>0.1429</v>
      </c>
      <c r="K938" t="n">
        <v>0.1681</v>
      </c>
      <c r="L938" t="inlineStr">
        <is>
          <t>The `RtValuePagination` class is designed to handle paginated data from GitHub API responses by iterating over multiple pages using HTTP requests. It uses JSON arrays as input and maps each page's elements to a specified type `T`. The class provides methods for retrieving the next page and checking if there are more pages available. It supports both synchronous and asynchronous iteration through the pages.</t>
        </is>
      </c>
      <c r="M938" t="n">
        <v>0.0028</v>
      </c>
      <c r="N938" t="n">
        <v>0.0274</v>
      </c>
      <c r="O938" t="n">
        <v>0.0735</v>
      </c>
    </row>
    <row r="939">
      <c r="A939" t="inlineStr">
        <is>
          <t>jcabi</t>
        </is>
      </c>
      <c r="B939" t="inlineStr">
        <is>
          <t>src/main/java/com/jcabi/github/Event.java</t>
        </is>
      </c>
      <c r="C939">
        <f>HYPERLINK("https://github.com/jcabi/jcabi-github/blob/master/src/main/java/com/jcabi/github/Event.java")</f>
        <v/>
      </c>
      <c r="D939" t="inlineStr">
        <is>
          <t>The provided Java code defines an `Event` interface that represents events in the GitHub issue tracking system. It includes constants for specific event types such as "closed," methods to retrieve various properties like the event's type, timestamp, actor, and payload, and implements JSON readability and comparison capabilities. The class is marked with annotations for immutability and logging, ensuring thread safety and performance optimizations.</t>
        </is>
      </c>
      <c r="E939" t="n">
        <v>0.0034</v>
      </c>
      <c r="F939" t="n">
        <v>0.0556</v>
      </c>
      <c r="G939" t="n">
        <v>0.0741</v>
      </c>
      <c r="H939" t="inlineStr">
        <is>
          <t>The repository contains backend software components that implement core algorithms. The complexity is O(N), indicating linear time complexity for certain operations. Comments provide detailed explanations of the implementation, while commits include an initial codebase commit. The total size of the codebase is 1000 lines.</t>
        </is>
      </c>
      <c r="I939" t="n">
        <v>0.005</v>
      </c>
      <c r="J939" t="n">
        <v>0.1132</v>
      </c>
      <c r="K939" t="n">
        <v>0.2203</v>
      </c>
      <c r="L939" t="inlineStr">
        <is>
          <t>This Java interface `Event` represents a GitHub issue event, providing methods for retrieving various properties such as the event's type, timestamp, actor, and payload. It implements the `JsonReadable`, `Comparable&lt;Event&gt;`, and `AutoCloseable` interfaces, allowing for JSON parsing, comparison, and resource management. The class is marked as immutable and uses Lombok annotations for builder-style creation and equality</t>
        </is>
      </c>
      <c r="M939" t="n">
        <v>0.0044</v>
      </c>
      <c r="N939" t="n">
        <v>0.09089999999999999</v>
      </c>
      <c r="O939" t="n">
        <v>0.1575</v>
      </c>
    </row>
    <row r="940">
      <c r="A940" t="inlineStr">
        <is>
          <t>jcabi</t>
        </is>
      </c>
      <c r="B940" t="inlineStr">
        <is>
          <t>src/main/java/com/jcabi/github/Blob.java</t>
        </is>
      </c>
      <c r="C940">
        <f>HYPERLINK("https://github.com/jcabi/jcabi-github/blob/master/src/main/java/com/jcabi/github/Blob.java")</f>
        <v/>
      </c>
      <c r="D940" t="inlineStr">
        <is>
          <t>The provided Java code defines two interfaces related to GitHub's Git blobs:
1. **Blob**: This is an immutable interface that represents a Git blob in GitHub. It provides methods to access the SHA (Secure Hash Algorithm) of the blob and any additional metadata stored as JSON.
2. **SmartBlob**: This is another immutable interface that extends `Blob` and adds smart features such as logging at debug</t>
        </is>
      </c>
      <c r="E940" t="n">
        <v>0.0033</v>
      </c>
      <c r="F940" t="n">
        <v>0.0541</v>
      </c>
      <c r="G940" t="n">
        <v>0.073</v>
      </c>
      <c r="H940" t="inlineStr">
        <is>
          <t>The repository contains backend software components implementing core algorithms. The complexity is O(N), indicating linear time complexity in relation to input size. Comments describe the implementation of these algorithms. The code base has been initialized with the first commit.</t>
        </is>
      </c>
      <c r="I940" t="n">
        <v>0.0056</v>
      </c>
      <c r="J940" t="n">
        <v>0.125</v>
      </c>
      <c r="K940" t="n">
        <v>0.1351</v>
      </c>
      <c r="L940" t="inlineStr">
        <is>
          <t>The provided code defines an `Blob` interface representing a Git blob in a GitHub repository. It includes methods to retrieve the SHA of the blob and provides a smart implementation that adds additional features through inheritance. The `Smart` class uses Lombok annotations for immutability, logging, and string representation.</t>
        </is>
      </c>
      <c r="M940" t="n">
        <v>0.0038</v>
      </c>
      <c r="N940" t="n">
        <v>0.07140000000000001</v>
      </c>
      <c r="O940" t="n">
        <v>0.125</v>
      </c>
    </row>
    <row r="941">
      <c r="A941" t="inlineStr">
        <is>
          <t>jcabi</t>
        </is>
      </c>
      <c r="B941" t="inlineStr">
        <is>
          <t>src/main/java/com/jcabi/github/RtPullComments.java</t>
        </is>
      </c>
      <c r="C941">
        <f>HYPERLINK("https://github.com/jcabi/jcabi-github/blob/master/src/main/java/com/jcabi/github/RtPullComments.java")</f>
        <v/>
      </c>
      <c r="D941" t="inlineStr">
        <is>
          <t>The provided Java code defines a class `RtPullComments` that represents a collection of comments on a specific pull request in a GitHub repository. It uses HTTP requests to interact with the GitHub API to fetch and manage these comments. The class is immutable and includes logging for debugging purposes. It provides methods to retrieve all comments, add new comments, update existing ones, and delete them. The implementation relies</t>
        </is>
      </c>
      <c r="E941" t="n">
        <v>0.0027</v>
      </c>
      <c r="F941" t="n">
        <v>0.0263</v>
      </c>
      <c r="G941" t="n">
        <v>0.1071</v>
      </c>
      <c r="H941" t="inlineStr">
        <is>
          <t>Manages GitHub pull requests' comments.</t>
        </is>
      </c>
      <c r="I941" t="n">
        <v>0</v>
      </c>
      <c r="J941" t="n">
        <v>0</v>
      </c>
      <c r="K941" t="n">
        <v>0</v>
      </c>
      <c r="L941" t="inlineStr">
        <is>
          <t>This Java class provides an interface for interacting with pull comments on GitHub repositories using HTTP requests. It encapsulates the necessary methods to retrieve and manage comments associated with specific pull requests within a GitHub organization. The implementation uses the Jcabi library to handle HTTP interactions efficiently, ensuring that the code is both readable and maintainable.</t>
        </is>
      </c>
      <c r="M941" t="n">
        <v>0.0039</v>
      </c>
      <c r="N941" t="n">
        <v>0.09379999999999999</v>
      </c>
      <c r="O941" t="n">
        <v>0.1563</v>
      </c>
    </row>
    <row r="942">
      <c r="A942" t="inlineStr">
        <is>
          <t>jcabi</t>
        </is>
      </c>
      <c r="B942" t="inlineStr">
        <is>
          <t>src/main/java/com/jcabi/github/RtIssues.java</t>
        </is>
      </c>
      <c r="C942">
        <f>HYPERLINK("https://github.com/jcabi/jcabi-github/blob/master/src/main/java/com/jcabi/github/RtIssues.java")</f>
        <v/>
      </c>
      <c r="D942" t="inlineStr">
        <is>
          <t>The provided code defines a Java interface `RtIssues` that represents GitHub issues using HTTP requests. It includes methods for listing all issues in a repository, retrieving a specific issue by its number, creating a new issue, updating an existing issue, and deleting an issue. The implementation uses the Jcabi library to handle HTTP requests and responses. The class is marked as immutable with logging enabled at debug</t>
        </is>
      </c>
      <c r="E942" t="n">
        <v>0.0027</v>
      </c>
      <c r="F942" t="n">
        <v>0.0533</v>
      </c>
      <c r="G942" t="n">
        <v>0.1079</v>
      </c>
      <c r="H942" t="inlineStr">
        <is>
          <t>Manages GitHub issues using HTTP requests.</t>
        </is>
      </c>
      <c r="I942" t="n">
        <v>0</v>
      </c>
      <c r="J942" t="n">
        <v>0</v>
      </c>
      <c r="K942" t="n">
        <v>0.0641</v>
      </c>
      <c r="L942" t="inlineStr">
        <is>
          <t>The `RtIssues` class provides access to GitHub issues for a specific repository using HTTP requests. It encapsulates methods to retrieve issue lists, create new issues, update existing ones, and delete them. The class uses JSON responses from the GitHub API to parse and manipulate data related to issues.</t>
        </is>
      </c>
      <c r="M942" t="n">
        <v>0.0038</v>
      </c>
      <c r="N942" t="n">
        <v>0.0357</v>
      </c>
      <c r="O942" t="n">
        <v>0.0833</v>
      </c>
    </row>
    <row r="943">
      <c r="A943" t="inlineStr">
        <is>
          <t>jcabi</t>
        </is>
      </c>
      <c r="B943" t="inlineStr">
        <is>
          <t>src/main/java/com/jcabi/github/wire/package-info.java</t>
        </is>
      </c>
      <c r="C943">
        <f>HYPERLINK("https://github.com/jcabi/jcabi-github/blob/master/src/main/java/com/jcabi/github/wire/package-info.java")</f>
        <v/>
      </c>
      <c r="D943" t="inlineStr">
        <is>
          <t>The provided code is part of a GitHub package named `com.jcabi.github.wire` that implements various wire functionalities for interacting with GitHub repositories. The complexity of this implementation is O(N), indicating linear time complexity in relation to the number of operations or data points involved. The comments suggest that the code includes implementations of core algorithms necessary for handling GitHub interactions efficiently. The README file indicates that this repository</t>
        </is>
      </c>
      <c r="E943" t="n">
        <v>0.0032</v>
      </c>
      <c r="F943" t="n">
        <v>0.0759</v>
      </c>
      <c r="G943" t="n">
        <v>0.1439</v>
      </c>
      <c r="H943" t="inlineStr">
        <is>
          <t>Contains backend software components with implementation of core algorithms. Complexity is O(N).</t>
        </is>
      </c>
      <c r="I943" t="n">
        <v>0.0203</v>
      </c>
      <c r="J943" t="n">
        <v>0.2857</v>
      </c>
      <c r="K943" t="n">
        <v>0.1786</v>
      </c>
      <c r="L943" t="inlineStr">
        <is>
          <t>This Java package `com.jcabi.github.wire` provides wire implementations for GitHub API interactions, allowing developers to interact with GitHub repositories through HTTP requests. The package includes classes that handle various aspects of GitHub communication, such as authentication, request execution, and response parsing, making it easier to integrate GitHub functionalities into applications.</t>
        </is>
      </c>
      <c r="M943" t="n">
        <v>0.0045</v>
      </c>
      <c r="N943" t="n">
        <v>0.1</v>
      </c>
      <c r="O943" t="n">
        <v>0.1653</v>
      </c>
    </row>
    <row r="944">
      <c r="A944" t="inlineStr">
        <is>
          <t>jcabi</t>
        </is>
      </c>
      <c r="B944" t="inlineStr">
        <is>
          <t>src/main/java/com/jcabi/github/wire/RetryCarefulWire.java</t>
        </is>
      </c>
      <c r="C944">
        <f>HYPERLINK("https://github.com/jcabi/jcabi-github/blob/master/src/main/java/com/jcabi/github/wire/RetryCarefulWire.java")</f>
        <v/>
      </c>
      <c r="D944" t="inlineStr">
        <is>
          <t>The provided code defines a `RetryCarefulWire` class, which extends the `Wire` interface to handle HTTP requests by retrying them when encountering exceptions or waiting if the rate limit on API calls has been exceeded. The class uses two other classes: `RetryWire` to implement exponential backoff and `CarefulWire` to manage request throttling based on rate limits. This setup ensures robust</t>
        </is>
      </c>
      <c r="E944" t="n">
        <v>0.0037</v>
      </c>
      <c r="F944" t="n">
        <v>0.0597</v>
      </c>
      <c r="G944" t="n">
        <v>0.1527</v>
      </c>
      <c r="H944" t="inlineStr">
        <is>
          <t>The repository contains backend software components implementing core algorithms. The complexity is O(N), indicating linear time complexity. Comments describe the implementation details. Initial codebase commit was made. The total size of the code is 1000 lines.</t>
        </is>
      </c>
      <c r="I944" t="n">
        <v>0.0061</v>
      </c>
      <c r="J944" t="n">
        <v>0.1333</v>
      </c>
      <c r="K944" t="n">
        <v>0.1389</v>
      </c>
      <c r="L944" t="inlineStr">
        <is>
          <t>The `RetryCarefulWire` class extends the functionality of the `RetryWire`, wrapping a `CarefulWire`, which itself wraps another wire. It introduces additional retry mechanisms when the number of remaining API requests per hour falls below a specified threshold, ensuring robustness against rate limiting issues by handling exceptions and retrying failed requests multiple times before propagating them further. This setup enhances the reliability of HTTP</t>
        </is>
      </c>
      <c r="M944" t="n">
        <v>0.0039</v>
      </c>
      <c r="N944" t="n">
        <v>0.0571</v>
      </c>
      <c r="O944" t="n">
        <v>0.1119</v>
      </c>
    </row>
    <row r="945">
      <c r="A945" t="inlineStr">
        <is>
          <t>jcabi</t>
        </is>
      </c>
      <c r="B945" t="inlineStr">
        <is>
          <t>src/main/java/com/jcabi/github/wire/CarefulWire.java</t>
        </is>
      </c>
      <c r="C945">
        <f>HYPERLINK("https://github.com/jcabi/jcabi-github/blob/master/src/main/java/com/jcabi/github/wire/CarefulWire.java")</f>
        <v/>
      </c>
      <c r="D945" t="inlineStr">
        <is>
          <t>The `CarefulWire` class extends the `Wire` interface to implement a rate-limiting mechanism for HTTP requests made through it. It checks the "X-RateLimit-Remaining" header in responses from GitHub to determine if the number of remaining requests per hour has fallen below a specified threshold. If so, it sleeps until the reset time indicated by the "X-RateLimit-Reset"</t>
        </is>
      </c>
      <c r="E945" t="n">
        <v>0</v>
      </c>
      <c r="F945" t="n">
        <v>0.0294</v>
      </c>
      <c r="G945" t="n">
        <v>0.0394</v>
      </c>
      <c r="H945" t="inlineStr">
        <is>
          <t>Manages requests to GitHub by waiting when the remaining request limit is below a specified threshold. Uses HTTP headers like `X-RateLimit-Limit`, `X-RateLimit-Remaining`, and `X-RateLimit-Reset` for rate limiting logic.</t>
        </is>
      </c>
      <c r="I945" t="n">
        <v>0.008</v>
      </c>
      <c r="J945" t="n">
        <v>0.09520000000000001</v>
      </c>
      <c r="K945" t="n">
        <v>0.15</v>
      </c>
      <c r="L945" t="inlineStr">
        <is>
          <t>The `CarefulWire` class extends the `Wire` interface from the JCabi library and implements a custom wire that pauses requests when the number of remaining API calls per hour falls below a specified threshold. It uses HTTP headers (`X-RateLimit-Limit`, `X-RateLimit-Remaining`, and `X-RateLimit-Reset`) to determine the current rate limit status and sleeps for</t>
        </is>
      </c>
      <c r="M945" t="n">
        <v>0.0043</v>
      </c>
      <c r="N945" t="n">
        <v>0.0615</v>
      </c>
      <c r="O945" t="n">
        <v>0.122</v>
      </c>
    </row>
    <row r="946">
      <c r="A946" t="inlineStr">
        <is>
          <t>jcabi</t>
        </is>
      </c>
      <c r="B946" t="inlineStr">
        <is>
          <t>src/main/java/com/jcabi/github/mock/MkStatuses.java</t>
        </is>
      </c>
      <c r="C946">
        <f>HYPERLINK("https://github.com/jcabi/jcabi-github/blob/master/src/main/java/com/jcabi/github/mock/MkStatuses.java")</f>
        <v/>
      </c>
      <c r="D946" t="inlineStr">
        <is>
          <t>The `MkStatuses` class is a mock implementation of the `Statuses` interface from the Jcabi-Github library. It provides a way to simulate GitHub commit statuses in unit tests or development environments where actual API calls are not needed. The class wraps around a specific commit object (`Commit`) and allows methods to interact with its associated statuses. This is useful for testing scenarios that require</t>
        </is>
      </c>
      <c r="E946" t="n">
        <v>0.0034</v>
      </c>
      <c r="F946" t="n">
        <v>0.0556</v>
      </c>
      <c r="G946" t="n">
        <v>0.1481</v>
      </c>
      <c r="H946" t="inlineStr">
        <is>
          <t>The provided code is a Java implementation of a mock for GitHub commit statuses using the Jcabi library. It includes methods to interact with commit statuses, such as retrieving them or creating new ones. The complexity is O(N) due to potential operations on collections or data structures that could grow in size. The comments describe its purpose and functionality, while the README provides information about the repository and its contents.</t>
        </is>
      </c>
      <c r="I946" t="n">
        <v>0.0026</v>
      </c>
      <c r="J946" t="n">
        <v>0.0759</v>
      </c>
      <c r="K946" t="n">
        <v>0.1056</v>
      </c>
      <c r="L946" t="inlineStr">
        <is>
          <t>This is a mock implementation of GitHub commit statuses for use in testing purposes. It provides methods to interact with statuses associated with a specific commit, allowing developers to simulate different status states without interacting with actual GitHub repositories. The class uses annotations for immutability and logging, ensuring that instances cannot be modified once created and providing debug-level logging for easier debugging during development.</t>
        </is>
      </c>
      <c r="M946" t="n">
        <v>0.0034</v>
      </c>
      <c r="N946" t="n">
        <v>0.0822</v>
      </c>
      <c r="O946" t="n">
        <v>0.1471</v>
      </c>
    </row>
    <row r="947">
      <c r="A947" t="inlineStr">
        <is>
          <t>jcabi</t>
        </is>
      </c>
      <c r="B947" t="inlineStr">
        <is>
          <t>src/main/java/com/jcabi/github/mock/MkGist.java</t>
        </is>
      </c>
      <c r="C947">
        <f>HYPERLINK("https://github.com/jcabi/jcabi-github/blob/master/src/main/java/com/jcabi/github/mock/MkGist.java")</f>
        <v/>
      </c>
      <c r="D947" t="inlineStr">
        <is>
          <t>The provided code is a mock implementation of a GitHub gist using Java. It includes methods to interact with gists such as retrieving their ID, comments, and other details. The class uses annotations like `@Immutable`, `@Loggable`, and `@ToString` from the JCabi library to ensure immutability, logging, and string representation respectively. The code also utilizes Xembly directives for</t>
        </is>
      </c>
      <c r="E947" t="n">
        <v>0.0032</v>
      </c>
      <c r="F947" t="n">
        <v>0.0615</v>
      </c>
      <c r="G947" t="n">
        <v>0.155</v>
      </c>
      <c r="H947" t="inlineStr">
        <is>
          <t>This repository contains backend software components that implement core algorithms. The complexity is O(N), indicating linear time complexity, which means the performance scales with the size of the input data. The comments describe the implementation of these algorithms, while the commits indicate the initial creation of the codebase. The total code size is 1000 lines.</t>
        </is>
      </c>
      <c r="I947" t="n">
        <v>0.0044</v>
      </c>
      <c r="J947" t="n">
        <v>0.125</v>
      </c>
      <c r="K947" t="n">
        <v>0.1575</v>
      </c>
      <c r="L947" t="inlineStr">
        <is>
          <t>This mock implementation of `MkGist` is part of a library that provides a simple way to interact with GitHub's API using XML-based data structures. It allows users to create, retrieve, update, and delete gists, as well as manage comments associated with them. The class uses annotations like `@Immutable`, `@Loggable`, and `@ToString` to ensure immutability</t>
        </is>
      </c>
      <c r="M947" t="n">
        <v>0.004</v>
      </c>
      <c r="N947" t="n">
        <v>0.09379999999999999</v>
      </c>
      <c r="O947" t="n">
        <v>0.1587</v>
      </c>
    </row>
    <row r="948">
      <c r="A948" t="inlineStr">
        <is>
          <t>jcabi</t>
        </is>
      </c>
      <c r="B948" t="inlineStr">
        <is>
          <t>src/main/java/com/jcabi/github/mock/MkRelease.java</t>
        </is>
      </c>
      <c r="C948">
        <f>HYPERLINK("https://github.com/jcabi/jcabi-github/blob/master/src/main/java/com/jcabi/github/mock/MkRelease.java")</f>
        <v/>
      </c>
      <c r="D948" t="inlineStr">
        <is>
          <t>The provided code defines a mock implementation of a GitHub release using the Jcabi library. It includes methods to interact with release assets and retrieve metadata about releases for a specific repository. The class is marked as immutable and uses logging aspects for debugging purposes.</t>
        </is>
      </c>
      <c r="E948" t="n">
        <v>0.0041</v>
      </c>
      <c r="F948" t="n">
        <v>0.0755</v>
      </c>
      <c r="G948" t="n">
        <v>0.1282</v>
      </c>
      <c r="H948" t="inlineStr">
        <is>
          <t>Implements core algorithms for backend software components.</t>
        </is>
      </c>
      <c r="I948" t="n">
        <v>0.0341</v>
      </c>
      <c r="J948" t="n">
        <v>0.2667</v>
      </c>
      <c r="K948" t="n">
        <v>0.3235</v>
      </c>
      <c r="L948" t="inlineStr">
        <is>
          <t>This mock implementation of a GitHub release provides basic CRUD operations for managing releases within a repository using a JSON-based storage mechanism. It includes methods for creating, retrieving, updating, and deleting releases, as well as accessing associated assets. The class is designed to be immutable and log all method calls at debug level, making it suitable for testing environments where detailed logging is required.</t>
        </is>
      </c>
      <c r="M948" t="n">
        <v>0.0034</v>
      </c>
      <c r="N948" t="n">
        <v>0.0822</v>
      </c>
      <c r="O948" t="n">
        <v>0.1471</v>
      </c>
    </row>
    <row r="949">
      <c r="A949" t="inlineStr">
        <is>
          <t>jcabi</t>
        </is>
      </c>
      <c r="B949" t="inlineStr">
        <is>
          <t>src/main/java/com/jcabi/github/mock/MkPublicMembers.java</t>
        </is>
      </c>
      <c r="C949">
        <f>HYPERLINK("https://github.com/jcabi/jcabi-github/blob/master/src/main/java/com/jcabi/github/mock/MkPublicMembers.java")</f>
        <v/>
      </c>
      <c r="D949" t="inlineStr">
        <is>
          <t>The code defines a mock implementation of `PublicMembers` from the Jcabi-Github library, which is used to manage public members in a GitHub organization. It provides methods to retrieve and manipulate these members using a custom storage mechanism (`MkStorage`). The class includes comments explaining its purpose and usage, as well as details about its complexity, size, and commits.</t>
        </is>
      </c>
      <c r="E949" t="n">
        <v>0.0032</v>
      </c>
      <c r="F949" t="n">
        <v>0.0606</v>
      </c>
      <c r="G949" t="n">
        <v>0.1163</v>
      </c>
      <c r="H949" t="inlineStr">
        <is>
          <t>The repository contains backend software components that implement core algorithms. The complexity is O(N), indicating linear time complexity in relation to input size. Comments explain the implementation details, while commits track the initial creation of the codebase. The total code size is 1000 lines.</t>
        </is>
      </c>
      <c r="I949" t="n">
        <v>0.005</v>
      </c>
      <c r="J949" t="n">
        <v>0.1132</v>
      </c>
      <c r="K949" t="n">
        <v>0.1293</v>
      </c>
      <c r="L949" t="inlineStr">
        <is>
          <t>This mock implementation provides a way to manage public members within a GitHub organization by storing and retrieving user data from a specified storage mechanism. It allows users to add, remove, list, and check membership status of public members within the organization. The code is designed to be compatible with the GitHub Organizations API and includes basic CRUD operations for managing these memberships.</t>
        </is>
      </c>
      <c r="M949" t="n">
        <v>0.0034</v>
      </c>
      <c r="N949" t="n">
        <v>0.08450000000000001</v>
      </c>
      <c r="O949" t="n">
        <v>0.1111</v>
      </c>
    </row>
    <row r="950">
      <c r="A950" t="inlineStr">
        <is>
          <t>jcabi</t>
        </is>
      </c>
      <c r="B950" t="inlineStr">
        <is>
          <t>src/main/java/com/jcabi/github/mock/MkUserEmails.java</t>
        </is>
      </c>
      <c r="C950">
        <f>HYPERLINK("https://github.com/jcabi/jcabi-github/blob/master/src/main/java/com/jcabi/github/mock/MkUserEmails.java")</f>
        <v/>
      </c>
      <c r="D950" t="inlineStr">
        <is>
          <t>The `MkUserEmails` class is a mock implementation of the `UserEmails` interface from the Jcabi-Github library. It provides methods to manage email addresses associated with a GitHub user account. The class uses a `MkStorage` object to store and retrieve email data for a specific user (`self`). The `MkUserEmails` class is immutable and logs</t>
        </is>
      </c>
      <c r="E950" t="n">
        <v>0.0035</v>
      </c>
      <c r="F950" t="n">
        <v>0.06560000000000001</v>
      </c>
      <c r="G950" t="n">
        <v>0.121</v>
      </c>
      <c r="H950" t="inlineStr">
        <is>
          <t>This repository contains backend software components with complexity O(N), implementing core algorithms. The code size is 1000 lines.</t>
        </is>
      </c>
      <c r="I950" t="n">
        <v>0.0142</v>
      </c>
      <c r="J950" t="n">
        <v>0.2963</v>
      </c>
      <c r="K950" t="n">
        <v>0.3507</v>
      </c>
      <c r="L950" t="inlineStr">
        <is>
          <t>The `MkUserEmails` class is a mock implementation of the `UserEmails` interface from the Jcabi-Github library. It provides methods for managing email addresses associated with a GitHub user account. The class uses a `MkStorage` object to store and retrieve email data. The `self` field holds the login name of the currently authenticated user. The class supports basic</t>
        </is>
      </c>
      <c r="M950" t="n">
        <v>0.0033</v>
      </c>
      <c r="N950" t="n">
        <v>0.0615</v>
      </c>
      <c r="O950" t="n">
        <v>0.1172</v>
      </c>
    </row>
    <row r="951">
      <c r="A951" t="inlineStr">
        <is>
          <t>jcabi</t>
        </is>
      </c>
      <c r="B951" t="inlineStr">
        <is>
          <t>src/main/java/com/jcabi/github/mock/MkContents.java</t>
        </is>
      </c>
      <c r="C951">
        <f>HYPERLINK("https://github.com/jcabi/jcabi-github/blob/master/src/main/java/com/jcabi/github/mock/MkContents.java")</f>
        <v/>
      </c>
      <c r="D951" t="inlineStr">
        <is>
          <t>The provided Java code defines a mock implementation of the `Contents` interface from the Jcabi-Github library. This mock is used for testing purposes in applications that interact with GitHub repositories without actually connecting to the real GitHub API. The key functionalities include:
1. **Storage Management**: It uses a storage mechanism (`MkSto`) to manage content data within the mock object.
2. **</t>
        </is>
      </c>
      <c r="E951" t="n">
        <v>0.003</v>
      </c>
      <c r="F951" t="n">
        <v>0.058</v>
      </c>
      <c r="G951" t="n">
        <v>0.1128</v>
      </c>
      <c r="H951" t="inlineStr">
        <is>
          <t>This repository contains backend software components that implement core algorithms. The complexity is O(N), indicating linear time operations for typical use cases. Comments describe the implementation details, while commits track the initial creation of the codebase. The total size of the codebase is 1000 lines.</t>
        </is>
      </c>
      <c r="I951" t="n">
        <v>0.0054</v>
      </c>
      <c r="J951" t="n">
        <v>0.1481</v>
      </c>
      <c r="K951" t="n">
        <v>0.2137</v>
      </c>
      <c r="L951" t="inlineStr">
        <is>
          <t>The `MkContents` class is a mock implementation of the `Contents` interface from the Jcabi-Github library. It provides methods for managing files within a GitHub repository, such as creating new content, retrieving existing content, updating content, deleting content, listing all files, and getting specific commits associated with each file. The class uses XML storage to persist data and employs logging at debug level</t>
        </is>
      </c>
      <c r="M951" t="n">
        <v>0.0029</v>
      </c>
      <c r="N951" t="n">
        <v>0.0563</v>
      </c>
      <c r="O951" t="n">
        <v>0.1119</v>
      </c>
    </row>
    <row r="952">
      <c r="A952" t="inlineStr">
        <is>
          <t>jcabi</t>
        </is>
      </c>
      <c r="B952" t="inlineStr">
        <is>
          <t>src/main/java/com/jcabi/github/mock/MkIssue.java</t>
        </is>
      </c>
      <c r="C952">
        <f>HYPERLINK("https://github.com/jcabi/jcabi-github/blob/master/src/main/java/com/jcabi/github/mock/MkIssue.java")</f>
        <v/>
      </c>
      <c r="D952" t="inlineStr">
        <is>
          <t>The provided Java code defines a mock implementation of a GitHub issue using the Jcabi library. It includes methods for managing comments, labels, reactions, and other aspects of issues within a repository. The class is marked as immutable and uses logging to debug operations. The complexity of the implementation is O(N), indicating linear time complexity in certain scenarios. The code size is 1000 lines,</t>
        </is>
      </c>
      <c r="E952" t="n">
        <v>0.0028</v>
      </c>
      <c r="F952" t="n">
        <v>0.0548</v>
      </c>
      <c r="G952" t="n">
        <v>0.1103</v>
      </c>
      <c r="H952" t="inlineStr">
        <is>
          <t>This repository contains backend software components that implement core algorithms. The complexity is O(N), indicating linear time complexity for certain operations. The implementation includes comments explaining the purpose and functionality of various parts of the code. The code size is 1000 lines, which suggests it has a moderate number of functions and classes to manage complex logic efficiently.</t>
        </is>
      </c>
      <c r="I952" t="n">
        <v>0.0047</v>
      </c>
      <c r="J952" t="n">
        <v>0.209</v>
      </c>
      <c r="K952" t="n">
        <v>0.2308</v>
      </c>
      <c r="L952" t="inlineStr">
        <is>
          <t>This mock implementation of a GitHub issue provides basic CRUD operations for managing issues within a repository. It includes methods for retrieving comments, labels, reactions, and events associated with the issue. The class is designed to be immutable and loggable, making it suitable for use in testing environments where real-time data access is not required.</t>
        </is>
      </c>
      <c r="M952" t="n">
        <v>0.004</v>
      </c>
      <c r="N952" t="n">
        <v>0.09379999999999999</v>
      </c>
      <c r="O952" t="n">
        <v>0.1575</v>
      </c>
    </row>
    <row r="953">
      <c r="A953" t="inlineStr">
        <is>
          <t>jcabi</t>
        </is>
      </c>
      <c r="B953" t="inlineStr">
        <is>
          <t>src/main/java/com/jcabi/github/mock/MkContent.java</t>
        </is>
      </c>
      <c r="C953">
        <f>HYPERLINK("https://github.com/jcabi/jcabi-github/blob/master/src/main/java/com/jcabi/github/mock/MkContent.java")</f>
        <v/>
      </c>
      <c r="D953" t="inlineStr">
        <is>
          <t>The provided code defines a mock implementation of the `Content` interface from the Jcabi-Github library. This mock is used for testing purposes within the context of a GitHub repository management system. It includes fields for storing the repository's storage, login details, coordinates, and path to the content. The class uses annotations like `@Immutable`, `@Loggable`, and `@ToString` to</t>
        </is>
      </c>
      <c r="E953" t="n">
        <v>0.0038</v>
      </c>
      <c r="F953" t="n">
        <v>0.0597</v>
      </c>
      <c r="G953" t="n">
        <v>0.155</v>
      </c>
      <c r="H953" t="inlineStr">
        <is>
          <t>This repository contains backend software components that implement core algorithms. The complexity is high due to the extensive implementation required for these algorithms.</t>
        </is>
      </c>
      <c r="I953" t="n">
        <v>0.0109</v>
      </c>
      <c r="J953" t="n">
        <v>0.2581</v>
      </c>
      <c r="K953" t="n">
        <v>0.2105</v>
      </c>
      <c r="L953" t="inlineStr">
        <is>
          <t>This mock implementation of `MkContent` is part of a library for interacting with GitHub repositories using Java. It provides methods to read and write content within a specified repository path. The class uses annotations like `@Immutable`, `@Loggable`, and `@ToString` to ensure immutability, logging, and string representation respectively. The constructor initializes the storage, login details, repository coordinates,</t>
        </is>
      </c>
      <c r="M953" t="n">
        <v>0.0039</v>
      </c>
      <c r="N953" t="n">
        <v>0.09379999999999999</v>
      </c>
      <c r="O953" t="n">
        <v>0.1563</v>
      </c>
    </row>
    <row r="954">
      <c r="A954" t="inlineStr">
        <is>
          <t>jcabi</t>
        </is>
      </c>
      <c r="B954" t="inlineStr">
        <is>
          <t>src/main/java/com/jcabi/github/mock/MkLimits.java</t>
        </is>
      </c>
      <c r="C954">
        <f>HYPERLINK("https://github.com/jcabi/jcabi-github/blob/master/src/main/java/com/jcabi/github/mock/MkLimits.java")</f>
        <v/>
      </c>
      <c r="D954" t="inlineStr">
        <is>
          <t>The provided code defines a mock implementation of the `Limits` interface from the Jcabi-Github library, which is used for handling rate limits on GitHub API requests. The class uses a `MkStorage` object to store and retrieve limit information and includes methods to access different types of rate limits such as Core, Search, and Bulk. It also provides logging capabilities using the Log4j framework</t>
        </is>
      </c>
      <c r="E954" t="n">
        <v>0.0029</v>
      </c>
      <c r="F954" t="n">
        <v>0.0833</v>
      </c>
      <c r="G954" t="n">
        <v>0.1111</v>
      </c>
      <c r="H954" t="inlineStr">
        <is>
          <t>This repository contains backend software components that implement core algorithms. The complexity is O(N), indicating linear time complexity for certain operations. The comments describe the implementation of these algorithms, while the commits document the initial creation of the codebase. The total size of the codebase is 1000 lines.</t>
        </is>
      </c>
      <c r="I954" t="n">
        <v>0.005</v>
      </c>
      <c r="J954" t="n">
        <v>0.1404</v>
      </c>
      <c r="K954" t="n">
        <v>0.1667</v>
      </c>
      <c r="L954" t="inlineStr">
        <is>
          <t>This mock implementation of the GitHub Rate Limit API uses a `MkStorage` for data persistence and tracks the rate limits for a specific user (`himself`). It provides methods to retrieve different types of rate limit information such as overall, public, and private repositories. The class is designed to be immutable and log all debug-level activities related to rate limit management.</t>
        </is>
      </c>
      <c r="M954" t="n">
        <v>0.0036</v>
      </c>
      <c r="N954" t="n">
        <v>0.08699999999999999</v>
      </c>
      <c r="O954" t="n">
        <v>0.1515</v>
      </c>
    </row>
    <row r="955">
      <c r="A955" t="inlineStr">
        <is>
          <t>jcabi</t>
        </is>
      </c>
      <c r="B955" t="inlineStr">
        <is>
          <t>src/main/java/com/jcabi/github/mock/MkDeployKey.java</t>
        </is>
      </c>
      <c r="C955">
        <f>HYPERLINK("https://github.com/jcabi/jcabi-github/blob/master/src/main/java/com/jcabi/github/mock/MkDeployKey.java")</f>
        <v/>
      </c>
      <c r="D955" t="inlineStr">
        <is>
          <t>The provided code defines a mock implementation of a GitHub deploy key using Java. It includes methods to interact with a repository's deploy keys stored in a `MkStorage`. The class is immutable and uses logging for debugging purposes. The constructor initializes the storage, key ID, and repository object. Methods like `get()` retrieve details about the deploy key by its ID, while others allow adding or removing keys</t>
        </is>
      </c>
      <c r="E955" t="n">
        <v>0.0027</v>
      </c>
      <c r="F955" t="n">
        <v>0.0526</v>
      </c>
      <c r="G955" t="n">
        <v>0.1079</v>
      </c>
      <c r="H955" t="inlineStr">
        <is>
          <t>The repository contains backend software components with complexity O(N), implementing core algorithms. The README provides information about the project's copyright, license, package name, version, and authorship.</t>
        </is>
      </c>
      <c r="I955" t="n">
        <v>0.009599999999999999</v>
      </c>
      <c r="J955" t="n">
        <v>0.2222</v>
      </c>
      <c r="K955" t="n">
        <v>0.3221</v>
      </c>
      <c r="L955" t="inlineStr">
        <is>
          <t>This mock implementation of `MkDeployKey` is part of a library for interacting with GitHub repositories using Java. It provides methods to manage deploy keys associated with a specific repository. The class uses an immutable design pattern and includes logging annotations for debugging purposes. The constructor initializes the object with a storage instance, a unique identifier (`key`), and a reference to the owning repository. The class supports basic</t>
        </is>
      </c>
      <c r="M955" t="n">
        <v>0.0032</v>
      </c>
      <c r="N955" t="n">
        <v>0.08</v>
      </c>
      <c r="O955" t="n">
        <v>0.1439</v>
      </c>
    </row>
    <row r="956">
      <c r="A956" t="inlineStr">
        <is>
          <t>jcabi</t>
        </is>
      </c>
      <c r="B956" t="inlineStr">
        <is>
          <t>src/main/java/com/jcabi/github/mock/MkDeployKeys.java</t>
        </is>
      </c>
      <c r="C956">
        <f>HYPERLINK("https://github.com/jcabi/jcabi-github/blob/master/src/main/java/com/jcabi/github/mock/MkDeployKeys.java")</f>
        <v/>
      </c>
      <c r="D956" t="inlineStr">
        <is>
          <t>The provided Java code defines a mock implementation of `DeployKeys` from the Jcabi-Github library, which is used to manage deployment keys in a GitHub repository. The class uses a `MkStorage` object to store key information and provides methods to interact with these keys.
### Key Features:
1. **Immutability**: The class is marked as immutable using the `@Immutable`</t>
        </is>
      </c>
      <c r="E956" t="n">
        <v>0.0032</v>
      </c>
      <c r="F956" t="n">
        <v>0.0615</v>
      </c>
      <c r="G956" t="n">
        <v>0.1163</v>
      </c>
      <c r="H956" t="inlineStr">
        <is>
          <t>The repository contains backend software components with complexity O(N), implementing core algorithms. The code size is 1000 lines.</t>
        </is>
      </c>
      <c r="I956" t="n">
        <v>0.0128</v>
      </c>
      <c r="J956" t="n">
        <v>0.2222</v>
      </c>
      <c r="K956" t="n">
        <v>0.284</v>
      </c>
      <c r="L956" t="inlineStr">
        <is>
          <t>This mock implementation of `DeployKeys` provides a way to manage deploy keys for repositories within a GitHub-like environment. It uses a storage mechanism to persist and retrieve deploy keys associated with specific repositories. The class is immutable and includes logging annotations for debugging purposes. It supports basic CRUD operations such as adding, removing, and listing deploy keys, using Xembly directives for XML manipulation.</t>
        </is>
      </c>
      <c r="M956" t="n">
        <v>0.0034</v>
      </c>
      <c r="N956" t="n">
        <v>0.0833</v>
      </c>
      <c r="O956" t="n">
        <v>0.1481</v>
      </c>
    </row>
    <row r="957">
      <c r="A957" t="inlineStr">
        <is>
          <t>jcabi</t>
        </is>
      </c>
      <c r="B957" t="inlineStr">
        <is>
          <t>src/main/java/com/jcabi/github/mock/MkCheck.java</t>
        </is>
      </c>
      <c r="C957">
        <f>HYPERLINK("https://github.com/jcabi/jcabi-github/blob/master/src/main/java/com/jcabi/github/mock/MkCheck.java")</f>
        <v/>
      </c>
      <c r="D957" t="inlineStr">
        <is>
          <t>The provided code defines a mock implementation of a `Check` interface from the Jcabi-Github library. This mock is used for testing purposes in applications that interact with GitHub repositories. It includes methods to retrieve information about checks associated with a specific pull request within a given repository. The class uses annotations such as `@Immutable`, `@Loggable`, and `@ToString` to ensure immut</t>
        </is>
      </c>
      <c r="E957" t="n">
        <v>0.0036</v>
      </c>
      <c r="F957" t="n">
        <v>0.058</v>
      </c>
      <c r="G957" t="n">
        <v>0.1515</v>
      </c>
      <c r="H957" t="inlineStr">
        <is>
          <t>The code is a mock implementation of a GitHub check using Java annotations for immutability and logging. It includes methods to interact with a storage system, retrieve coordinates, access a pull request, and manage checks by their identifiers. The complexity is high due to the large size of the codebase, which has been committed multiple times since its inception.</t>
        </is>
      </c>
      <c r="I957" t="n">
        <v>0.0031</v>
      </c>
      <c r="J957" t="n">
        <v>0.0597</v>
      </c>
      <c r="K957" t="n">
        <v>0.1145</v>
      </c>
      <c r="L957" t="inlineStr">
        <is>
          <t>This mock implementation of a GitHub check uses XML for data storage, allowing users to interact with checks related to specific repositories and pulls. It provides methods to retrieve and manipulate check details such as identifiers, statuses, and comments. The code is designed to be immutable and loggable, ensuring thread safety and traceability.</t>
        </is>
      </c>
      <c r="M957" t="n">
        <v>0.0041</v>
      </c>
      <c r="N957" t="n">
        <v>0.0984</v>
      </c>
      <c r="O957" t="n">
        <v>0.16</v>
      </c>
    </row>
    <row r="958">
      <c r="A958" t="inlineStr">
        <is>
          <t>jcabi</t>
        </is>
      </c>
      <c r="B958" t="inlineStr">
        <is>
          <t>src/main/java/com/jcabi/github/mock/MkIterable.java</t>
        </is>
      </c>
      <c r="C958">
        <f>HYPERLINK("https://github.com/jcabi/jcabi-github/blob/master/src/main/java/com/jcabi/github/mock/MkIterable.java")</f>
        <v/>
      </c>
      <c r="D958" t="inlineStr">
        <is>
          <t>The `MkIterable` class is a mock implementation of an iterable in Java that retrieves elements from an XML document using XPath expressions. It uses a `MkStorage` object to access the XML data and applies a mapping function to transform each element before returning it as part of the iteration. The class supports logging at debug level for debugging purposes and ensures immutability through annotations.</t>
        </is>
      </c>
      <c r="E958" t="n">
        <v>0.0028</v>
      </c>
      <c r="F958" t="n">
        <v>0.0833</v>
      </c>
      <c r="G958" t="n">
        <v>0.1103</v>
      </c>
      <c r="H958" t="inlineStr">
        <is>
          <t>This repository contains backend software components that implement core algorithms. The complexity is O(N), indicating linear time operations for typical use cases. The comments describe the implementation as providing core functionalities. The commits indicate the initial creation of the codebase. The total size of the code is 1000 lines.</t>
        </is>
      </c>
      <c r="I958" t="n">
        <v>0.0049</v>
      </c>
      <c r="J958" t="n">
        <v>0.1724</v>
      </c>
      <c r="K958" t="n">
        <v>0.2066</v>
      </c>
      <c r="L958" t="inlineStr">
        <is>
          <t>This is a mock implementation of an `Iterable` that retrieves elements from an XML document stored in a `MkStorage`. It uses XPath expressions to locate specific nodes within the XML and maps them to instances of type `T` using a custom `Mapping` interface. The class provides logging for debugging purposes and ensures immutability through annotations.</t>
        </is>
      </c>
      <c r="M958" t="n">
        <v>0.004</v>
      </c>
      <c r="N958" t="n">
        <v>0.09520000000000001</v>
      </c>
      <c r="O958" t="n">
        <v>0.1575</v>
      </c>
    </row>
    <row r="959">
      <c r="A959" t="inlineStr">
        <is>
          <t>jcabi</t>
        </is>
      </c>
      <c r="B959" t="inlineStr">
        <is>
          <t>src/main/java/com/jcabi/github/mock/MkRepoCommits.java</t>
        </is>
      </c>
      <c r="C959">
        <f>HYPERLINK("https://github.com/jcabi/jcabi-github/blob/master/src/main/java/com/jcabi/github/mock/MkRepoCommits.java")</f>
        <v/>
      </c>
      <c r="D959" t="inlineStr">
        <is>
          <t>The provided code is a mock implementation of `RepoCommits` from the Jcabi-Github library, which represents a collection of commits for a specific GitHub repository. The class uses a `MkStorage` to store and retrieve commit data. It provides methods to compare two commits using `CommitsComparison`, fetch all commits for a given repository, and access individual commits by their SHA hash or</t>
        </is>
      </c>
      <c r="E959" t="n">
        <v>0.003</v>
      </c>
      <c r="F959" t="n">
        <v>0.058</v>
      </c>
      <c r="G959" t="n">
        <v>0.1136</v>
      </c>
      <c r="H959" t="inlineStr">
        <is>
          <t>This repository contains backend software components with complexity O(N), implementing core algorithms. The README provides information about the project's purpose, license, package structure, and file size.</t>
        </is>
      </c>
      <c r="I959" t="n">
        <v>0.0103</v>
      </c>
      <c r="J959" t="n">
        <v>0.2778</v>
      </c>
      <c r="K959" t="n">
        <v>0.3796</v>
      </c>
      <c r="L959" t="inlineStr">
        <is>
          <t>The `MkRepoCommits` class is a mock implementation for managing commits in a GitHub repository using the JCabi library. It provides methods to retrieve and compare commits based on their SHA values. The class uses a `MkStorage` instance to store and manage commit data, ensuring that all operations are thread-safe and loggable at debug level. The class supports basic CRUD operations such as retrieving</t>
        </is>
      </c>
      <c r="M959" t="n">
        <v>0.0029</v>
      </c>
      <c r="N959" t="n">
        <v>0.0556</v>
      </c>
      <c r="O959" t="n">
        <v>0.1111</v>
      </c>
    </row>
    <row r="960">
      <c r="A960" t="inlineStr">
        <is>
          <t>jcabi</t>
        </is>
      </c>
      <c r="B960" t="inlineStr">
        <is>
          <t>src/main/java/com/jcabi/github/mock/MkEvent.java</t>
        </is>
      </c>
      <c r="C960">
        <f>HYPERLINK("https://github.com/jcabi/jcabi-github/blob/master/src/main/java/com/jcabi/github/mock/MkEvent.java")</f>
        <v/>
      </c>
      <c r="D960" t="inlineStr">
        <is>
          <t>The provided code defines a mock implementation of the `Event` interface from the Jcabi-Github library. This mock is used for testing purposes within the context of the Jcabi-Github project. The class includes fields such as `CREATED_AT`, `EVENT`, and `LOGIN`, which represent specific keys in JSON objects representing events. It also uses annotations like `@Immutable` to indicate</t>
        </is>
      </c>
      <c r="E960" t="n">
        <v>0.0039</v>
      </c>
      <c r="F960" t="n">
        <v>0.0597</v>
      </c>
      <c r="G960" t="n">
        <v>0.1563</v>
      </c>
      <c r="H960" t="inlineStr">
        <is>
          <t>The code is a mock implementation of a GitHub event using Java annotations for immutability and logging. It includes methods to get the created date, type of event, login of the user, and other properties related to events. The complexity is high due to its extensive use of JSON processing and object creation.</t>
        </is>
      </c>
      <c r="I960" t="n">
        <v>0.0035</v>
      </c>
      <c r="J960" t="n">
        <v>0.06560000000000001</v>
      </c>
      <c r="K960" t="n">
        <v>0.12</v>
      </c>
      <c r="L960" t="inlineStr">
        <is>
          <t>The `MkEvent` class is a mock implementation of the `Event` interface from the Jcabi-Github library. It provides a simple way to simulate events for testing purposes within a GitHub-like environment. The class uses annotations like `@Immutable`, `@Loggable`, and `@ToString` to enhance immutability, logging, and string representation, respectively. The constructor takes a</t>
        </is>
      </c>
      <c r="M960" t="n">
        <v>0.0036</v>
      </c>
      <c r="N960" t="n">
        <v>0.06560000000000001</v>
      </c>
      <c r="O960" t="n">
        <v>0.122</v>
      </c>
    </row>
    <row r="961">
      <c r="A961" t="inlineStr">
        <is>
          <t>jcabi</t>
        </is>
      </c>
      <c r="B961" t="inlineStr">
        <is>
          <t>src/main/java/com/jcabi/github/mock/MkCommit.java</t>
        </is>
      </c>
      <c r="C961">
        <f>HYPERLINK("https://github.com/jcabi/jcabi-github/blob/master/src/main/java/com/jcabi/github/mock/MkCommit.java")</f>
        <v/>
      </c>
      <c r="D961" t="inlineStr">
        <is>
          <t>The provided code is a mock implementation of a `Commit` interface from the Jcabi-Github library, which represents a commit in a Git repository on GitHub. It includes fields for storing various details about the commit such as its SHA, coordinates (repository), and author information. The class uses Lombok annotations to simplify object creation and provides methods to interact with these properties. This mock implementation is part</t>
        </is>
      </c>
      <c r="E961" t="n">
        <v>0.0033</v>
      </c>
      <c r="F961" t="n">
        <v>0.0533</v>
      </c>
      <c r="G961" t="n">
        <v>0.1449</v>
      </c>
      <c r="H961" t="inlineStr">
        <is>
          <t>This repository contains backend software components with complexity O(N), implementing core algorithms. It includes comments explaining the implementation details and has been committed initially. The total size of the code is 1000 lines.</t>
        </is>
      </c>
      <c r="I961" t="n">
        <v>0.008</v>
      </c>
      <c r="J961" t="n">
        <v>0.2381</v>
      </c>
      <c r="K961" t="n">
        <v>0.2381</v>
      </c>
      <c r="L961" t="inlineStr">
        <is>
          <t>This is a mock implementation of a GitHub commit for use in testing purposes. It provides basic methods to interact with commit details such as author, repository coordinates, and SHA hash. The class uses annotations for immutability and logging, ensuring that instances cannot be modified after creation and providing detailed logs at debug level.</t>
        </is>
      </c>
      <c r="M961" t="n">
        <v>0.004</v>
      </c>
      <c r="N961" t="n">
        <v>0.0968</v>
      </c>
      <c r="O961" t="n">
        <v>0.1587</v>
      </c>
    </row>
    <row r="962">
      <c r="A962" t="inlineStr">
        <is>
          <t>jcabi</t>
        </is>
      </c>
      <c r="B962" t="inlineStr">
        <is>
          <t>src/main/java/com/jcabi/github/mock/MkMilestones.java</t>
        </is>
      </c>
      <c r="C962">
        <f>HYPERLINK("https://github.com/jcabi/jcabi-github/blob/master/src/main/java/com/jcabi/github/mock/MkMilestones.java")</f>
        <v/>
      </c>
      <c r="D962" t="inlineStr">
        <is>
          <t>The provided code is a mock implementation of the `Milestones` interface from the Jcabi-Github library, which represents a collection of milestones in a GitHub repository. The class uses an internal storage to manage these milestones and provides methods to interact with them.
Key functionalities include:
1. **Retrieving all milestones**: The `all()` method returns a map where keys are milestone numbers and values</t>
        </is>
      </c>
      <c r="E962" t="n">
        <v>0.0029</v>
      </c>
      <c r="F962" t="n">
        <v>0.08450000000000001</v>
      </c>
      <c r="G962" t="n">
        <v>0.1119</v>
      </c>
      <c r="H962" t="inlineStr">
        <is>
          <t>The repository contains backend software components with complexity O(N), implementing core algorithms. The README provides information about the project's purpose and structure.</t>
        </is>
      </c>
      <c r="I962" t="n">
        <v>0.0114</v>
      </c>
      <c r="J962" t="n">
        <v>0.25</v>
      </c>
      <c r="K962" t="n">
        <v>0.3358</v>
      </c>
      <c r="L962" t="inlineStr">
        <is>
          <t>The `MkMilestones` class is a mock implementation of the `Milestones` interface from the JCabi GitHub library. It provides methods to interact with milestones in a GitHub repository using a mock storage mechanism. The class uses XPath expressions to extract milestone numbers from XML data stored in the mock storage. The implementation supports basic CRUD operations such as listing all milestones, retrieving a specific milestone by</t>
        </is>
      </c>
      <c r="M962" t="n">
        <v>0</v>
      </c>
      <c r="N962" t="n">
        <v>0.0274</v>
      </c>
      <c r="O962" t="n">
        <v>0.073</v>
      </c>
    </row>
    <row r="963">
      <c r="A963" t="inlineStr">
        <is>
          <t>jcabi</t>
        </is>
      </c>
      <c r="B963" t="inlineStr">
        <is>
          <t>src/main/java/com/jcabi/github/mock/MkPublicKey.java</t>
        </is>
      </c>
      <c r="C963">
        <f>HYPERLINK("https://github.com/jcabi/jcabi-github/blob/master/src/main/java/com/jcabi/github/mock/MkPublicKey.java")</f>
        <v/>
      </c>
      <c r="D963" t="inlineStr">
        <is>
          <t>The provided code is a mock implementation of a GitHub public key using Java. It includes methods for retrieving information about a specific public key associated with a user on GitHub. The `MkPublicKey` class uses a `MkStorage` object to store and retrieve data related to keys, and it logs debug messages during operations. The class is marked as immutable and uses Lombok annotations for automatic generation of</t>
        </is>
      </c>
      <c r="E963" t="n">
        <v>0.0027</v>
      </c>
      <c r="F963" t="n">
        <v>0.0533</v>
      </c>
      <c r="G963" t="n">
        <v>0.1079</v>
      </c>
      <c r="H963" t="inlineStr">
        <is>
          <t>The repository contains backend software components that implement core algorithms. The complexity is O(N), indicating linear time complexity for certain operations. Comments describe the implementation details, while commits include an initial codebase commit. The total size of the codebase is 1000 lines.</t>
        </is>
      </c>
      <c r="I963" t="n">
        <v>0.0052</v>
      </c>
      <c r="J963" t="n">
        <v>0.1176</v>
      </c>
      <c r="K963" t="n">
        <v>0.1316</v>
      </c>
      <c r="L963" t="inlineStr">
        <is>
          <t>This is a mock implementation of a GitHub public key using Java's Lombok library for object creation and immutable annotations for thread safety. The class `MkPublicKey` represents a public key associated with a specific user and issue number within a GitHub repository. It provides methods to retrieve JSON representations of the public key and manage its lifecycle through a storage mechanism.</t>
        </is>
      </c>
      <c r="M963" t="n">
        <v>0.0036</v>
      </c>
      <c r="N963" t="n">
        <v>0.0857</v>
      </c>
      <c r="O963" t="n">
        <v>0.1504</v>
      </c>
    </row>
    <row r="964">
      <c r="A964" t="inlineStr">
        <is>
          <t>jcabi</t>
        </is>
      </c>
      <c r="B964" t="inlineStr">
        <is>
          <t>src/main/java/com/jcabi/github/mock/MkReleaseAsset.java</t>
        </is>
      </c>
      <c r="C964">
        <f>HYPERLINK("https://github.com/jcabi/jcabi-github/blob/master/src/main/java/com/jcabi/github/mock/MkReleaseAsset.java")</f>
        <v/>
      </c>
      <c r="D964" t="inlineStr">
        <is>
          <t>The provided code defines a mock implementation of a GitHub release asset using Java. It includes methods for interacting with release assets such as retrieving metadata and downloading files associated with releases. The implementation is designed to be immutable and loggable, making it suitable for testing purposes without side effects or mutable state. The code uses Lombok annotations for automatic generation of boilerplate code like getters, setters, and toString methods.</t>
        </is>
      </c>
      <c r="E964" t="n">
        <v>0.0026</v>
      </c>
      <c r="F964" t="n">
        <v>0.0513</v>
      </c>
      <c r="G964" t="n">
        <v>0.1408</v>
      </c>
      <c r="H964" t="inlineStr">
        <is>
          <t>The provided code is a Java implementation of a mock GitHub release asset using the Jcabi library. It includes methods to interact with release assets on a GitHub repository, such as retrieving metadata and uploading files. The code uses annotations for immutability and logging, and it is part of a larger project that focuses on backend software components.</t>
        </is>
      </c>
      <c r="I964" t="n">
        <v>0.0037</v>
      </c>
      <c r="J964" t="n">
        <v>0.0606</v>
      </c>
      <c r="K964" t="n">
        <v>0.1538</v>
      </c>
      <c r="L964" t="inlineStr">
        <is>
          <t>This mock implementation of `MkReleaseAsset` is part of a library for interacting with GitHub repositories using Java. It provides methods to manage assets associated with releases within these repositories. The class uses annotations like `@Immutable`, `@Loggable`, and `@ToString` to ensure immutability, logging, and string representation, respectively. The constructor takes parameters for storing data (`MkStorage</t>
        </is>
      </c>
      <c r="M964" t="n">
        <v>0.004</v>
      </c>
      <c r="N964" t="n">
        <v>0.0968</v>
      </c>
      <c r="O964" t="n">
        <v>0.1587</v>
      </c>
    </row>
    <row r="965">
      <c r="A965" t="inlineStr">
        <is>
          <t>jcabi</t>
        </is>
      </c>
      <c r="B965" t="inlineStr">
        <is>
          <t>src/main/java/com/jcabi/github/mock/MkTags.java</t>
        </is>
      </c>
      <c r="C965">
        <f>HYPERLINK("https://github.com/jcabi/jcabi-github/blob/master/src/main/java/com/jcabi/github/mock/MkTags.java")</f>
        <v/>
      </c>
      <c r="D965" t="inlineStr">
        <is>
          <t>The provided code is a mock implementation of the `Tags` interface from the Jcabi-Github library, which represents tags for a specific Git repository on GitHub. The class uses a `MkStorage` to store tag information and provides methods to interact with these tags, such as retrieving all tags or creating new ones. It includes logging annotations for debugging purposes and ensures immutability through the use</t>
        </is>
      </c>
      <c r="E965" t="n">
        <v>0.0028</v>
      </c>
      <c r="F965" t="n">
        <v>0.0548</v>
      </c>
      <c r="G965" t="n">
        <v>0.1103</v>
      </c>
      <c r="H965" t="inlineStr">
        <is>
          <t>The repository contains backend software components with complexity O(N), implementing core algorithms. The code size is 1000 lines, and it includes comments explaining the implementation.</t>
        </is>
      </c>
      <c r="I965" t="n">
        <v>0.01</v>
      </c>
      <c r="J965" t="n">
        <v>0.2353</v>
      </c>
      <c r="K965" t="n">
        <v>0.3254</v>
      </c>
      <c r="L965" t="inlineStr">
        <is>
          <t>The `MkTags` class is a mock implementation of the `Tags` interface from the Jcabi-Github library, designed for use in testing environments. It provides methods to interact with tags associated with a specific repository. The class uses a `MkStorage` instance to manage tag data, ensuring that all operations are performed within a mocked environment. The class supports adding new tags, retrieving</t>
        </is>
      </c>
      <c r="M965" t="n">
        <v>0</v>
      </c>
      <c r="N965" t="n">
        <v>0.029</v>
      </c>
      <c r="O965" t="n">
        <v>0.07580000000000001</v>
      </c>
    </row>
    <row r="966">
      <c r="A966" t="inlineStr">
        <is>
          <t>jcabi</t>
        </is>
      </c>
      <c r="B966" t="inlineStr">
        <is>
          <t>src/main/java/com/jcabi/github/mock/package-info.java</t>
        </is>
      </c>
      <c r="C966">
        <f>HYPERLINK("https://github.com/jcabi/jcabi-github/blob/master/src/main/java/com/jcabi/github/mock/package-info.java")</f>
        <v/>
      </c>
      <c r="D966" t="inlineStr">
        <is>
          <t>The provided code is a Java package named `com.jcabi.github.mock` that implements a mock GitHub server for testing purposes. The class `MockGitHubServer` likely provides methods to simulate various GitHub operations such as creating repositories, managing users, and interacting with issues or pull requests. The complexity of this implementation is O(N), indicating it may involve processing data structures or performing multiple iterations based on input</t>
        </is>
      </c>
      <c r="E966" t="n">
        <v>0.0034</v>
      </c>
      <c r="F966" t="n">
        <v>0.0533</v>
      </c>
      <c r="G966" t="n">
        <v>0.1111</v>
      </c>
      <c r="H966" t="inlineStr">
        <is>
          <t>Mock GitHub server implementation with core algorithm implementations.</t>
        </is>
      </c>
      <c r="I966" t="n">
        <v>0.0278</v>
      </c>
      <c r="J966" t="n">
        <v>0.25</v>
      </c>
      <c r="K966" t="n">
        <v>0.125</v>
      </c>
      <c r="L966" t="inlineStr">
        <is>
          <t>This mock GitHub server package provides a lightweight implementation for testing purposes, allowing developers to simulate interactions with a real GitHub API without needing access to external services. The class `MockGitHub` is designed to handle various HTTP requests related to repositories, issues, pull requests, and other resources, enabling developers to test their applications' integration with GitHub functionalities locally.</t>
        </is>
      </c>
      <c r="M966" t="n">
        <v>0.0037</v>
      </c>
      <c r="N966" t="n">
        <v>0.09089999999999999</v>
      </c>
      <c r="O966" t="n">
        <v>0.1538</v>
      </c>
    </row>
    <row r="967">
      <c r="A967" t="inlineStr">
        <is>
          <t>jcabi</t>
        </is>
      </c>
      <c r="B967" t="inlineStr">
        <is>
          <t>src/main/java/com/jcabi/github/mock/MkPulls.java</t>
        </is>
      </c>
      <c r="C967">
        <f>HYPERLINK("https://github.com/jcabi/jcabi-github/blob/master/src/main/java/com/jcabi/github/mock/MkPulls.java")</f>
        <v/>
      </c>
      <c r="D967" t="inlineStr">
        <is>
          <t>The `MkPulls` class is a mock implementation of the `Pulls` interface from the Jcabi-Github library. It provides methods to interact with pull requests on a GitHub repository using a storage mechanism. Key functionalities include listing all pull requests, retrieving a specific pull request by its number, adding new pull requests, updating existing ones, and deleting them. The class uses Lombok</t>
        </is>
      </c>
      <c r="E967" t="n">
        <v>0.003</v>
      </c>
      <c r="F967" t="n">
        <v>0.08699999999999999</v>
      </c>
      <c r="G967" t="n">
        <v>0.1136</v>
      </c>
      <c r="H967" t="inlineStr">
        <is>
          <t>The repository contains backend software components with complexity O(N), implementing core algorithms. It has been initialized with an initial codebase commit. The total size of the code is 1000 lines.</t>
        </is>
      </c>
      <c r="I967" t="n">
        <v>0.0074</v>
      </c>
      <c r="J967" t="n">
        <v>0.1538</v>
      </c>
      <c r="K967" t="n">
        <v>0.2505</v>
      </c>
      <c r="L967" t="inlineStr">
        <is>
          <t>This mock implementation of `MkPulls` provides a basic interface for managing pull requests within a GitHub repository using a mocking framework. It allows users to create new pull requests by specifying the base and head branches, as well as other relevant details such as title and description. The class uses annotations like `@Immutable`, `@Loggable`, and `@ToString` to enhance its immutability</t>
        </is>
      </c>
      <c r="M967" t="n">
        <v>0.0036</v>
      </c>
      <c r="N967" t="n">
        <v>0.0882</v>
      </c>
      <c r="O967" t="n">
        <v>0.1515</v>
      </c>
    </row>
    <row r="968">
      <c r="A968" t="inlineStr">
        <is>
          <t>okhttp</t>
        </is>
      </c>
      <c r="B968" t="inlineStr">
        <is>
          <t>android-test/src/test/kotlin/okhttp/android/test/AndroidSocketAdapterTest.kt</t>
        </is>
      </c>
      <c r="C968">
        <f>HYPERLINK("https://github.com/square/okhttp/blob/master/android-test/src/test/kotlin/okhttp/android/test/AndroidSocketAdapterTest.kt")</f>
        <v/>
      </c>
      <c r="D968" t="inlineStr">
        <is>
          <t>The provided Java code defines a custom `DelegatingSSLSocketFactory` that extends OkHttp's `DelegatingSSLSocketFactory`. This factory allows for the creation of SSL sockets using Android-specific socket adapters (`AndroidSocketAdapter`, `ConscryptSocketAdapter`). It supports HTTP/1.1 and HTTP/2 protocols. The class includes methods to create new SSL contexts and SS</t>
        </is>
      </c>
      <c r="E968" t="n">
        <v>0.005</v>
      </c>
      <c r="F968" t="n">
        <v>0.0702</v>
      </c>
      <c r="G968" t="n">
        <v>0.1293</v>
      </c>
      <c r="H968" t="inlineStr">
        <is>
          <t>The repository contains backend software components that implement core algorithms. The complexity is O(N), indicating linear time complexity, and it includes comments explaining the implementation details.</t>
        </is>
      </c>
      <c r="I968" t="n">
        <v>0.009599999999999999</v>
      </c>
      <c r="J968" t="n">
        <v>0.2286</v>
      </c>
      <c r="K968" t="n">
        <v>0.2041</v>
      </c>
      <c r="L968" t="inlineStr">
        <is>
          <t>This Java code defines custom SSL socket factories for OkHttp using Android-specific platform adapters. It allows for handling HTTP/1.1 and HTTP/2 protocols securely over TLS connections. The `DelegatingSSLSocket` class is used to wrap standard SSLSockets, enabling customization of their behavior within OkHttp's request pipeline.</t>
        </is>
      </c>
      <c r="M968" t="n">
        <v>0.005</v>
      </c>
      <c r="N968" t="n">
        <v>0.0702</v>
      </c>
      <c r="O968" t="n">
        <v>0.1293</v>
      </c>
    </row>
    <row r="969">
      <c r="A969" t="inlineStr">
        <is>
          <t>okhttp</t>
        </is>
      </c>
      <c r="B969" t="inlineStr">
        <is>
          <t>android-test/src/test/kotlin/okhttp/android/test/AndroidLoggingTest.kt</t>
        </is>
      </c>
      <c r="C969">
        <f>HYPERLINK("https://github.com/square/okhttp/blob/master/android-test/src/test/kotlin/okhttp/android/test/AndroidLoggingTest.kt")</f>
        <v/>
      </c>
      <c r="D969" t="inlineStr">
        <is>
          <t>The provided code defines a test class `AndroidTest` within the package `okhttp.android.test`. It includes assertions using the `assertk` library to verify various aspects of HTTP requests made through an `OkHttpClient`. The tests cover scenarios such as checking if certain headers are present in responses, verifying that exceptions like `UnknownHostException` are thrown when network issues occur, and ensuring that connection specifications are</t>
        </is>
      </c>
      <c r="E969" t="n">
        <v>0.003</v>
      </c>
      <c r="F969" t="n">
        <v>0.0282</v>
      </c>
      <c r="G969" t="n">
        <v>0.0752</v>
      </c>
      <c r="H969" t="inlineStr">
        <is>
          <t>This repository contains backend software components that implement core algorithms. The complexity of these implementations is O(N), indicating they scale linearly with input size. The code uses Android-specific utilities and assertions from the `assertk` library for testing purposes.</t>
        </is>
      </c>
      <c r="I969" t="n">
        <v>0.0069</v>
      </c>
      <c r="J969" t="n">
        <v>0.2083</v>
      </c>
      <c r="K969" t="n">
        <v>0.2727</v>
      </c>
      <c r="L969" t="inlineStr">
        <is>
          <t>The provided code is part of an Android test suite that uses OkHttp to make HTTP requests and verify responses. It includes assertions to check for expected outcomes such as successful connections, response codes, and content. The code also handles exceptions like `UnknownHostException` and logs relevant messages using Android's Log class.</t>
        </is>
      </c>
      <c r="M969" t="n">
        <v>0.0036</v>
      </c>
      <c r="N969" t="n">
        <v>0.0333</v>
      </c>
      <c r="O969" t="n">
        <v>0.0813</v>
      </c>
    </row>
    <row r="970">
      <c r="A970" t="inlineStr">
        <is>
          <t>okhttp</t>
        </is>
      </c>
      <c r="B970" t="inlineStr">
        <is>
          <t>android-test/src/test/kotlin/okhttp/android/test/ShadowDnsResolver.kt</t>
        </is>
      </c>
      <c r="C970">
        <f>HYPERLINK("https://github.com/square/okhttp/blob/master/android-test/src/test/kotlin/okhttp/android/test/ShadowDnsResolver.kt")</f>
        <v/>
      </c>
      <c r="D970" t="inlineStr">
        <is>
          <t>The provided code defines a shadow class `ShadowDnsResolver` that implements the `DnsResolver` interface from Android's networking package. This allows developers to test DNS resolution logic without needing actual network access during tests using Robolectric. The class includes methods to resolve hostnames to IP addresses asynchronously, handling cancellation signals, and providing custom response behavior through a responder function.</t>
        </is>
      </c>
      <c r="E970" t="n">
        <v>0.0042</v>
      </c>
      <c r="F970" t="n">
        <v>0.0606</v>
      </c>
      <c r="G970" t="n">
        <v>0.155</v>
      </c>
      <c r="H970" t="inlineStr">
        <is>
          <t>This repository contains backend software components that implement core algorithms. The complexity of these implementations is O(N), indicating they scale linearly with input size. The codebase has been initialized with basic structure and comments explaining its purpose and implementation details.</t>
        </is>
      </c>
      <c r="I970" t="n">
        <v>0.0065</v>
      </c>
      <c r="J970" t="n">
        <v>0.2041</v>
      </c>
      <c r="K970" t="n">
        <v>0.2232</v>
      </c>
      <c r="L970" t="inlineStr">
        <is>
          <t>The `ShadowDnsResolver` class provides a shadow implementation for the Android `DnsResolver` interface using Robolectric annotations. It allows developers to test DNS resolution without relying on actual network connections, focusing on testing the underlying algorithmic logic rather than network-specific concerns. The class includes methods such as `query`, which simulates querying DNS servers and returning results based on predefined responses.</t>
        </is>
      </c>
      <c r="M970" t="n">
        <v>0.0031</v>
      </c>
      <c r="N970" t="n">
        <v>0.0597</v>
      </c>
      <c r="O970" t="n">
        <v>0.1154</v>
      </c>
    </row>
    <row r="971">
      <c r="A971" t="inlineStr">
        <is>
          <t>okhttp</t>
        </is>
      </c>
      <c r="B971" t="inlineStr">
        <is>
          <t>android-test/src/test/kotlin/okhttp/android/test/BaseOkHttpClientUnitTest.kt</t>
        </is>
      </c>
      <c r="C971">
        <f>HYPERLINK("https://github.com/square/okhttp/blob/master/android-test/src/test/kotlin/okhttp/android/test/BaseOkHttpClientUnitTest.kt")</f>
        <v/>
      </c>
      <c r="D971" t="inlineStr">
        <is>
          <t>The provided code is part of a test suite for the OkHttp library, specifically focusing on testing network requests using Java's `InetAddress` class and the `OkHttpClient`. The code includes assertions to verify that certain conditions related to IP addresses and HTTP URLs are met. It uses the `assertk` library for making assertions about the expected outcomes of these tests. The complexity of the implementation is O</t>
        </is>
      </c>
      <c r="E971" t="n">
        <v>0.0028</v>
      </c>
      <c r="F971" t="n">
        <v>0.0267</v>
      </c>
      <c r="G971" t="n">
        <v>0.1087</v>
      </c>
      <c r="H971" t="inlineStr">
        <is>
          <t>This repository contains backend software components implementing core algorithms. The complexity of the implementation is O(N), indicating that it scales linearly with input size. The code base has been initialized with a single commit containing the initial codebase.</t>
        </is>
      </c>
      <c r="I971" t="n">
        <v>0.0064</v>
      </c>
      <c r="J971" t="n">
        <v>0.1702</v>
      </c>
      <c r="K971" t="n">
        <v>0.1818</v>
      </c>
      <c r="L971" t="inlineStr">
        <is>
          <t>The code provides tests for OkHttpClient using AssertK assertions to verify various functionalities such as cache handling, network requests, and error handling. It includes test cases for setting up caches, making HTTP requests, checking response status codes, and verifying that exceptions are thrown when necessary. The code uses OkHttp's `OkHttpClient` and `Request` classes to perform these tests.</t>
        </is>
      </c>
      <c r="M971" t="n">
        <v>0.0032</v>
      </c>
      <c r="N971" t="n">
        <v>0.0606</v>
      </c>
      <c r="O971" t="n">
        <v>0.0775</v>
      </c>
    </row>
    <row r="972">
      <c r="A972" t="inlineStr">
        <is>
          <t>okhttp</t>
        </is>
      </c>
      <c r="B972" t="inlineStr">
        <is>
          <t>android-test/src/test/kotlin/okhttp/android/test/RobolectricOkHttpClientTest.kt</t>
        </is>
      </c>
      <c r="C972">
        <f>HYPERLINK("https://github.com/square/okhttp/blob/master/android-test/src/test/kotlin/okhttp/android/test/RobolectricOkHttpClientTest.kt")</f>
        <v/>
      </c>
      <c r="D972" t="inlineStr">
        <is>
          <t>The provided code is a test class for `RobolectricOkHttpClient`, which extends `BaseOkHttpClientUnitTest`. It uses Robolectric for testing Android applications and OkHttp for making HTTP requests. The class sets up the necessary environment using `ApplicationProvider` and configures Robolectric's SDK versions. The `@Before` annotation ensures that setup code runs before each test method. This class</t>
        </is>
      </c>
      <c r="E972" t="n">
        <v>0.0041</v>
      </c>
      <c r="F972" t="n">
        <v>0.0323</v>
      </c>
      <c r="G972" t="n">
        <v>0.12</v>
      </c>
      <c r="H972" t="inlineStr">
        <is>
          <t>This repository contains backend software components implementing core algorithms. Complexity is O(N), indicating linear time complexity. The README describes it as containing backend software components with implementation of core algorithms.</t>
        </is>
      </c>
      <c r="I972" t="n">
        <v>0.008200000000000001</v>
      </c>
      <c r="J972" t="n">
        <v>0.2051</v>
      </c>
      <c r="K972" t="n">
        <v>0.1961</v>
      </c>
      <c r="L972" t="inlineStr">
        <is>
          <t>This test suite uses Robolectric to run Android tests against different API levels using OkHttp as the HTTP client library. The `RobolectricOkHttpClientTest` class extends `BaseOkHttpClientUnitTest`, which likely contains common setup methods and assertions used across multiple tests within the same package. It sets up an instance of OkHttpClient for each test method, ensuring that the environment is consistent across all tests.</t>
        </is>
      </c>
      <c r="M972" t="n">
        <v>0.0036</v>
      </c>
      <c r="N972" t="n">
        <v>0.058</v>
      </c>
      <c r="O972" t="n">
        <v>0.1128</v>
      </c>
    </row>
    <row r="973">
      <c r="A973" t="inlineStr">
        <is>
          <t>okhttp</t>
        </is>
      </c>
      <c r="B973" t="inlineStr">
        <is>
          <t>android-test/src/test/kotlin/okhttp/android/test/NonRobolectricOkHttpClientTest.kt</t>
        </is>
      </c>
      <c r="C973">
        <f>HYPERLINK("https://github.com/square/okhttp/blob/master/android-test/src/test/kotlin/okhttp/android/test/NonRobolectricOkHttpClientTest.kt")</f>
        <v/>
      </c>
      <c r="D973" t="inlineStr">
        <is>
          <t>The provided Java code is part of an Android testing suite using JUnit and AssertK libraries. It includes tests that verify the behavior of certain methods within the `okhttp.android.test` package. The tests cover various aspects such as handling exceptions, asserting method calls, and ensuring proper class instantiation. The complexity of these tests is O(N), where N represents the number of assertions made during each test case</t>
        </is>
      </c>
      <c r="E973" t="n">
        <v>0.0028</v>
      </c>
      <c r="F973" t="n">
        <v>0.026</v>
      </c>
      <c r="G973" t="n">
        <v>0.0725</v>
      </c>
      <c r="H973" t="inlineStr">
        <is>
          <t>The code implements core algorithms and runs tests using JUnit4. It includes comments explaining its implementation and complexity analysis. The README provides information about the repository's purpose and structure.</t>
        </is>
      </c>
      <c r="I973" t="n">
        <v>0.0151</v>
      </c>
      <c r="J973" t="n">
        <v>0.1579</v>
      </c>
      <c r="K973" t="n">
        <v>0.3125</v>
      </c>
      <c r="L973" t="inlineStr">
        <is>
          <t>This Java unit test suite uses JUnit4 to verify the correctness of OkHttpClient implementations using only stubbed dependencies. It includes assertions to check various aspects such as response status codes, error handling, and network calls. The tests cover basic functionalities like making HTTP requests and handling exceptions effectively.</t>
        </is>
      </c>
      <c r="M973" t="n">
        <v>0.0045</v>
      </c>
      <c r="N973" t="n">
        <v>0.1429</v>
      </c>
      <c r="O973" t="n">
        <v>0.1667</v>
      </c>
    </row>
    <row r="974">
      <c r="A974" t="inlineStr">
        <is>
          <t>okhttp</t>
        </is>
      </c>
      <c r="B974" t="inlineStr">
        <is>
          <t>android-test/src/test/kotlin/okhttp/android/test/DisabledInitialiserTest.kt</t>
        </is>
      </c>
      <c r="C974">
        <f>HYPERLINK("https://github.com/square/okhttp/blob/master/android-test/src/test/kotlin/okhttp/android/test/DisabledInitialiserTest.kt")</f>
        <v/>
      </c>
      <c r="D974" t="inlineStr">
        <is>
          <t>The provided Java code snippet appears to be part of a test suite for OkHttp, specifically within the `okhttp-android-test` package. The code includes several assertions using the AssertK library to verify various aspects of HTTP requests and responses. Here's a concise summary of its functionality:
### Key Features:
1. **Assertions**: 
   - Uses AssertK to perform assertions on HTTP request/response objects</t>
        </is>
      </c>
      <c r="E974" t="n">
        <v>0.003</v>
      </c>
      <c r="F974" t="n">
        <v>0.0286</v>
      </c>
      <c r="G974" t="n">
        <v>0.07580000000000001</v>
      </c>
      <c r="H974" t="inlineStr">
        <is>
          <t>This repository contains backend software components implementing core algorithms. The complexity is O(N), indicating that the time taken grows linearly with the input size. The code size is 1000 lines, making it relatively large but focused on algorithm implementation.</t>
        </is>
      </c>
      <c r="I974" t="n">
        <v>0.0062</v>
      </c>
      <c r="J974" t="n">
        <v>0.1667</v>
      </c>
      <c r="K974" t="n">
        <v>0.2843</v>
      </c>
      <c r="L974" t="inlineStr">
        <is>
          <t>The provided Java code appears to be part of a unit test suite using JUnit and AssertK libraries. It tests various aspects of the `Platform` class from the OkHttp library, specifically focusing on error handling and platform detection. The tests cover scenarios where expected exceptions are thrown during platform initialization and verify that the correct exception types and messages are returned.</t>
        </is>
      </c>
      <c r="M974" t="n">
        <v>0.003</v>
      </c>
      <c r="N974" t="n">
        <v>0.029</v>
      </c>
      <c r="O974" t="n">
        <v>0.0752</v>
      </c>
    </row>
    <row r="975">
      <c r="A975" t="inlineStr">
        <is>
          <t>okhttp</t>
        </is>
      </c>
      <c r="B975" t="inlineStr">
        <is>
          <t>android-test/src/androidTest/java/okhttp/android/test/OkHttpTest.kt</t>
        </is>
      </c>
      <c r="C975">
        <f>HYPERLINK("https://github.com/square/okhttp/blob/master/android-test/src/androidTest/java/okhttp/android/test/OkHttpTest.kt")</f>
        <v/>
      </c>
      <c r="D975" t="inlineStr">
        <is>
          <t>The provided code appears to be part of a test suite for Android applications using OkHttp and Google Play Services. It includes utility functions such as `ApplicationProvider` and `InstrumentationRegistry`, which are used to set up testing environments. The code also uses Moshi for JSON serialization/deserialization and ProviderInstaller from Google Play Services to ensure that the necessary security provider is installed. The complexity of the</t>
        </is>
      </c>
      <c r="E975" t="n">
        <v>0.0028</v>
      </c>
      <c r="F975" t="n">
        <v>0.0548</v>
      </c>
      <c r="G975" t="n">
        <v>0.0735</v>
      </c>
      <c r="H975" t="inlineStr">
        <is>
          <t>The repository contains backend software components implementing core algorithms. The complexity is O(N), indicating linear time complexity. The comments describe the implementation of these algorithms. There have been multiple commits since the initial codebase creation. The total size of the codebase is 1000 lines.</t>
        </is>
      </c>
      <c r="I975" t="n">
        <v>0.005</v>
      </c>
      <c r="J975" t="n">
        <v>0.1132</v>
      </c>
      <c r="K975" t="n">
        <v>0.1293</v>
      </c>
      <c r="L975" t="inlineStr">
        <is>
          <t>The provided code implements a test suite for Android applications using Google Play Services. It includes methods to install necessary security providers and configure Moshi for JSON parsing. The code uses `ApplicationProvider` and `InstrumentationRegistry` from Android testing libraries to access context and instrumentation details.</t>
        </is>
      </c>
      <c r="M975" t="n">
        <v>0.005</v>
      </c>
      <c r="N975" t="n">
        <v>0.0769</v>
      </c>
      <c r="O975" t="n">
        <v>0.1293</v>
      </c>
    </row>
    <row r="976">
      <c r="A976" t="inlineStr">
        <is>
          <t>okhttp</t>
        </is>
      </c>
      <c r="B976" t="inlineStr">
        <is>
          <t>android-test/src/androidTest/java/okhttp/android/test/StrictModeTest.kt</t>
        </is>
      </c>
      <c r="C976">
        <f>HYPERLINK("https://github.com/square/okhttp/blob/master/android-test/src/androidTest/java/okhttp/android/test/StrictModeTest.kt")</f>
        <v/>
      </c>
      <c r="D976" t="inlineStr">
        <is>
          <t>The provided code is part of an Android test suite that uses OkHttp library to make HTTP requests. It includes tests for handling strict mode violations, verifying response sizes, checking equality of responses, and making GET requests using OkHttpClient. The complexity of the implementation is O(N), where N represents the number of assertions made during testing.</t>
        </is>
      </c>
      <c r="E976" t="n">
        <v>0.0033</v>
      </c>
      <c r="F976" t="n">
        <v>0.0308</v>
      </c>
      <c r="G976" t="n">
        <v>0.1172</v>
      </c>
      <c r="H976" t="inlineStr">
        <is>
          <t>The repository contains backend software components implementing core algorithms. The complexity is O(N), indicating linear time complexity, which suggests that the algorithm scales proportionally with the size of the input data.</t>
        </is>
      </c>
      <c r="I976" t="n">
        <v>0.0072</v>
      </c>
      <c r="J976" t="n">
        <v>0.15</v>
      </c>
      <c r="K976" t="n">
        <v>0.2481</v>
      </c>
      <c r="L976" t="inlineStr">
        <is>
          <t>The code implements tests for OkHttpClient using Android's StrictMode and AssertK assertions. It includes test cases for handling HTTP requests, verifying response sizes, checking for empty responses, and ensuring proper URL parsing. The code uses SdkSuppress annotations to ignore certain SDK versions that might cause issues during testing.</t>
        </is>
      </c>
      <c r="M976" t="n">
        <v>0.0045</v>
      </c>
      <c r="N976" t="n">
        <v>0.0702</v>
      </c>
      <c r="O976" t="n">
        <v>0.125</v>
      </c>
    </row>
    <row r="977">
      <c r="A977" t="inlineStr">
        <is>
          <t>okhttp</t>
        </is>
      </c>
      <c r="B977" t="inlineStr">
        <is>
          <t>android-test/src/androidTest/java/okhttp/android/test/SingleAndroidTest.kt</t>
        </is>
      </c>
      <c r="C977">
        <f>HYPERLINK("https://github.com/square/okhttp/blob/master/android-test/src/androidTest/java/okhttp/android/test/SingleAndroidTest.kt")</f>
        <v/>
      </c>
      <c r="D977" t="inlineStr">
        <is>
          <t>The provided code is a unit test written using Kotlin's JUnit Jupiter framework that tests the `OkHttpClient` class from the OkHttp library. The test checks if the client can successfully make HTTP requests to a local server running on localhost. It uses a `MockWebServer` to simulate a web server and returns predefined responses based on incoming requests. The test ensures that the client correctly handles different types</t>
        </is>
      </c>
      <c r="E977" t="n">
        <v>0.0027</v>
      </c>
      <c r="F977" t="n">
        <v>0.0263</v>
      </c>
      <c r="G977" t="n">
        <v>0.07190000000000001</v>
      </c>
      <c r="H977" t="inlineStr">
        <is>
          <t>Tests the OkHttpClient class using MockWebServer and asserts expected responses based on requests.</t>
        </is>
      </c>
      <c r="I977" t="n">
        <v>0.0155</v>
      </c>
      <c r="J977" t="n">
        <v>0.09520000000000001</v>
      </c>
      <c r="K977" t="n">
        <v>0.1176</v>
      </c>
      <c r="L977" t="inlineStr">
        <is>
          <t>This unit test suite uses OkHttp and MockWebServer to verify the functionality of OkHttpClient's connection pooling feature when running tests on Android devices with API levels between 21 and 29. The test checks that connections are reused efficiently within the specified pool size, ensuring optimal performance during concurrent requests.</t>
        </is>
      </c>
      <c r="M977" t="n">
        <v>0.0049</v>
      </c>
      <c r="N977" t="n">
        <v>0.1034</v>
      </c>
      <c r="O977" t="n">
        <v>0.124</v>
      </c>
    </row>
    <row r="978">
      <c r="A978" t="inlineStr">
        <is>
          <t>okhttp</t>
        </is>
      </c>
      <c r="B978" t="inlineStr">
        <is>
          <t>android-test/src/androidTest/java/okhttp/android/test/sni/SniOverrideTest.kt</t>
        </is>
      </c>
      <c r="C978">
        <f>HYPERLINK("https://github.com/square/okhttp/blob/master/android-test/src/androidTest/java/okhttp/android/test/sni/SniOverrideTest.kt")</f>
        <v/>
      </c>
      <c r="D978" t="inlineStr">
        <is>
          <t>The provided Java code defines a class `CustomDelegatingSSLSocketFactory` that extends `DelegatingSSLSocketFactory`. This custom factory overrides methods related to SSL/TLS socket creation and configuration to support Server Name Indication (SNI), which allows clients to specify the hostname they want to connect to during the TLS handshake. The implementation includes handling SNI server names and logging relevant</t>
        </is>
      </c>
      <c r="E978" t="n">
        <v>0.004</v>
      </c>
      <c r="F978" t="n">
        <v>0.09379999999999999</v>
      </c>
      <c r="G978" t="n">
        <v>0.1181</v>
      </c>
      <c r="H978" t="inlineStr">
        <is>
          <t>Implements core algorithms for backend software components.</t>
        </is>
      </c>
      <c r="I978" t="n">
        <v>0.0341</v>
      </c>
      <c r="J978" t="n">
        <v>0.2667</v>
      </c>
      <c r="K978" t="n">
        <v>0.3235</v>
      </c>
      <c r="L978" t="inlineStr">
        <is>
          <t>This Java class implements a custom SSL socket factory that supports Server Name Indication (SNI). It uses Android's `SSLSocket` and `SSLContext` classes to create secure connections based on SNI hostnames. The implementation includes methods to set up the SNI server names and delegate certificate verification to another SSLSocketFactory. The class is designed to be used in Android applications where multiple</t>
        </is>
      </c>
      <c r="M978" t="n">
        <v>0.004</v>
      </c>
      <c r="N978" t="n">
        <v>0.08699999999999999</v>
      </c>
      <c r="O978" t="n">
        <v>0.1515</v>
      </c>
    </row>
    <row r="979">
      <c r="A979" t="inlineStr">
        <is>
          <t>okhttp</t>
        </is>
      </c>
      <c r="B979" t="inlineStr">
        <is>
          <t>android-test/src/androidTest/java/okhttp/android/test/letsencrypt/LetsEncryptClientTest.kt</t>
        </is>
      </c>
      <c r="C979">
        <f>HYPERLINK("https://github.com/square/okhttp/blob/master/android-test/src/androidTest/java/okhttp/android/test/letsencrypt/LetsEncryptClientTest.kt")</f>
        <v/>
      </c>
      <c r="D979" t="inlineStr">
        <is>
          <t>The provided code snippet appears to be part of a test suite for verifying SSL/TLS certificate handling in Android applications using OkHttp. The code includes several key functionalities:
1. **Test Setup**: It sets up an `OkHttpClient` instance configured to trust Let's Encrypt certificates.
2. **SSL/TLS Certificate Verification**: It uses a custom `HandshakeCertificates` implementation to decode and verify Let</t>
        </is>
      </c>
      <c r="E979" t="n">
        <v>0.0031</v>
      </c>
      <c r="F979" t="n">
        <v>0.058</v>
      </c>
      <c r="G979" t="n">
        <v>0.1154</v>
      </c>
      <c r="H979" t="inlineStr">
        <is>
          <t>The code implements backend software components that contain core algorithms. It uses Java and Android SDK features such as `OkHttp`, `X509Certificate`, and `HandshakeCertificates` to handle TLS certificates and make HTTP requests. The complexity is O(N), indicating it processes N items or operations.</t>
        </is>
      </c>
      <c r="I979" t="n">
        <v>0.0062</v>
      </c>
      <c r="J979" t="n">
        <v>0.1176</v>
      </c>
      <c r="K979" t="n">
        <v>0.2193</v>
      </c>
      <c r="L979" t="inlineStr">
        <is>
          <t>This Java test suite uses OkHttp to verify SSL/TLS certificates against Let's Encrypt's CA using Android-specific APIs. It includes tests that check certificate chains, protocol versions, and handshake certificates. The tests utilize assertions from the AssertK library to ensure expected outcomes.</t>
        </is>
      </c>
      <c r="M979" t="n">
        <v>0.0054</v>
      </c>
      <c r="N979" t="n">
        <v>0.0755</v>
      </c>
      <c r="O979" t="n">
        <v>0.1327</v>
      </c>
    </row>
    <row r="980">
      <c r="A980" t="inlineStr">
        <is>
          <t>okhttp</t>
        </is>
      </c>
      <c r="B980" t="inlineStr">
        <is>
          <t>android-test/src/androidTest/java/okhttp/android/test/alpn/AlpnOverrideTest.kt</t>
        </is>
      </c>
      <c r="C980">
        <f>HYPERLINK("https://github.com/square/okhttp/blob/master/android-test/src/androidTest/java/okhttp/android/test/alpn/AlpnOverrideTest.kt")</f>
        <v/>
      </c>
      <c r="D980" t="inlineStr">
        <is>
          <t>The provided Java code defines a class `AlpnTest` that tests the Application Layer Protocol Negotiation (ALPN) feature in Android's SSL/TLS implementation using OkHttp library. The test checks if ALPN can be successfully negotiated between an OkHttpClient instance and an SSLSocketFactory. It uses assertions from the AssertK testing framework to verify that the expected ALPN protocol is selected during the handshake</t>
        </is>
      </c>
      <c r="E980" t="n">
        <v>0.003</v>
      </c>
      <c r="F980" t="n">
        <v>0.0571</v>
      </c>
      <c r="G980" t="n">
        <v>0.1136</v>
      </c>
      <c r="H980" t="inlineStr">
        <is>
          <t>Implements core algorithms for backend software components. Complexity is O(N).</t>
        </is>
      </c>
      <c r="I980" t="n">
        <v>0.0251</v>
      </c>
      <c r="J980" t="n">
        <v>0.2105</v>
      </c>
      <c r="K980" t="n">
        <v>0.3117</v>
      </c>
      <c r="L980" t="inlineStr">
        <is>
          <t>This Android test suite uses OkHttp to verify that SSL/TLS protocols are correctly negotiated using ALPN (Application-Layer Protocol Negotiation). It includes tests for different versions of Android and various SSL/TLS configurations, ensuring compatibility across different environments. The code utilizes custom `DelegatingSSLSocketFactory` to intercept socket creation and log protocol negotiations, facilitating debugging and verification of ALPN support.</t>
        </is>
      </c>
      <c r="M980" t="n">
        <v>0.0039</v>
      </c>
      <c r="N980" t="n">
        <v>0.0597</v>
      </c>
      <c r="O980" t="n">
        <v>0.1172</v>
      </c>
    </row>
    <row r="981">
      <c r="A981" t="inlineStr">
        <is>
          <t>okhttp</t>
        </is>
      </c>
      <c r="B981" t="inlineStr">
        <is>
          <t>okcurl/src/main/kotlin/okhttp3/curl/MainCommandLine.kt</t>
        </is>
      </c>
      <c r="C981">
        <f>HYPERLINK("https://github.com/square/okhttp/blob/master/okcurl/src/main/kotlin/okhttp3/curl/MainCommandLine.kt")</f>
        <v/>
      </c>
      <c r="D981" t="inlineStr">
        <is>
          <t>The code defines a simple command-line tool that uses the `Main` class from the `okhttp3.curl` package. The `main` function calls `Main().main(args)` to execute the application's logic and then exits the process with a status code of 0. This setup allows users to run the tool via the command line interface.</t>
        </is>
      </c>
      <c r="E981" t="n">
        <v>0.0044</v>
      </c>
      <c r="F981" t="n">
        <v>0.0635</v>
      </c>
      <c r="G981" t="n">
        <v>0.123</v>
      </c>
      <c r="H981" t="inlineStr">
        <is>
          <t>The code defines a `main` function that initializes and runs the `Main` class from the `okhttp3.curl` package using the `kotlin.system.exitProcess(0)` method after execution. The README describes it as containing backend software components and mentions implementing core algorithms. Complexity is rated as O(N), but without more context, it's unclear what N refers to. Code size is</t>
        </is>
      </c>
      <c r="I981" t="n">
        <v>0.0044</v>
      </c>
      <c r="J981" t="n">
        <v>0.08699999999999999</v>
      </c>
      <c r="K981" t="n">
        <v>0.2929</v>
      </c>
      <c r="L981" t="inlineStr">
        <is>
          <t>The code defines a simple command-line interface using the `kotlinx-cli` library to execute the `Main` class from the `okhttp3.curl` package. It initializes the CLI application and exits after execution.</t>
        </is>
      </c>
      <c r="M981" t="n">
        <v>0.0065</v>
      </c>
      <c r="N981" t="n">
        <v>0.05</v>
      </c>
      <c r="O981" t="n">
        <v>0.099</v>
      </c>
    </row>
    <row r="982">
      <c r="A982" t="inlineStr">
        <is>
          <t>okhttp</t>
        </is>
      </c>
      <c r="B982" t="inlineStr">
        <is>
          <t>okcurl/src/main/kotlin/okhttp3/curl/Main.kt</t>
        </is>
      </c>
      <c r="C982">
        <f>HYPERLINK("https://github.com/square/okhttp/blob/master/okcurl/src/main/kotlin/okhttp3/curl/Main.kt")</f>
        <v/>
      </c>
      <c r="D982" t="inlineStr">
        <is>
          <t>The provided code is a command-line interface tool written using the `clikt` library in Kotlin. It allows users to interact with HTTP requests through various options such as specifying URLs, adding headers, handling authentication, and more. The tool supports basic HTTP methods like GET, POST, PUT, DELETE, etc., and can also handle SSL/TLS connections securely. The complexity of the implementation is O(N</t>
        </is>
      </c>
      <c r="E982" t="n">
        <v>0.0029</v>
      </c>
      <c r="F982" t="n">
        <v>0.0274</v>
      </c>
      <c r="G982" t="n">
        <v>0.1119</v>
      </c>
      <c r="H982" t="inlineStr">
        <is>
          <t>The provided code implements a command-line tool using the `clikt` library that processes input arguments related to HTTP requests. It includes options for specifying URLs, methods, headers, and other parameters. The complexity is high due to the extensive handling of various command-line inputs and configurations.</t>
        </is>
      </c>
      <c r="I982" t="n">
        <v>0.0049</v>
      </c>
      <c r="J982" t="n">
        <v>0.0727</v>
      </c>
      <c r="K982" t="n">
        <v>0.1282</v>
      </c>
      <c r="L982" t="inlineStr">
        <is>
          <t>This Java-based command-line tool uses the `com.github.ajalt.clikt` library to parse command line arguments and execute HTTP requests using OkHttp. It supports various options such as specifying URLs, methods, headers, and output formats, allowing users to interactively test and debug network interactions. The tool provides flexibility in handling different types of HTTP requests and can be used for both development and testing purposes</t>
        </is>
      </c>
      <c r="M982" t="n">
        <v>0.0035</v>
      </c>
      <c r="N982" t="n">
        <v>0.0533</v>
      </c>
      <c r="O982" t="n">
        <v>0.1119</v>
      </c>
    </row>
    <row r="983">
      <c r="A983" t="inlineStr">
        <is>
          <t>okhttp</t>
        </is>
      </c>
      <c r="B983" t="inlineStr">
        <is>
          <t>okcurl/src/main/kotlin/okhttp3/curl/logging/MessageFormatter.kt</t>
        </is>
      </c>
      <c r="C983">
        <f>HYPERLINK("https://github.com/square/okhttp/blob/master/okcurl/src/main/kotlin/okhttp3/curl/logging/MessageFormatter.kt")</f>
        <v/>
      </c>
      <c r="D983" t="inlineStr">
        <is>
          <t>The provided code defines a custom `MessageFormatter` class that extends Java's `SimpleFormatter`. This formatter formats log records by simply returning the message part without any additional formatting. The class is part of a larger project related to HTTP client libraries and logging mechanisms. It includes comments explaining its purpose and usage within the context of the overall system architecture.</t>
        </is>
      </c>
      <c r="E983" t="n">
        <v>0.0037</v>
      </c>
      <c r="F983" t="n">
        <v>0.0588</v>
      </c>
      <c r="G983" t="n">
        <v>0.1145</v>
      </c>
      <c r="H983" t="inlineStr">
        <is>
          <t>This repository contains backend software components that implement core algorithms using Java's `java.util.logging` package. The `MessageFormatter` class formats log records into strings without additional formatting. Complexity is O(N), where N represents the number of log messages processed.</t>
        </is>
      </c>
      <c r="I983" t="n">
        <v>0.0066</v>
      </c>
      <c r="J983" t="n">
        <v>0.1633</v>
      </c>
      <c r="K983" t="n">
        <v>0.3413</v>
      </c>
      <c r="L983" t="inlineStr">
        <is>
          <t>This Kotlin class `MessageFormatter` extends `SimpleFormatter` from Java's logging package to customize log message formatting for OkHttp's Curl logging component. It overrides the `format` method to simply return the log message without any additional prefix or suffix, providing a clean output suitable for debugging purposes within the OkHttp framework.</t>
        </is>
      </c>
      <c r="M983" t="n">
        <v>0.0037</v>
      </c>
      <c r="N983" t="n">
        <v>0.0339</v>
      </c>
      <c r="O983" t="n">
        <v>0.0413</v>
      </c>
    </row>
    <row r="984">
      <c r="A984" t="inlineStr">
        <is>
          <t>okhttp</t>
        </is>
      </c>
      <c r="B984" t="inlineStr">
        <is>
          <t>okcurl/src/main/kotlin/okhttp3/curl/logging/LoggingUtil.kt</t>
        </is>
      </c>
      <c r="C984">
        <f>HYPERLINK("https://github.com/square/okhttp/blob/master/okcurl/src/main/kotlin/okhttp3/curl/logging/LoggingUtil.kt")</f>
        <v/>
      </c>
      <c r="D984" t="inlineStr">
        <is>
          <t>The `LoggingUtil` class provides utility functions for configuring logging in Java applications using the SLF4J facade over Logback. It includes methods to enable or disable debugging output and optionally log HTTP/2 frames. The class uses Java's built-in logging framework (`java.util.logging`) to handle logging messages.</t>
        </is>
      </c>
      <c r="E984" t="n">
        <v>0.0042</v>
      </c>
      <c r="F984" t="n">
        <v>0.0702</v>
      </c>
      <c r="G984" t="n">
        <v>0.0862</v>
      </c>
      <c r="H984" t="inlineStr">
        <is>
          <t>This repository contains backend software components that implement core algorithms. The complexity is O(N), indicating linear time complexity for certain operations. The code size is 1000 lines, which suggests it includes multiple modules and classes.</t>
        </is>
      </c>
      <c r="I984" t="n">
        <v>0.0075</v>
      </c>
      <c r="J984" t="n">
        <v>0.2273</v>
      </c>
      <c r="K984" t="n">
        <v>0.3985</v>
      </c>
      <c r="L984" t="inlineStr">
        <is>
          <t>The `LoggingUtil` class provides methods to configure logging settings for OkHttpClient's HTTP/2 implementation using Java's built-in logging framework. It allows enabling or disabling debugging output and optionally showing detailed HTTP/2 frames. The configuration affects all instances of `Http2`.</t>
        </is>
      </c>
      <c r="M984" t="n">
        <v>0.0049</v>
      </c>
      <c r="N984" t="n">
        <v>0.0784</v>
      </c>
      <c r="O984" t="n">
        <v>0.1364</v>
      </c>
    </row>
    <row r="985">
      <c r="A985" t="inlineStr">
        <is>
          <t>okhttp</t>
        </is>
      </c>
      <c r="B985" t="inlineStr">
        <is>
          <t>okcurl/src/main/kotlin/okhttp3/curl/logging/OneLineLogFormat.kt</t>
        </is>
      </c>
      <c r="C985">
        <f>HYPERLINK("https://github.com/square/okhttp/blob/master/okcurl/src/main/kotlin/okhttp3/curl/logging/OneLineLogFormat.kt")</f>
        <v/>
      </c>
      <c r="D985" t="inlineStr">
        <is>
          <t>The provided Java code defines a class `OkHttpLogging` within the package `okhttp3.curl.logging`. This class appears to be part of a logging utility used in the OkHttp library, which is designed to log HTTP requests and responses. The class includes methods for formatting timestamps and printing logs using a `PrintWriter`.
Key functionalities include:
1. **Timestamp Formatting**: It uses Java's</t>
        </is>
      </c>
      <c r="E985" t="n">
        <v>0.0037</v>
      </c>
      <c r="F985" t="n">
        <v>0.058</v>
      </c>
      <c r="G985" t="n">
        <v>0.1154</v>
      </c>
      <c r="H985" t="inlineStr">
        <is>
          <t>Implements core algorithms for backend software components. Complexity is O(N).</t>
        </is>
      </c>
      <c r="I985" t="n">
        <v>0.0251</v>
      </c>
      <c r="J985" t="n">
        <v>0.2105</v>
      </c>
      <c r="K985" t="n">
        <v>0.3117</v>
      </c>
      <c r="L985" t="inlineStr">
        <is>
          <t>This Java class provides logging capabilities for HTTP requests using cURL syntax. It formats request details such as timestamp, method, URL, headers, and body into human-readable strings suitable for debugging purposes. The implementation uses Java's `Instant` and `DateTimeFormatterBuilder` to format timestamps accurately.</t>
        </is>
      </c>
      <c r="M985" t="n">
        <v>0.0052</v>
      </c>
      <c r="N985" t="n">
        <v>0.1154</v>
      </c>
      <c r="O985" t="n">
        <v>0.1754</v>
      </c>
    </row>
    <row r="986">
      <c r="A986" t="inlineStr">
        <is>
          <t>okhttp</t>
        </is>
      </c>
      <c r="B986" t="inlineStr">
        <is>
          <t>okcurl/src/main/kotlin/okhttp3/curl/internal/-MainCommon.kt</t>
        </is>
      </c>
      <c r="C986">
        <f>HYPERLINK("https://github.com/square/okhttp/blob/master/okcurl/src/main/kotlin/okhttp3/curl/internal/-MainCommon.kt")</f>
        <v/>
      </c>
      <c r="D986" t="inlineStr">
        <is>
          <t>The provided Kotlin code defines a function `commonCreateRequest` within the package `okhttp3.curl.internal`. This function creates an HTTP request using OkHttp library. It constructs a simple GET request without any body content. The method returns an instance of `Request`, which includes details such as the URL and media type. The function uses Java's `IOException` handling and OkHttp's `MediaType</t>
        </is>
      </c>
      <c r="E986" t="n">
        <v>0.0038</v>
      </c>
      <c r="F986" t="n">
        <v>0.08699999999999999</v>
      </c>
      <c r="G986" t="n">
        <v>0.1163</v>
      </c>
      <c r="H986" t="inlineStr">
        <is>
          <t>This repository contains backend software components implementing core algorithms. The complexity is O(N), indicating linear time complexity for certain operations.</t>
        </is>
      </c>
      <c r="I986" t="n">
        <v>0.0127</v>
      </c>
      <c r="J986" t="n">
        <v>0.2759</v>
      </c>
      <c r="K986" t="n">
        <v>0.3431</v>
      </c>
      <c r="L986" t="inlineStr">
        <is>
          <t>The `commonCreateRequest` function within the `okhttp3.curl.internal` package generates a standard HTTP request using OkHttp's API. It constructs a `Request.Builder`, sets the URL from the current instance (`this.url`), adds headers based on the configuration (`headers`), specifies the content type if available (`contentType`), and creates a body if necessary (`body`). The method returns</t>
        </is>
      </c>
      <c r="M986" t="n">
        <v>0.0036</v>
      </c>
      <c r="N986" t="n">
        <v>0.0625</v>
      </c>
      <c r="O986" t="n">
        <v>0.0813</v>
      </c>
    </row>
    <row r="987">
      <c r="A987" t="inlineStr">
        <is>
          <t>okhttp</t>
        </is>
      </c>
      <c r="B987" t="inlineStr">
        <is>
          <t>okcurl/src/test/kotlin/okhttp3/curl/MainTest.kt</t>
        </is>
      </c>
      <c r="C987">
        <f>HYPERLINK("https://github.com/square/okhttp/blob/master/okcurl/src/test/kotlin/okhttp3/curl/MainTest.kt")</f>
        <v/>
      </c>
      <c r="D987" t="inlineStr">
        <is>
          <t>The `MainTest` class contains a test function named `simple` that uses the `fromArgs` method to create an HTTP request object from command-line arguments and then calls the `createRequest` method to generate the actual request. The test checks if the generated request URL starts with "http://" and does not contain any null values.</t>
        </is>
      </c>
      <c r="E987" t="n">
        <v>0.0035</v>
      </c>
      <c r="F987" t="n">
        <v>0.06560000000000001</v>
      </c>
      <c r="G987" t="n">
        <v>0.0806</v>
      </c>
      <c r="H987" t="inlineStr">
        <is>
          <t>This repository contains backend software components that implement core algorithms. The complexity of these implementations is O(N), indicating they scale linearly with input size. The codebase includes tests using AssertK assertions and CLIKT for command-line argument parsing. The repository has been initialized with an initial codebase commit.</t>
        </is>
      </c>
      <c r="I987" t="n">
        <v>0.0055</v>
      </c>
      <c r="J987" t="n">
        <v>0.1754</v>
      </c>
      <c r="K987" t="n">
        <v>0.2521</v>
      </c>
      <c r="L987" t="inlineStr">
        <is>
          <t>The `MainTest` class contains unit tests that verify the functionality of the `fromArgs` method within the `okhttp3.curl.Main` package. The test checks if the method correctly parses command-line arguments into a `RequestBody`, ensuring that the URL is extracted properly and that no additional parameters are included.</t>
        </is>
      </c>
      <c r="M987" t="n">
        <v>0.0049</v>
      </c>
      <c r="N987" t="n">
        <v>0.07140000000000001</v>
      </c>
      <c r="O987" t="n">
        <v>0.08550000000000001</v>
      </c>
    </row>
    <row r="988">
      <c r="A988" t="inlineStr">
        <is>
          <t>okhttp</t>
        </is>
      </c>
      <c r="B988" t="inlineStr">
        <is>
          <t>build-logic/src/main/kotlin/Osgi.kt</t>
        </is>
      </c>
      <c r="C988">
        <f>HYPERLINK("https://github.com/square/okhttp/blob/master/build-logic/src/main/kotlin/Osgi.kt")</f>
        <v/>
      </c>
      <c r="D988" t="inlineStr">
        <is>
          <t>The provided code defines a plugin that extends BND tasks in a Gradle project to create JAR files from source sets. It includes dependencies for version catalogs and source set management. The complexity is O(N), where N represents the number of source sets being processed. The implementation focuses on creating JAR artifacts for different modules within the project.</t>
        </is>
      </c>
      <c r="E988" t="n">
        <v>0.0031</v>
      </c>
      <c r="F988" t="n">
        <v>0.0299</v>
      </c>
      <c r="G988" t="n">
        <v>0.1154</v>
      </c>
      <c r="H988" t="inlineStr">
        <is>
          <t>This repository contains backend software components that implement core algorithms. The complexity of the implementation is O(N), indicating linear time complexity. The code size is 1000 lines, making it relatively large.</t>
        </is>
      </c>
      <c r="I988" t="n">
        <v>0.007900000000000001</v>
      </c>
      <c r="J988" t="n">
        <v>0.2</v>
      </c>
      <c r="K988" t="n">
        <v>0.1942</v>
      </c>
      <c r="L988" t="inlineStr">
        <is>
          <t>This Java project uses BND Gradle plugin to create JAR files from specified source sets. It includes dependencies defined in a version catalog and manages build configurations through extension-aware plugins. The code size is 1000 lines, focusing on implementing core algorithms for backend software components.</t>
        </is>
      </c>
      <c r="M988" t="n">
        <v>0.0058</v>
      </c>
      <c r="N988" t="n">
        <v>0.1111</v>
      </c>
      <c r="O988" t="n">
        <v>0.3644</v>
      </c>
    </row>
    <row r="989">
      <c r="A989" t="inlineStr">
        <is>
          <t>okhttp</t>
        </is>
      </c>
      <c r="B989" t="inlineStr">
        <is>
          <t>build-logic/src/main/kotlin/JavaModules.kt</t>
        </is>
      </c>
      <c r="C989">
        <f>HYPERLINK("https://github.com/square/okhttp/blob/master/build-logic/src/main/kotlin/JavaModules.kt")</f>
        <v/>
      </c>
      <c r="D989" t="inlineStr">
        <is>
          <t>The provided code defines a Gradle plugin that configures Java projects to support multi-release JARs using the `MultiReleaseExtension`. It includes tasks for compiling Kotlin and Java source files with appropriate settings based on the project's target JVM version. The complexity of the implementation is O(1), as it involves basic configuration tasks without complex computations.</t>
        </is>
      </c>
      <c r="E989" t="n">
        <v>0.0034</v>
      </c>
      <c r="F989" t="n">
        <v>0.0308</v>
      </c>
      <c r="G989" t="n">
        <v>0.119</v>
      </c>
      <c r="H989" t="inlineStr">
        <is>
          <t>The repository contains backend software components implementing core algorithms. The complexity is O(N), indicating linear time complexity.</t>
        </is>
      </c>
      <c r="I989" t="n">
        <v>0.0137</v>
      </c>
      <c r="J989" t="n">
        <v>0.2308</v>
      </c>
      <c r="K989" t="n">
        <v>0.2871</v>
      </c>
      <c r="L989" t="inlineStr">
        <is>
          <t>This Java project uses Gradle plugins to configure multi-release JARs and Kotlin compilation tasks. It includes configurations for Java and Kotlin compilers, as well as task dependencies between them. The `MultiReleaseExtension` allows for building different versions of a library based on the target JDK version. The project size is approximately 1000 lines, and existing comments indicate that it implements core algorithms related to</t>
        </is>
      </c>
      <c r="M989" t="n">
        <v>0.0073</v>
      </c>
      <c r="N989" t="n">
        <v>0.0833</v>
      </c>
      <c r="O989" t="n">
        <v>0.2756</v>
      </c>
    </row>
    <row r="990">
      <c r="A990" t="inlineStr">
        <is>
          <t>okhttp</t>
        </is>
      </c>
      <c r="B990" t="inlineStr">
        <is>
          <t>build-logic/src/main/kotlin/AlpnVersions.kt</t>
        </is>
      </c>
      <c r="C990">
        <f>HYPERLINK("https://github.com/square/okhttp/blob/master/build-logic/src/main/kotlin/AlpnVersions.kt")</f>
        <v/>
      </c>
      <c r="D990" t="inlineStr">
        <is>
          <t>The provided code defines a function `alpnBootVersionForPatchVersion` that maps patch versions to corresponding ALPN boot version strings based on a switch statement. The function returns the appropriate version string if the input patch version falls within specified ranges; otherwise, it returns null. This function is part of a larger project related to backend software components, which has a complexity of O(1) due to</t>
        </is>
      </c>
      <c r="E990" t="n">
        <v>0.0034</v>
      </c>
      <c r="F990" t="n">
        <v>0.0556</v>
      </c>
      <c r="G990" t="n">
        <v>0.1111</v>
      </c>
      <c r="H990" t="inlineStr">
        <is>
          <t>The repository contains backend software components implementing core algorithms. The complexity is O(N), indicating linear time complexity, and it includes comments explaining the implementation. The code size is 1000 lines.</t>
        </is>
      </c>
      <c r="I990" t="n">
        <v>0.008200000000000001</v>
      </c>
      <c r="J990" t="n">
        <v>0.2051</v>
      </c>
      <c r="K990" t="n">
        <v>0.3094</v>
      </c>
      <c r="L990" t="inlineStr">
        <is>
          <t>The code defines a function `alpnBootVersionForPatchVersion` that maps patch versions to corresponding ALPN boot version strings based on predefined ranges. The function uses a series of `when` statements to determine the appropriate version string based on the input patch version.</t>
        </is>
      </c>
      <c r="M990" t="n">
        <v>0</v>
      </c>
      <c r="N990" t="n">
        <v>0.0417</v>
      </c>
      <c r="O990" t="n">
        <v>0.0446</v>
      </c>
    </row>
    <row r="991">
      <c r="A991" t="inlineStr">
        <is>
          <t>okhttp</t>
        </is>
      </c>
      <c r="B991" t="inlineStr">
        <is>
          <t>build-logic/src/main/kotlin/BndBuildAction.kt</t>
        </is>
      </c>
      <c r="C991">
        <f>HYPERLINK("https://github.com/square/okhttp/blob/master/build-logic/src/main/kotlin/BndBuildAction.kt")</f>
        <v/>
      </c>
      <c r="D991" t="inlineStr">
        <is>
          <t>The provided code is part of a Java project that uses BND (Build and Run Environment), a tool for building OSGi bundles. It includes classes for handling bundle tasks, processing manifests, and managing versioning using Maven versions. The complexity is O(N), indicating linear time operations based on input size N. The comments describe the implementation of core algorithms, while the README provides information about the repository</t>
        </is>
      </c>
      <c r="E991" t="n">
        <v>0.0033</v>
      </c>
      <c r="F991" t="n">
        <v>0.0533</v>
      </c>
      <c r="G991" t="n">
        <v>0.1449</v>
      </c>
      <c r="H991" t="inlineStr">
        <is>
          <t>Manages backend software components using BND tools. Complexity depends on project size.</t>
        </is>
      </c>
      <c r="I991" t="n">
        <v>0.017</v>
      </c>
      <c r="J991" t="n">
        <v>0.1</v>
      </c>
      <c r="K991" t="n">
        <v>0.119</v>
      </c>
      <c r="L991" t="inlineStr">
        <is>
          <t>The code implements a BND Gradle plugin that processes Java projects into JAR files. It uses BND's `Builder` class to create bundles from project sources, including dependencies and metadata specified in BND headers. The plugin generates a manifest file based on these headers and writes the resulting JARs to the output directory.</t>
        </is>
      </c>
      <c r="M991" t="n">
        <v>0.0042</v>
      </c>
      <c r="N991" t="n">
        <v>0.06560000000000001</v>
      </c>
      <c r="O991" t="n">
        <v>0.121</v>
      </c>
    </row>
    <row r="992">
      <c r="A992" t="inlineStr">
        <is>
          <t>okhttp</t>
        </is>
      </c>
      <c r="B992" t="inlineStr">
        <is>
          <t>build-logic/src/main/kotlin/okhttp3/buildsupport/OkHttpBuildUtils.kt</t>
        </is>
      </c>
      <c r="C992">
        <f>HYPERLINK("https://github.com/square/okhttp/blob/master/build-logic/src/main/kotlin/okhttp3/buildsupport/OkHttpBuildUtils.kt")</f>
        <v/>
      </c>
      <c r="D992" t="inlineStr">
        <is>
          <t>The provided code defines several properties for a Gradle project related to platform settings, test Java version, Android build configuration, and ALPN Boot version. It retrieves these values from project properties or defaults them if they are not set. The complexity is O(1) as it involves simple property lookups and conversions.</t>
        </is>
      </c>
      <c r="E992" t="n">
        <v>0.0036</v>
      </c>
      <c r="F992" t="n">
        <v>0.0333</v>
      </c>
      <c r="G992" t="n">
        <v>0.0407</v>
      </c>
      <c r="H992" t="inlineStr">
        <is>
          <t>This repository contains backend software components that implement core algorithms. The complexity of the implementation is O(N), indicating linear time complexity. The README provides information about the project's purpose and structure.</t>
        </is>
      </c>
      <c r="I992" t="n">
        <v>0.008500000000000001</v>
      </c>
      <c r="J992" t="n">
        <v>0.2439</v>
      </c>
      <c r="K992" t="n">
        <v>0.2427</v>
      </c>
      <c r="L992" t="inlineStr">
        <is>
          <t>The provided code defines extension properties for a Gradle project that retrieve platform-specific settings such as Java version and whether Android build support is enabled. These properties allow developers to access these configuration options easily within their build scripts.</t>
        </is>
      </c>
      <c r="M992" t="n">
        <v>0.0047</v>
      </c>
      <c r="N992" t="n">
        <v>0.0417</v>
      </c>
      <c r="O992" t="n">
        <v>0.045</v>
      </c>
    </row>
    <row r="993">
      <c r="A993" t="inlineStr">
        <is>
          <t>okhttp</t>
        </is>
      </c>
      <c r="B993" t="inlineStr">
        <is>
          <t>okhttp-sse/src/main/kotlin/okhttp3/sse/EventSourceListener.kt</t>
        </is>
      </c>
      <c r="C993">
        <f>HYPERLINK("https://github.com/square/okhttp/blob/master/okhttp-sse/src/main/kotlin/okhttp3/sse/EventSourceListener.kt")</f>
        <v/>
      </c>
      <c r="D993" t="inlineStr">
        <is>
          <t>The provided code defines an abstract class `EventSourceListener` that serves as a base for handling events from an event source connection. It includes two methods:
1. **onOpen**: This method is called when the event source is opened successfully. It takes parameters such as the `eventSource`, which represents the current state of the event source, and the `response`, which provides details about the server</t>
        </is>
      </c>
      <c r="E993" t="n">
        <v>0.0034</v>
      </c>
      <c r="F993" t="n">
        <v>0.0563</v>
      </c>
      <c r="G993" t="n">
        <v>0.0741</v>
      </c>
      <c r="H993" t="inlineStr">
        <is>
          <t>The repository contains backend software components that implement core algorithms. The complexity of the implementation is O(N), indicating linear time complexity relative to the input size.</t>
        </is>
      </c>
      <c r="I993" t="n">
        <v>0.0086</v>
      </c>
      <c r="J993" t="n">
        <v>0.1714</v>
      </c>
      <c r="K993" t="n">
        <v>0.1531</v>
      </c>
      <c r="L993" t="inlineStr">
        <is>
          <t>This abstract class defines listeners for handling events from server-sent events (SSE). It includes methods `onOpen` and `onEvent`, which are called when the connection opens and receives events respectively. The `onOpen` method takes an `EventSource` object and a `Response` object, while the `onEvent` method takes an `EventSource` object, optional `id`,</t>
        </is>
      </c>
      <c r="M993" t="n">
        <v>0.0044</v>
      </c>
      <c r="N993" t="n">
        <v>0.0678</v>
      </c>
      <c r="O993" t="n">
        <v>0.082</v>
      </c>
    </row>
    <row r="994">
      <c r="A994" t="inlineStr">
        <is>
          <t>okhttp</t>
        </is>
      </c>
      <c r="B994" t="inlineStr">
        <is>
          <t>okhttp-sse/src/main/kotlin/okhttp3/sse/EventSource.kt</t>
        </is>
      </c>
      <c r="C994">
        <f>HYPERLINK("https://github.com/square/okhttp/blob/master/okhttp-sse/src/main/kotlin/okhttp3/sse/EventSource.kt")</f>
        <v/>
      </c>
      <c r="D994" t="inlineStr">
        <is>
          <t>The provided code defines an `EventSource` interface in Java, which represents a server-sent events (SSE) connection. The interface includes methods to retrieve the original request that created the event source and to cancel it immediately. It also provides a nested `Factory` interface for creating instances of `EventSource`.</t>
        </is>
      </c>
      <c r="E994" t="n">
        <v>0.0039</v>
      </c>
      <c r="F994" t="n">
        <v>0.0357</v>
      </c>
      <c r="G994" t="n">
        <v>0.042</v>
      </c>
      <c r="H994" t="inlineStr">
        <is>
          <t>The repository contains backend software components implementing core algorithms. Complexity is O(N), indicating linear time complexity. Comments describe the implementation of these algorithms. The commits include an initial codebase commit. The total size of the codebase is 1000 lines.</t>
        </is>
      </c>
      <c r="I994" t="n">
        <v>0.0056</v>
      </c>
      <c r="J994" t="n">
        <v>0.125</v>
      </c>
      <c r="K994" t="n">
        <v>0.1351</v>
      </c>
      <c r="L994" t="inlineStr">
        <is>
          <t>The `EventSource` interface provides methods to interact with Server-Sent Events (SSE), allowing clients to receive real-time updates from servers. It includes methods to retrieve the originating request and to cancel the connection immediately. The factory interface allows creating instances of `EventSource`.</t>
        </is>
      </c>
      <c r="M994" t="n">
        <v>0.0045</v>
      </c>
      <c r="N994" t="n">
        <v>0.0392</v>
      </c>
      <c r="O994" t="n">
        <v>0.0442</v>
      </c>
    </row>
    <row r="995">
      <c r="A995" t="inlineStr">
        <is>
          <t>okhttp</t>
        </is>
      </c>
      <c r="B995" t="inlineStr">
        <is>
          <t>okhttp-sse/src/main/kotlin/okhttp3/sse/EventSources.kt</t>
        </is>
      </c>
      <c r="C995">
        <f>HYPERLINK("https://github.com/square/okhttp/blob/master/okhttp-sse/src/main/kotlin/okhttp3/sse/EventSources.kt")</f>
        <v/>
      </c>
      <c r="D995" t="inlineStr">
        <is>
          <t>The provided code defines a class `EventSources` within the package `okhttp3.sse`. It includes methods to create instances of `RealEventSource`, which is used for handling server-sent events using HTTP/2. The class is deprecated due to its internal nature and usage, but it provides a static factory method to create instances of `RealEventSource` from an `OkHttpClient`.</t>
        </is>
      </c>
      <c r="E995" t="n">
        <v>0.0034</v>
      </c>
      <c r="F995" t="n">
        <v>0.0308</v>
      </c>
      <c r="G995" t="n">
        <v>0.0794</v>
      </c>
      <c r="H995" t="inlineStr">
        <is>
          <t>This repository contains backend software components implementing core algorithms. The complexity of the implementation is O(N), indicating linear time complexity relative to input size N. The comments describe the implementation's purpose, which is to provide core algorithm implementations. The commits indicate that it was initially created. The total code size is 1000 lines.</t>
        </is>
      </c>
      <c r="I995" t="n">
        <v>0.0045</v>
      </c>
      <c r="J995" t="n">
        <v>0.127</v>
      </c>
      <c r="K995" t="n">
        <v>0.16</v>
      </c>
      <c r="L995" t="inlineStr">
        <is>
          <t>The `EventSources` class provides a factory method to create instances of `RealEventSource`, which handles server-sent events using OkHttp's client. The `createFactory` methods allow specifying an `OkHttpClient` instance, enabling event sources to communicate over HTTP(S).</t>
        </is>
      </c>
      <c r="M995" t="n">
        <v>0</v>
      </c>
      <c r="N995" t="n">
        <v>0</v>
      </c>
      <c r="O995" t="n">
        <v>0.0472</v>
      </c>
    </row>
    <row r="996">
      <c r="A996" t="inlineStr">
        <is>
          <t>okhttp</t>
        </is>
      </c>
      <c r="B996" t="inlineStr">
        <is>
          <t>okhttp-sse/src/main/kotlin/okhttp3/sse/internal/ServerSentEventReader.kt</t>
        </is>
      </c>
      <c r="C996">
        <f>HYPERLINK("https://github.com/square/okhttp/blob/master/okhttp-sse/src/main/kotlin/okhttp3/sse/internal/ServerSentEventReader.kt")</f>
        <v/>
      </c>
      <c r="D996" t="inlineStr">
        <is>
          <t>The `ServerSentEventReader` class reads server-sent events from a buffered source and processes them using a callback interface. It handles event IDs and updates them accordingly. The complexity is O(N), where N is the number of events read.</t>
        </is>
      </c>
      <c r="E996" t="n">
        <v>0.005</v>
      </c>
      <c r="F996" t="n">
        <v>0.0426</v>
      </c>
      <c r="G996" t="n">
        <v>0.0917</v>
      </c>
      <c r="H996" t="inlineStr">
        <is>
          <t>This repository contains backend software components implementing core algorithms. The complexity is O(N), indicating linear time complexity in relation to input size. Comments describe the implementation of key features. Initial codebase commit was made. The total code size is 1000 lines.</t>
        </is>
      </c>
      <c r="I996" t="n">
        <v>0.0059</v>
      </c>
      <c r="J996" t="n">
        <v>0.16</v>
      </c>
      <c r="K996" t="n">
        <v>0.177</v>
      </c>
      <c r="L996" t="inlineStr">
        <is>
          <t>The `ServerSentEventReader` class reads server-sent events from a buffered source and processes them using a callback interface. It maintains state such as the last event ID and handles various types of SSE messages including text, binary, and comments. The reader efficiently parses these events and invokes appropriate callbacks based on their content type.</t>
        </is>
      </c>
      <c r="M996" t="n">
        <v>0.0035</v>
      </c>
      <c r="N996" t="n">
        <v>0.0323</v>
      </c>
      <c r="O996" t="n">
        <v>0.08</v>
      </c>
    </row>
    <row r="997">
      <c r="A997" t="inlineStr">
        <is>
          <t>okhttp</t>
        </is>
      </c>
      <c r="B997" t="inlineStr">
        <is>
          <t>okhttp-sse/src/main/kotlin/okhttp3/sse/internal/RealEventSource.kt</t>
        </is>
      </c>
      <c r="C997">
        <f>HYPERLINK("https://github.com/square/okhttp/blob/master/okhttp-sse/src/main/kotlin/okhttp3/sse/internal/RealEventSource.kt")</f>
        <v/>
      </c>
      <c r="D997" t="inlineStr">
        <is>
          <t>The provided code defines a `RealEventSource` class that implements the `EventSource` interface from OkHttp's Server-Sent Events (SSE) library. It handles requests to establish an SSE connection using the given `Request`, processes incoming events through the specified `EventSourceListener`, and manages the lifecycle of the event source. The implementation includes methods for connecting, disconnecting, and handling responses</t>
        </is>
      </c>
      <c r="E997" t="n">
        <v>0.004</v>
      </c>
      <c r="F997" t="n">
        <v>0.0615</v>
      </c>
      <c r="G997" t="n">
        <v>0.1181</v>
      </c>
      <c r="H997" t="inlineStr">
        <is>
          <t>Implements a real-time event source using OkHttp library, handling HTTP requests and responses for server-sent events.</t>
        </is>
      </c>
      <c r="I997" t="n">
        <v>0.0123</v>
      </c>
      <c r="J997" t="n">
        <v>0.1538</v>
      </c>
      <c r="K997" t="n">
        <v>0.1705</v>
      </c>
      <c r="L997" t="inlineStr">
        <is>
          <t>The `RealEventSource` class implements the `EventSource` interface from OkHttp's Server-Sent Events (SSE) library. It handles the creation and management of SSE connections using an underlying HTTP call. The constructor takes a `Request` object specifying the URL and headers for the connection, as well as an `EventSourceListener` that defines how events should be processed once received. The</t>
        </is>
      </c>
      <c r="M997" t="n">
        <v>0.0039</v>
      </c>
      <c r="N997" t="n">
        <v>0.0606</v>
      </c>
      <c r="O997" t="n">
        <v>0.1172</v>
      </c>
    </row>
    <row r="998">
      <c r="A998" t="inlineStr">
        <is>
          <t>okhttp</t>
        </is>
      </c>
      <c r="B998" t="inlineStr">
        <is>
          <t>okhttp-sse/src/main/java9/module-info.java</t>
        </is>
      </c>
      <c r="C998">
        <f>HYPERLINK("https://github.com/square/okhttp/blob/master/okhttp-sse/src/main/java9/module-info.java")</f>
        <v/>
      </c>
      <c r="D998" t="inlineStr">
        <is>
          <t>The code defines a module named `okhttp3.sse` that depends on the `okhttp3` module and exports its package for use outside the module. The complexity is O(1) as it involves simple dependency management and package export operations.</t>
        </is>
      </c>
      <c r="E998" t="n">
        <v>0.0061</v>
      </c>
      <c r="F998" t="n">
        <v>0.08699999999999999</v>
      </c>
      <c r="G998" t="n">
        <v>0.1389</v>
      </c>
      <c r="H998" t="inlineStr">
        <is>
          <t>The code defines a module named `okhttp3.sse` that depends on the `okhttp3` module and exports its contents. The README indicates this is part of a larger backend software component with complexity O(N), comments describing implementation details, and commits tracking the initial creation of the codebase. The code size is 94 lines.</t>
        </is>
      </c>
      <c r="I998" t="n">
        <v>0.0047</v>
      </c>
      <c r="J998" t="n">
        <v>0.1311</v>
      </c>
      <c r="K998" t="n">
        <v>0.2439</v>
      </c>
      <c r="L998" t="inlineStr">
        <is>
          <t>The provided code defines a module named `okhttp3.sse` that depends on the `okhttp3` module and exports the package `okhttp3.sse`. This setup is part of a larger project focused on implementing server-sent events (SSE) handling using OkHttp library. The module declaration helps manage dependencies and visibility within the application's modular architecture.</t>
        </is>
      </c>
      <c r="M998" t="n">
        <v>0.0048</v>
      </c>
      <c r="N998" t="n">
        <v>0.0968</v>
      </c>
      <c r="O998" t="n">
        <v>0.2049</v>
      </c>
    </row>
    <row r="999">
      <c r="A999" t="inlineStr">
        <is>
          <t>okhttp</t>
        </is>
      </c>
      <c r="B999" t="inlineStr">
        <is>
          <t>okhttp-sse/src/test/java/okhttp3/sse/internal/EventSourceRecorder.kt</t>
        </is>
      </c>
      <c r="C999">
        <f>HYPERLINK("https://github.com/square/okhttp/blob/master/okhttp-sse/src/test/java/okhttp3/sse/internal/EventSourceRecorder.kt")</f>
        <v/>
      </c>
      <c r="D999" t="inlineStr">
        <is>
          <t>The provided code defines internal classes and methods related to Server-Sent Events (SSE) handling in OkHttp, a popular HTTP client library. It includes assertions for testing event source behavior, utility functions for managing queues, and platform-specific implementations. The complexity is O(N), indicating that certain operations might scale linearly with input size. The comments describe the implementation of core algorithms, while the README provides</t>
        </is>
      </c>
      <c r="E999" t="n">
        <v>0.0034</v>
      </c>
      <c r="F999" t="n">
        <v>0.0541</v>
      </c>
      <c r="G999" t="n">
        <v>0.1481</v>
      </c>
      <c r="H999" t="inlineStr">
        <is>
          <t>This repository contains backend software components implementing core algorithms. The complexity is O(N), indicating linear time complexity. The comments describe the implementation of these algorithms. The code size is 1000 lines.</t>
        </is>
      </c>
      <c r="I999" t="n">
        <v>0.007900000000000001</v>
      </c>
      <c r="J999" t="n">
        <v>0.2</v>
      </c>
      <c r="K999" t="n">
        <v>0.1942</v>
      </c>
      <c r="L999" t="inlineStr">
        <is>
          <t>This Java class provides internal support for handling Server-Sent Events (SSE) within OkHttp's HTTP client library. It includes methods for creating `EventSource` instances, managing event queues, and processing incoming SSE events. The implementation uses a linked blocking deque to store events and handles timeouts using a platform-specific mechanism.</t>
        </is>
      </c>
      <c r="M999" t="n">
        <v>0.0045</v>
      </c>
      <c r="N999" t="n">
        <v>0.1017</v>
      </c>
      <c r="O999" t="n">
        <v>0.1667</v>
      </c>
    </row>
    <row r="1000">
      <c r="A1000" t="inlineStr">
        <is>
          <t>okhttp</t>
        </is>
      </c>
      <c r="B1000" t="inlineStr">
        <is>
          <t>okhttp-sse/src/test/java/okhttp3/sse/internal/EventSourcesHttpTest.kt</t>
        </is>
      </c>
      <c r="C1000">
        <f>HYPERLINK("https://github.com/square/okhttp/blob/master/okhttp-sse/src/test/java/okhttp3/sse/internal/EventSourcesHttpTest.kt")</f>
        <v/>
      </c>
      <c r="D1000" t="inlineStr">
        <is>
          <t>The provided code appears to be part of OkHttp's implementation for Server-Sent Events (SSE). It includes tests that verify the `processResponse` method from the `EventSources` class using a MockWebServer to simulate server responses. The tests check if the response headers match expected values and ensure that the correct events are processed based on the event data received.</t>
        </is>
      </c>
      <c r="E1000" t="n">
        <v>0.0032</v>
      </c>
      <c r="F1000" t="n">
        <v>0.0597</v>
      </c>
      <c r="G1000" t="n">
        <v>0.1163</v>
      </c>
      <c r="H1000" t="inlineStr">
        <is>
          <t>The code implements core algorithms for a backend system. It includes assertions, mocking, and testing utilities for processing server-sent events using OkHttp's EventSource API. The complexity is high due to its extensive functionality and integration tests.</t>
        </is>
      </c>
      <c r="I1000" t="n">
        <v>0.0154</v>
      </c>
      <c r="J1000" t="n">
        <v>0.1739</v>
      </c>
      <c r="K1000" t="n">
        <v>0.3472</v>
      </c>
      <c r="L1000" t="inlineStr">
        <is>
          <t>This Java code snippet defines methods within the `EventSources` class that handle Server-Sent Events (SSE). The primary function is to process SSE responses from HTTP requests using OkHttp's `OkHttpClient`. It includes tests for processing SSE responses using MockWebServer.</t>
        </is>
      </c>
      <c r="M1000" t="n">
        <v>0.0049</v>
      </c>
      <c r="N1000" t="n">
        <v>0.0833</v>
      </c>
      <c r="O1000" t="n">
        <v>0.09089999999999999</v>
      </c>
    </row>
    <row r="1001">
      <c r="A1001" t="inlineStr">
        <is>
          <t>okhttp</t>
        </is>
      </c>
      <c r="B1001" t="inlineStr">
        <is>
          <t>okhttp-sse/src/test/java/okhttp3/sse/internal/EventSourceHttpTest.kt</t>
        </is>
      </c>
      <c r="C1001">
        <f>HYPERLINK("https://github.com/square/okhttp/blob/master/okhttp-sse/src/test/java/okhttp3/sse/internal/EventSourceHttpTest.kt")</f>
        <v/>
      </c>
      <c r="D1001" t="inlineStr">
        <is>
          <t>The provided code appears to be part of an implementation of server-sent events (SSE) handling using OkHttp library. It includes test cases that verify various aspects of SSE communication, such as call start/end events, connection end events, and response content parsing. The code uses MockWebServer for simulating HTTP requests and responses during testing.</t>
        </is>
      </c>
      <c r="E1001" t="n">
        <v>0.0035</v>
      </c>
      <c r="F1001" t="n">
        <v>0.0635</v>
      </c>
      <c r="G1001" t="n">
        <v>0.12</v>
      </c>
      <c r="H1001" t="inlineStr">
        <is>
          <t>Contains backend software components implementing core algorithms. Complexity is O(N). Comments describe implementation details. Initial codebase commit. Code size is 1000 lines.</t>
        </is>
      </c>
      <c r="I1001" t="n">
        <v>0.0103</v>
      </c>
      <c r="J1001" t="n">
        <v>0.1935</v>
      </c>
      <c r="K1001" t="n">
        <v>0.1596</v>
      </c>
      <c r="L1001" t="inlineStr">
        <is>
          <t>The code implements a simple server-sent events (SSE) client using OkHttp library. It includes tests to verify that the client can connect to a mock server, receive SSE events, and handle different call states such as start, end, and connect end. The implementation uses assertions from the AssertK library to validate the received events against expected values.</t>
        </is>
      </c>
      <c r="M1001" t="n">
        <v>0.0038</v>
      </c>
      <c r="N1001" t="n">
        <v>0.0606</v>
      </c>
      <c r="O1001" t="n">
        <v>0.1163</v>
      </c>
    </row>
    <row r="1002">
      <c r="A1002" t="inlineStr">
        <is>
          <t>okhttp</t>
        </is>
      </c>
      <c r="B1002" t="inlineStr">
        <is>
          <t>okhttp-sse/src/test/java/okhttp3/sse/internal/ServerSentEventIteratorTest.kt</t>
        </is>
      </c>
      <c r="C1002">
        <f>HYPERLINK("https://github.com/square/okhttp/blob/master/okhttp-sse/src/test/java/okhttp3/sse/internal/ServerSentEventIteratorTest.kt")</f>
        <v/>
      </c>
      <c r="D1002" t="inlineStr">
        <is>
          <t>The provided Java code defines a test class `ServerSentEventIteratorTest` that uses JUnit Jupiter to verify the functionality of a server-sent event iterator implementation. The test checks if the iterator correctly processes both events and retry changes from a buffer containing these elements. It uses assertions from the `assertk` library to ensure that the expected values are returned when iterating over the buffer.</t>
        </is>
      </c>
      <c r="E1002" t="n">
        <v>0.0035</v>
      </c>
      <c r="F1002" t="n">
        <v>0.0563</v>
      </c>
      <c r="G1002" t="n">
        <v>0.0746</v>
      </c>
      <c r="H1002" t="inlineStr">
        <is>
          <t>This repository contains backend software components that implement core algorithms. The complexity is O(N), indicating linear time complexity, which means the execution time increases linearly with the size of the input data. The comments provide detailed explanations of the implementation, while the commits document the initial creation of the codebase. The total code size is 1000 lines.</t>
        </is>
      </c>
      <c r="I1002" t="n">
        <v>0.0042</v>
      </c>
      <c r="J1002" t="n">
        <v>0.1212</v>
      </c>
      <c r="K1002" t="n">
        <v>0.2447</v>
      </c>
      <c r="L1002" t="inlineStr">
        <is>
          <t>The `ServerSentEventIterator` class tests the iteration over server-sent event streams using JUnit Jupiter. It verifies that the iterator correctly processes both regular events and retry updates, ensuring they are handled appropriately without errors. The test suite includes assertions to check if the deque containing events remains empty after processing all elements and if each event's data matches expected values.</t>
        </is>
      </c>
      <c r="M1002" t="n">
        <v>0.0031</v>
      </c>
      <c r="N1002" t="n">
        <v>0.029</v>
      </c>
      <c r="O1002" t="n">
        <v>0.07630000000000001</v>
      </c>
    </row>
    <row r="1003">
      <c r="A1003" t="inlineStr">
        <is>
          <t>okhttp</t>
        </is>
      </c>
      <c r="B1003" t="inlineStr">
        <is>
          <t>okhttp-sse/src/test/java/okhttp3/sse/internal/Event.kt</t>
        </is>
      </c>
      <c r="C1003">
        <f>HYPERLINK("https://github.com/square/okhttp/blob/master/okhttp-sse/src/test/java/okhttp3/sse/internal/Event.kt")</f>
        <v/>
      </c>
      <c r="D1003" t="inlineStr">
        <is>
          <t>The provided code defines a `data` class named `Event` within the package `okhttp3.sse.internal`. This class represents an event object that includes three properties:
1. **id**: A nullable string representing an identifier for the event.
2. **type**: A nullable string indicating the type of the event.
3. **data**: A non-null string containing the actual data associated with</t>
        </is>
      </c>
      <c r="E1003" t="n">
        <v>0.0033</v>
      </c>
      <c r="F1003" t="n">
        <v>0.0299</v>
      </c>
      <c r="G1003" t="n">
        <v>0.0391</v>
      </c>
      <c r="H1003" t="inlineStr">
        <is>
          <t>The provided code defines a `Event` data class within the `okhttp3.sse.internal` package. The class has three properties: `id`, `type`, and `data`. It represents an event object used in server-sent events (SSE). The README indicates that this repository contains backend software components and provides details about its complexity, comments, commits, and size.</t>
        </is>
      </c>
      <c r="I1003" t="n">
        <v>0.0043</v>
      </c>
      <c r="J1003" t="n">
        <v>0.0968</v>
      </c>
      <c r="K1003" t="n">
        <v>0.1626</v>
      </c>
      <c r="L1003" t="inlineStr">
        <is>
          <t>The `Event` class represents an event object used internally within OkHttp's Server-Sent Events (SSE) implementation. It encapsulates three properties: `id`, `type`, and `data`. The `id` property holds an optional identifier for the event, while `type` holds an optional string that describes the nature of the event. The `data` property stores the actual content of</t>
        </is>
      </c>
      <c r="M1003" t="n">
        <v>0.0034</v>
      </c>
      <c r="N1003" t="n">
        <v>0.0625</v>
      </c>
      <c r="O1003" t="n">
        <v>0.0794</v>
      </c>
    </row>
    <row r="1004">
      <c r="A1004" t="inlineStr">
        <is>
          <t>okhttp</t>
        </is>
      </c>
      <c r="B1004" t="inlineStr">
        <is>
          <t>okhttp-idna-mapping-table/src/main/kotlin/okhttp3/internal/idn/MappedRange.kt</t>
        </is>
      </c>
      <c r="C1004">
        <f>HYPERLINK("https://github.com/square/okhttp/blob/master/okhttp-idna-mapping-table/src/main/kotlin/okhttp3/internal/idn/MappedRange.kt")</f>
        <v/>
      </c>
      <c r="D1004" t="inlineStr">
        <is>
          <t>The provided Kotlin code defines a sealed interface `MappedRange` with two implementations: `Constant`. The `Constant` implementation includes fields for `rangeStart`, `type`, and `b1`. It also provides a getter method for `b1` based on the value of `type`. This code appears to be part of a larger project related to IDN (Internationalized Domain Names) handling within</t>
        </is>
      </c>
      <c r="E1004" t="n">
        <v>0.004</v>
      </c>
      <c r="F1004" t="n">
        <v>0.0635</v>
      </c>
      <c r="G1004" t="n">
        <v>0.1575</v>
      </c>
      <c r="H1004" t="inlineStr">
        <is>
          <t>This repository contains backend software components that implement core algorithms. The complexity of these implementations is O(N), indicating they process linearly proportional to the input size. The comments provide details about the implementation's purpose and structure.</t>
        </is>
      </c>
      <c r="I1004" t="n">
        <v>0.0073</v>
      </c>
      <c r="J1004" t="n">
        <v>0.2174</v>
      </c>
      <c r="K1004" t="n">
        <v>0.2315</v>
      </c>
      <c r="L1004" t="inlineStr">
        <is>
          <t>This Kotlin code defines a sealed interface `MappedRange` that represents ranges of characters mapped from one character set to another. The interface includes a constant implementation where each character has a start index and a type indicating whether it should be ignored, validated, or disallowed during IDN (Internationalized Domain Names) processing.</t>
        </is>
      </c>
      <c r="M1004" t="n">
        <v>0.0043</v>
      </c>
      <c r="N1004" t="n">
        <v>0.1017</v>
      </c>
      <c r="O1004" t="n">
        <v>0.1626</v>
      </c>
    </row>
    <row r="1005">
      <c r="A1005" t="inlineStr">
        <is>
          <t>okhttp</t>
        </is>
      </c>
      <c r="B1005" t="inlineStr">
        <is>
          <t>okhttp-idna-mapping-table/src/main/kotlin/okhttp3/internal/idn/IdnaMappingTableData.kt</t>
        </is>
      </c>
      <c r="C1005">
        <f>HYPERLINK("https://github.com/square/okhttp/blob/master/okhttp-idna-mapping-table/src/main/kotlin/okhttp3/internal/idn/IdnaMappingTableData.kt")</f>
        <v/>
      </c>
      <c r="D1005" t="inlineStr">
        <is>
          <t>The provided code defines a class `IdnaMappingTableData` that encapsulates data used to construct an IDNA mapping table. The class has three properties:
1. **sections**: A string containing section information for the IDNA mapping table.
2. **ranges**: A string specifying ranges within which certain characters should be mapped.
3. **mappings**: A string detailing how characters should be transformed</t>
        </is>
      </c>
      <c r="E1005" t="n">
        <v>0</v>
      </c>
      <c r="F1005" t="n">
        <v>0</v>
      </c>
      <c r="G1005" t="n">
        <v>0.0388</v>
      </c>
      <c r="H1005" t="inlineStr">
        <is>
          <t>This repository contains backend software components that implement core algorithms. The complexity is O(N), indicating linear time performance relative to the input size. The README provides information about the project's purpose and structure.</t>
        </is>
      </c>
      <c r="I1005" t="n">
        <v>0.008</v>
      </c>
      <c r="J1005" t="n">
        <v>0.2326</v>
      </c>
      <c r="K1005" t="n">
        <v>0.3543</v>
      </c>
      <c r="L1005" t="inlineStr">
        <is>
          <t>The `IdnaMappingTableData` class represents data used to construct an IDNA mapping table, which maps domain names from their ASCII representation to their Unicode equivalent using the Internationalized Domain Names (IDNA) standard. The class includes three strings: `sections`, `ranges`, and `mappings`, each containing different parts of the IDNA mapping process.</t>
        </is>
      </c>
      <c r="M1005" t="n">
        <v>0.0037</v>
      </c>
      <c r="N1005" t="n">
        <v>0.0351</v>
      </c>
      <c r="O1005" t="n">
        <v>0.08260000000000001</v>
      </c>
    </row>
    <row r="1006">
      <c r="A1006" t="inlineStr">
        <is>
          <t>okhttp</t>
        </is>
      </c>
      <c r="B1006" t="inlineStr">
        <is>
          <t>okhttp-idna-mapping-table/src/main/kotlin/okhttp3/internal/idn/GenerateIdnaMappingTableCode.kt</t>
        </is>
      </c>
      <c r="C1006">
        <f>HYPERLINK("https://github.com/square/okhttp/blob/master/okhttp-idna-mapping-table/src/main/kotlin/okhttp3/internal/idn/GenerateIdnaMappingTableCode.kt")</f>
        <v/>
      </c>
      <c r="D1006" t="inlineStr">
        <is>
          <t>The provided Kotlin code generates a Java class named `IdnaMappingTable` from IDNA mapping table data. It uses KotlinPoet to create the class definition and properties based on the input data. The function `loadIdnaMappingTableData()` is responsible for loading the necessary data, which is then used to populate the class's properties. This process involves parsing the data and constructing the corresponding Java</t>
        </is>
      </c>
      <c r="E1006" t="n">
        <v>0.0036</v>
      </c>
      <c r="F1006" t="n">
        <v>0.058</v>
      </c>
      <c r="G1006" t="n">
        <v>0.1136</v>
      </c>
      <c r="H1006" t="inlineStr">
        <is>
          <t>This repository contains backend software components implementing core algorithms. The complexity is O(N), indicating linear time performance relative to input size. The implementation includes comments explaining key functionalities and commits detailing the initial creation of the codebase. The total code size is 1000 lines.</t>
        </is>
      </c>
      <c r="I1006" t="n">
        <v>0.0059</v>
      </c>
      <c r="J1006" t="n">
        <v>0.2264</v>
      </c>
      <c r="K1006" t="n">
        <v>0.3676</v>
      </c>
      <c r="L1006" t="inlineStr">
        <is>
          <t>The provided Kotlin code generates a Java class that maps Internationalized Domain Names (IDNs) to their ASCII-compatible equivalents using the IDNA mapping table data loaded from a specified input file. The generated class includes properties representing each character's corresponding ASCII representation based on the IDN rules defined in the table.</t>
        </is>
      </c>
      <c r="M1006" t="n">
        <v>0</v>
      </c>
      <c r="N1006" t="n">
        <v>0</v>
      </c>
      <c r="O1006" t="n">
        <v>0.041</v>
      </c>
    </row>
    <row r="1007">
      <c r="A1007" t="inlineStr">
        <is>
          <t>okhttp</t>
        </is>
      </c>
      <c r="B1007" t="inlineStr">
        <is>
          <t>okhttp-idna-mapping-table/src/main/kotlin/okhttp3/internal/idn/MappingTables.kt</t>
        </is>
      </c>
      <c r="C1007">
        <f>HYPERLINK("https://github.com/square/okhttp/blob/master/okhttp-idna-mapping-table/src/main/kotlin/okhttp3/internal/idn/MappingTables.kt")</f>
        <v/>
      </c>
      <c r="D1007" t="inlineStr">
        <is>
          <t>The provided Kotlin code defines a function `buildIdnaMappingTableData` that processes a `SimpleIdnaMappingTable`, merges adjacent ranges, removes section spans, and then constructs an `IdnaMappingTableData` object. The complexity of this operation is O(N), where N is the number of mappings in the input table. This function is part of a larger system designed to handle Internationalized</t>
        </is>
      </c>
      <c r="E1007" t="n">
        <v>0.004</v>
      </c>
      <c r="F1007" t="n">
        <v>0.0635</v>
      </c>
      <c r="G1007" t="n">
        <v>0.119</v>
      </c>
      <c r="H1007" t="inlineStr">
        <is>
          <t>This repository contains backend software components implementing core algorithms. The complexity is O(N), and it includes comments explaining the implementation.</t>
        </is>
      </c>
      <c r="I1007" t="n">
        <v>0.0136</v>
      </c>
      <c r="J1007" t="n">
        <v>0.3448</v>
      </c>
      <c r="K1007" t="n">
        <v>0.4043</v>
      </c>
      <c r="L1007" t="inlineStr">
        <is>
          <t>The function `buildIdnaMappingTableData` constructs an `IdnaMappingTableData` object from a `SimpleIdnaMappingTable`, which includes merging adjacent ranges, removing section spans, and applying the `section` method to finalize the table data.</t>
        </is>
      </c>
      <c r="M1007" t="n">
        <v>0.0067</v>
      </c>
      <c r="N1007" t="n">
        <v>0.1111</v>
      </c>
      <c r="O1007" t="n">
        <v>0.1</v>
      </c>
    </row>
    <row r="1008">
      <c r="A1008" t="inlineStr">
        <is>
          <t>okhttp</t>
        </is>
      </c>
      <c r="B1008" t="inlineStr">
        <is>
          <t>okhttp-idna-mapping-table/src/main/kotlin/okhttp3/internal/idn/SimpleIdnaMappingTable.kt</t>
        </is>
      </c>
      <c r="C1008">
        <f>HYPERLINK("https://github.com/square/okhttp/blob/master/okhttp-idna-mapping-table/src/main/kotlin/okhttp3/internal/idn/SimpleIdnaMappingTable.kt")</f>
        <v/>
      </c>
      <c r="D1008" t="inlineStr">
        <is>
          <t>The provided Java code defines a class `MappingTable` within the package `okhttp3.internal.idn`. It appears to be part of a library used for Internationalized Domain Names (IDN). The class provides methods to decode a mapping table and perform the mapping step of IDNA processing. The implementation is described as being optimized for readability rather than efficiency. The code includes comments explaining its purpose and</t>
        </is>
      </c>
      <c r="E1008" t="n">
        <v>0.0029</v>
      </c>
      <c r="F1008" t="n">
        <v>0.0548</v>
      </c>
      <c r="G1008" t="n">
        <v>0.1111</v>
      </c>
      <c r="H1008" t="inlineStr">
        <is>
          <t>The code provides a Java class `MappingTable` within the package `okhttp3.internal.idn`. It includes methods for encoding and decoding strings using a mapping table, which is used in Internationalized Domain Names (IDNA). The class optimizes readability but sacrifices performance due to its complexity being O(N), where N is the length of the input string.</t>
        </is>
      </c>
      <c r="I1008" t="n">
        <v>0.0035</v>
      </c>
      <c r="J1008" t="n">
        <v>0.0312</v>
      </c>
      <c r="K1008" t="n">
        <v>0.08</v>
      </c>
      <c r="L1008" t="inlineStr">
        <is>
          <t>This class provides a decoded mapping table used during the IDNA (Internationalized Domain Names) process, which converts domain names from Unicode to ASCII format according to the Punycode algorithm. The implementation is designed for clarity rather than performance, making it easier to understand and debug.</t>
        </is>
      </c>
      <c r="M1008" t="n">
        <v>0.0049</v>
      </c>
      <c r="N1008" t="n">
        <v>0.1132</v>
      </c>
      <c r="O1008" t="n">
        <v>0.1709</v>
      </c>
    </row>
    <row r="1009">
      <c r="A1009" t="inlineStr">
        <is>
          <t>okhttp</t>
        </is>
      </c>
      <c r="B1009" t="inlineStr">
        <is>
          <t>okhttp-idna-mapping-table/src/test/kotlin/okhttp3/internal/idn/MappingTablesTest.kt</t>
        </is>
      </c>
      <c r="C1009">
        <f>HYPERLINK("https://github.com/square/okhttp/blob/master/okhttp-idna-mapping-table/src/test/kotlin/okhttp3/internal/idn/MappingTablesTest.kt")</f>
        <v/>
      </c>
      <c r="D1009" t="inlineStr">
        <is>
          <t>The provided code defines a test class `MappingTablesTest` that includes a single test method `simplifyCombinesMultipleMappings`. This test uses the `assertk` library to verify that the `simplify` function from the `MappedRange` class correctly combines multiple mappings into a single range when they overlap. The test creates two ranges, one starting at index 5 with a length of</t>
        </is>
      </c>
      <c r="E1009" t="n">
        <v>0.0033</v>
      </c>
      <c r="F1009" t="n">
        <v>0.0625</v>
      </c>
      <c r="G1009" t="n">
        <v>0.0781</v>
      </c>
      <c r="H1009" t="inlineStr">
        <is>
          <t>The repository contains backend software components that implement core algorithms. The complexity is O(N), indicating linear time complexity, which means the performance increases proportionally with the size of the input data. The comments describe the implementation of these core algorithms. There have been multiple commits since the initial codebase creation. The total code size is 1000 lines.</t>
        </is>
      </c>
      <c r="I1009" t="n">
        <v>0.0038</v>
      </c>
      <c r="J1009" t="n">
        <v>0.09089999999999999</v>
      </c>
      <c r="K1009" t="n">
        <v>0.1163</v>
      </c>
      <c r="L1009" t="inlineStr">
        <is>
          <t>The `MappingTablesTest` class tests the `simplify` method within the `MappedRange` class from the OkHttp library's IDN package. The test checks if multiple mappings can be combined into a single mapping when they overlap. It uses assertions to verify that the simplified range correctly combines these overlapping ranges.</t>
        </is>
      </c>
      <c r="M1009" t="n">
        <v>0</v>
      </c>
      <c r="N1009" t="n">
        <v>0</v>
      </c>
      <c r="O1009" t="n">
        <v>0.042</v>
      </c>
    </row>
    <row r="1010">
      <c r="A1010" t="inlineStr">
        <is>
          <t>okhttp</t>
        </is>
      </c>
      <c r="B1010" t="inlineStr">
        <is>
          <t>regression-test/src/androidTest/java/okhttp/regression/LetsEncryptTest.java</t>
        </is>
      </c>
      <c r="C1010">
        <f>HYPERLINK("https://github.com/square/okhttp/blob/master/regression-test/src/androidTest/java/okhttp/regression/LetsEncryptTest.java")</f>
        <v/>
      </c>
      <c r="D1010" t="inlineStr">
        <is>
          <t>The provided Java code defines a test suite using AndroidJUnit4 that tests the `OkHttpClient` class from the OkHttp library. The tests verify various functionalities related to HTTPS connections, including certificate validation and handling different SSL protocols. The code includes methods to create certificates and configure OkHttpClient instances for testing purposes. The complexity of the implementation is O(N), where N represents the number of test cases executed during the</t>
        </is>
      </c>
      <c r="E1010" t="n">
        <v>0.0027</v>
      </c>
      <c r="F1010" t="n">
        <v>0.0519</v>
      </c>
      <c r="G1010" t="n">
        <v>0.1071</v>
      </c>
      <c r="H1010" t="inlineStr">
        <is>
          <t>The repository contains backend software components implementing core algorithms. The complexity is O(N), indicating linear time complexity.</t>
        </is>
      </c>
      <c r="I1010" t="n">
        <v>0.0137</v>
      </c>
      <c r="J1010" t="n">
        <v>0.2308</v>
      </c>
      <c r="K1010" t="n">
        <v>0.2871</v>
      </c>
      <c r="L1010" t="inlineStr">
        <is>
          <t>The provided code implements regression tests for OkHttpClient using AndroidJUnit4. It includes methods to load SSL certificates from byte arrays and verify their validity against known trusted roots. The code uses Java's `CertificateFactory` to parse X.509 certificates and checks if they match any of the system's trust anchors. The implementation is designed to ensure that the client can handle various SSL configurations effectively during testing.</t>
        </is>
      </c>
      <c r="M1010" t="n">
        <v>0.0033</v>
      </c>
      <c r="N1010" t="n">
        <v>0.0526</v>
      </c>
      <c r="O1010" t="n">
        <v>0.146</v>
      </c>
    </row>
    <row r="1011">
      <c r="A1011" t="inlineStr">
        <is>
          <t>okhttp</t>
        </is>
      </c>
      <c r="B1011" t="inlineStr">
        <is>
          <t>regression-test/src/androidTest/java/okhttp/regression/IssueReproductionTest.java</t>
        </is>
      </c>
      <c r="C1011">
        <f>HYPERLINK("https://github.com/square/okhttp/blob/master/regression-test/src/androidTest/java/okhttp/regression/IssueReproductionTest.java")</f>
        <v/>
      </c>
      <c r="D1011" t="inlineStr">
        <is>
          <t>The provided Java code defines a test suite using AndroidJUnit4 that tests the `OkHttpClient` class from the OkHttp library. The test checks if the client can handle HTTPS requests correctly by verifying the server's certificate chain. It uses the `@Test` annotation to define individual test cases and asserts that the response protocol matches HTTP/1.1. The code imports necessary classes such as `Ok</t>
        </is>
      </c>
      <c r="E1011" t="n">
        <v>0.0029</v>
      </c>
      <c r="F1011" t="n">
        <v>0.0274</v>
      </c>
      <c r="G1011" t="n">
        <v>0.0746</v>
      </c>
      <c r="H1011" t="inlineStr">
        <is>
          <t>The repository contains backend software components that implement core algorithms. The complexity is O(N), indicating linear time complexity. The comments describe the implementation of these algorithms. The commits include an initial codebase commit. The total size of the code is 1000 lines.</t>
        </is>
      </c>
      <c r="I1011" t="n">
        <v>0.0052</v>
      </c>
      <c r="J1011" t="n">
        <v>0.1176</v>
      </c>
      <c r="K1011" t="n">
        <v>0.1316</v>
      </c>
      <c r="L1011" t="inlineStr">
        <is>
          <t>This Java code tests the `OkHttpClient` class from the OkHttp library using AndroidJUnit4. It verifies that requests made through the client return responses with the expected protocol version and status code. The test method sends a GET request to a specified URL and checks if the response's protocol matches HTTP/1.1 and has a status code of 200 OK.</t>
        </is>
      </c>
      <c r="M1011" t="n">
        <v>0.0037</v>
      </c>
      <c r="N1011" t="n">
        <v>0.058</v>
      </c>
      <c r="O1011" t="n">
        <v>0.1154</v>
      </c>
    </row>
    <row r="1012">
      <c r="A1012" t="inlineStr">
        <is>
          <t>okhttp</t>
        </is>
      </c>
      <c r="B1012" t="inlineStr">
        <is>
          <t>regression-test/src/androidTest/java/okhttp/regression/compare/AndroidHttpEngineTest.kt</t>
        </is>
      </c>
      <c r="C1012">
        <f>HYPERLINK("https://github.com/square/okhttp/blob/master/regression-test/src/androidTest/java/okhttp/regression/compare/AndroidHttpEngineTest.kt")</f>
        <v/>
      </c>
      <c r="D1012" t="inlineStr">
        <is>
          <t>The provided code defines a class that implements `UrlRequest.Callback` interface, which handles HTTP requests using Android's `android.net.http` package. It includes methods for setting up connection migration options, DNS options, QUIC options, and handling various request states such as success, failure, and cancellation. The complexity of the implementation is O(1), indicating constant time operations regardless of input size.</t>
        </is>
      </c>
      <c r="E1012" t="n">
        <v>0.0038</v>
      </c>
      <c r="F1012" t="n">
        <v>0.0571</v>
      </c>
      <c r="G1012" t="n">
        <v>0.1163</v>
      </c>
      <c r="H1012" t="inlineStr">
        <is>
          <t>The code implements a set of Android HTTP request handling classes and interfaces, including `ConnectionMigrationOptions`, `DnsOptions`, `HttpEngine`, `HttpException`, `QuicOptions`, `UrlRequest`, and `UrlResp`. It provides methods for managing network connections and requests, as well as exception handling for HTTP errors. The complexity is high due to the extensive implementation of various networking features.</t>
        </is>
      </c>
      <c r="I1012" t="n">
        <v>0.0042</v>
      </c>
      <c r="J1012" t="n">
        <v>0.0667</v>
      </c>
      <c r="K1012" t="n">
        <v>0.0806</v>
      </c>
      <c r="L1012" t="inlineStr">
        <is>
          <t>The code implements a regression comparison tool for Android's HTTP engine using various network options such as connection migration, DNS settings, QUIC protocols, and URL requests. It includes methods for setting up these options and handling callbacks during HTTP requests. The implementation complexity is O(N), where N represents the number of network operations performed.</t>
        </is>
      </c>
      <c r="M1012" t="n">
        <v>0.004</v>
      </c>
      <c r="N1012" t="n">
        <v>0.0625</v>
      </c>
      <c r="O1012" t="n">
        <v>0.119</v>
      </c>
    </row>
    <row r="1013">
      <c r="A1013" t="inlineStr">
        <is>
          <t>okhttp</t>
        </is>
      </c>
      <c r="B1013" t="inlineStr">
        <is>
          <t>regression-test/src/androidTest/java/okhttp/regression/compare/ApacheHttpClientTest.kt</t>
        </is>
      </c>
      <c r="C1013">
        <f>HYPERLINK("https://github.com/square/okhttp/blob/master/regression-test/src/androidTest/java/okhttp/regression/compare/ApacheHttpClientTest.kt")</f>
        <v/>
      </c>
      <c r="D1013" t="inlineStr">
        <is>
          <t>The provided Java code is part of a test suite that uses JUnit and AndroidJUnitRunner to verify the correctness of HTTP GET requests using Apache HttpClient library. The tests check if the response from a specified URL matches expected data. The code includes assertions to compare actual responses with expected results.</t>
        </is>
      </c>
      <c r="E1013" t="n">
        <v>0.0036</v>
      </c>
      <c r="F1013" t="n">
        <v>0.0339</v>
      </c>
      <c r="G1013" t="n">
        <v>0.0813</v>
      </c>
      <c r="H1013" t="inlineStr">
        <is>
          <t>The repository contains backend software components that implement core algorithms using Apache HttpClient library. The complexity of the implementation is O(N), indicating it scales linearly with input size. The code base has been initialized with basic structure and test cases.</t>
        </is>
      </c>
      <c r="I1013" t="n">
        <v>0.0061</v>
      </c>
      <c r="J1013" t="n">
        <v>0.1633</v>
      </c>
      <c r="K1013" t="n">
        <v>0.2232</v>
      </c>
      <c r="L1013" t="inlineStr">
        <is>
          <t>The provided code is a JUnit test suite that uses AndroidJUnit4 to verify the correctness of HTTP GET requests using Apache HttpClient version 5. The tests focus on comparing responses from different URLs and ensuring they match expected outcomes. The code includes assertions to compare actual response bodies against expected values.</t>
        </is>
      </c>
      <c r="M1013" t="n">
        <v>0.0036</v>
      </c>
      <c r="N1013" t="n">
        <v>0.0339</v>
      </c>
      <c r="O1013" t="n">
        <v>0.0813</v>
      </c>
    </row>
    <row r="1014">
      <c r="A1014" t="inlineStr">
        <is>
          <t>okhttp</t>
        </is>
      </c>
      <c r="B1014" t="inlineStr">
        <is>
          <t>regression-test/src/androidTest/java/okhttp/regression/compare/OkHttpClientTest.java</t>
        </is>
      </c>
      <c r="C1014">
        <f>HYPERLINK("https://github.com/square/okhttp/blob/master/regression-test/src/androidTest/java/okhttp/regression/compare/OkHttpClientTest.java")</f>
        <v/>
      </c>
      <c r="D1014" t="inlineStr">
        <is>
          <t>The provided code is a unit test written using JUnit for testing the `OkHttpClient` class from the OkHttp library. The test checks if the client can successfully make HTTP requests over different protocols, specifically HTTP/1.1 and HTTP/2. It uses AndroidJUnitRunner as the test runner and asserts that the response protocol matches the expected one based on the request method used. The complexity of</t>
        </is>
      </c>
      <c r="E1014" t="n">
        <v>0.0029</v>
      </c>
      <c r="F1014" t="n">
        <v>0.027</v>
      </c>
      <c r="G1014" t="n">
        <v>0.0741</v>
      </c>
      <c r="H1014" t="inlineStr">
        <is>
          <t>This repository contains backend software components that implement core algorithms. The complexity of these implementations is O(N), indicating linear time complexity relative to the size of the input data. The code base has been initialized with a single commit containing the initial implementation.</t>
        </is>
      </c>
      <c r="I1014" t="n">
        <v>0.0056</v>
      </c>
      <c r="J1014" t="n">
        <v>0.1538</v>
      </c>
      <c r="K1014" t="n">
        <v>0.1739</v>
      </c>
      <c r="L1014" t="inlineStr">
        <is>
          <t>This Java code tests the `OkHttp` library using AndroidJUnit4. It sends HTTP requests to various URLs and checks if the responses match expected values based on predefined protocols. The test cases cover different scenarios such as GET requests and handling different response protocols like HTTP/1.1 and HTTP/2.</t>
        </is>
      </c>
      <c r="M1014" t="n">
        <v>0.0046</v>
      </c>
      <c r="N1014" t="n">
        <v>0.06900000000000001</v>
      </c>
      <c r="O1014" t="n">
        <v>0.1261</v>
      </c>
    </row>
    <row r="1015">
      <c r="A1015" t="inlineStr">
        <is>
          <t>okhttp</t>
        </is>
      </c>
      <c r="B1015" t="inlineStr">
        <is>
          <t>regression-test/src/androidTest/java/okhttp/regression/compare/ApacheHttpClientHttp2Test.kt</t>
        </is>
      </c>
      <c r="C1015">
        <f>HYPERLINK("https://github.com/square/okhttp/blob/master/regression-test/src/androidTest/java/okhttp/regression/compare/ApacheHttpClientHttp2Test.kt")</f>
        <v/>
      </c>
      <c r="D1015" t="inlineStr">
        <is>
          <t>The code implements core algorithms without providing detailed comments or explanations about its functionality. It appears to be part of a larger project that handles complex tasks efficiently using O(N) complexity.</t>
        </is>
      </c>
      <c r="E1015" t="n">
        <v>0.0128</v>
      </c>
      <c r="F1015" t="n">
        <v>0.15</v>
      </c>
      <c r="G1015" t="n">
        <v>0.2481</v>
      </c>
      <c r="H1015" t="inlineStr">
        <is>
          <t>The repository contains backend software components that implement core algorithms. Complexity is O(N), indicating linear time complexity. Comments describe the implementation of these algorithms. Initial codebase commit was made. Code size is 1000 lines.</t>
        </is>
      </c>
      <c r="I1015" t="n">
        <v>0.0065</v>
      </c>
      <c r="J1015" t="n">
        <v>0.1395</v>
      </c>
      <c r="K1015" t="n">
        <v>0.1415</v>
      </c>
      <c r="L1015" t="inlineStr">
        <is>
          <t>The code implements core algorithms for backend software components, handling input data efficiently with a time complexity of O(N). It includes comments explaining implementation details and has been committed as part of an initial codebase. The total size of the codebase is 1000 lines.</t>
        </is>
      </c>
      <c r="M1015" t="n">
        <v>0.0105</v>
      </c>
      <c r="N1015" t="n">
        <v>0.1132</v>
      </c>
      <c r="O1015" t="n">
        <v>0.3207</v>
      </c>
    </row>
    <row r="1016">
      <c r="A1016" t="inlineStr">
        <is>
          <t>okhttp</t>
        </is>
      </c>
      <c r="B1016" t="inlineStr">
        <is>
          <t>okhttp-logging-interceptor/src/main/kotlin/okhttp3/logging/LoggingEventListener.kt</t>
        </is>
      </c>
      <c r="C1016">
        <f>HYPERLINK("https://github.com/square/okhttp/blob/master/okhttp-logging-interceptor/src/main/kotlin/okhttp3/logging/LoggingEventListener.kt")</f>
        <v/>
      </c>
      <c r="D1016" t="inlineStr">
        <is>
          <t>The provided code defines a Java class `OkHttpLogging` that implements logging features for HTTP requests using OkHttp library. It includes methods for handling network connections, request dispatching, event listeners, and proxy settings. The complexity of the implementation is O(N), where N represents the number of operations performed during request processing.</t>
        </is>
      </c>
      <c r="E1016" t="n">
        <v>0.0044</v>
      </c>
      <c r="F1016" t="n">
        <v>0.0678</v>
      </c>
      <c r="G1016" t="n">
        <v>0.123</v>
      </c>
      <c r="H1016" t="inlineStr">
        <is>
          <t>The provided code implements core algorithms for backend software components. It includes classes such as `OkHttpClient`, `Request`, `Response`, and others that handle network requests and responses using HTTP/HTTPS protocols. The complexity is high due to the extensive implementation of various networking features and functionalities.</t>
        </is>
      </c>
      <c r="I1016" t="n">
        <v>0.0105</v>
      </c>
      <c r="J1016" t="n">
        <v>0.1132</v>
      </c>
      <c r="K1016" t="n">
        <v>0.3207</v>
      </c>
      <c r="L1016" t="inlineStr">
        <is>
          <t>The provided Java code defines a logging implementation for OkHttp, which is part of the Square library used for making HTTP requests. The class `LoggingInterceptor` implements the `Interceptor` interface from OkHttp, allowing developers to log detailed information about each request and response made through OkHttpClient instances. It captures various aspects such as request headers, body content, status codes, and connection details, providing insights into network</t>
        </is>
      </c>
      <c r="M1016" t="n">
        <v>0.0033</v>
      </c>
      <c r="N1016" t="n">
        <v>0.0548</v>
      </c>
      <c r="O1016" t="n">
        <v>0.1095</v>
      </c>
    </row>
    <row r="1017">
      <c r="A1017" t="inlineStr">
        <is>
          <t>okhttp</t>
        </is>
      </c>
      <c r="B1017" t="inlineStr">
        <is>
          <t>okhttp-logging-interceptor/src/main/kotlin/okhttp3/logging/HttpLoggingInterceptor.kt</t>
        </is>
      </c>
      <c r="C1017">
        <f>HYPERLINK("https://github.com/square/okhttp/blob/master/okhttp-logging-interceptor/src/main/kotlin/okhttp3/logging/HttpLoggingInterceptor.kt")</f>
        <v/>
      </c>
      <c r="D1017" t="inlineStr">
        <is>
          <t>The provided code defines an `Interceptor` class that logs HTTP requests and responses using OkHttp library. It includes methods to log request headers, response status codes, and body content if available. The interceptor uses Java's `TreeSet` to maintain sorted order of header names when logging them. The implementation handles various aspects such as parsing URL schemes, character encoding, and handling promises for response bodies. This</t>
        </is>
      </c>
      <c r="E1017" t="n">
        <v>0.0033</v>
      </c>
      <c r="F1017" t="n">
        <v>0.0541</v>
      </c>
      <c r="G1017" t="n">
        <v>0.146</v>
      </c>
      <c r="H1017" t="inlineStr">
        <is>
          <t>This repository contains backend software components implementing core algorithms. The complexity of the implementation is O(N), indicating that it scales linearly with input size. The code base has been initialized with the first commit.</t>
        </is>
      </c>
      <c r="I1017" t="n">
        <v>0.0072</v>
      </c>
      <c r="J1017" t="n">
        <v>0.186</v>
      </c>
      <c r="K1017" t="n">
        <v>0.1887</v>
      </c>
      <c r="L1017" t="inlineStr">
        <is>
          <t>This Java package provides logging interceptors for OkHttp, allowing developers to log HTTP requests and responses. It includes methods to filter out sensitive headers and manage response bodies efficiently. The implementation uses TreeSet for sorting headers alphabetically and handles large response bodies using UnreadableResponseBody.</t>
        </is>
      </c>
      <c r="M1017" t="n">
        <v>0.005</v>
      </c>
      <c r="N1017" t="n">
        <v>0.1154</v>
      </c>
      <c r="O1017" t="n">
        <v>0.1724</v>
      </c>
    </row>
    <row r="1018">
      <c r="A1018" t="inlineStr">
        <is>
          <t>okhttp</t>
        </is>
      </c>
      <c r="B1018" t="inlineStr">
        <is>
          <t>okhttp-logging-interceptor/src/main/java9/module-info.java</t>
        </is>
      </c>
      <c r="C1018">
        <f>HYPERLINK("https://github.com/square/okhttp/blob/master/okhttp-logging-interceptor/src/main/java9/module-info.java")</f>
        <v/>
      </c>
      <c r="D1018" t="inlineStr">
        <is>
          <t>The provided code defines a module named `okhttp3.logging` that depends on the `okhttp3` module and exports its package. This setup is likely part of a larger project using Java modules to manage dependencies and improve modularity. The complexity is O(1) as it involves basic operations related to defining a module in Java.</t>
        </is>
      </c>
      <c r="E1018" t="n">
        <v>0.0046</v>
      </c>
      <c r="F1018" t="n">
        <v>0.0968</v>
      </c>
      <c r="G1018" t="n">
        <v>0.1613</v>
      </c>
      <c r="H1018" t="inlineStr">
        <is>
          <t>The code defines a module named `okhttp3.logging` that depends on the `okhttp3` library and exports its package. It is intended for use in backend software components and includes comments about implementing core algorithms. The complexity is O(N) due to potential dependencies or operations within the exported package.</t>
        </is>
      </c>
      <c r="I1018" t="n">
        <v>0.0055</v>
      </c>
      <c r="J1018" t="n">
        <v>0.1053</v>
      </c>
      <c r="K1018" t="n">
        <v>0.3583</v>
      </c>
      <c r="L1018" t="inlineStr">
        <is>
          <t>This module defines the `okhttp3.logging` package as part of the OkHttp library, which provides logging capabilities for HTTP requests and responses. The module is designed to be used alongside the `okhttp3` module, ensuring that both packages can work together seamlessly.</t>
        </is>
      </c>
      <c r="M1018" t="n">
        <v>0.0061</v>
      </c>
      <c r="N1018" t="n">
        <v>0.1224</v>
      </c>
      <c r="O1018" t="n">
        <v>0.1786</v>
      </c>
    </row>
    <row r="1019">
      <c r="A1019" t="inlineStr">
        <is>
          <t>okhttp</t>
        </is>
      </c>
      <c r="B1019" t="inlineStr">
        <is>
          <t>okhttp-logging-interceptor/src/test/java/okhttp3/logging/LoggingEventListenerTest.kt</t>
        </is>
      </c>
      <c r="C1019">
        <f>HYPERLINK("https://github.com/square/okhttp/blob/master/okhttp-logging-interceptor/src/test/java/okhttp3/logging/LoggingEventListenerTest.kt")</f>
        <v/>
      </c>
      <c r="D1019" t="inlineStr">
        <is>
          <t>The provided code appears to be part of a project that includes unit tests using AssertK for testing HTTP requests made with OkHttp. The `OkHttpClient` instance is used to send GET requests to a MockWebServer instance running locally. The test checks if the response from the server is not null and verifies its content type matches expected values. The complexity of the implementation is O(1), as it</t>
        </is>
      </c>
      <c r="E1019" t="n">
        <v>0.0027</v>
      </c>
      <c r="F1019" t="n">
        <v>0.0263</v>
      </c>
      <c r="G1019" t="n">
        <v>0.1079</v>
      </c>
      <c r="H1019" t="inlineStr">
        <is>
          <t>This repository contains backend software components implementing core algorithms. The complexity is O(N), indicating linear time complexity, which means the execution time grows proportionally with the input size. The comments describe the implementation of these core algorithms.</t>
        </is>
      </c>
      <c r="I1019" t="n">
        <v>0.0066</v>
      </c>
      <c r="J1019" t="n">
        <v>0.1739</v>
      </c>
      <c r="K1019" t="n">
        <v>0.1835</v>
      </c>
      <c r="L1019" t="inlineStr">
        <is>
          <t>The provided code is part of a Java library that includes logging utilities for OkHttp requests and responses. It uses MockWebServer for testing purposes, allowing developers to simulate HTTP interactions without making actual network calls. The code also includes assertions using AssertK to verify the correctness of the logging implementation.</t>
        </is>
      </c>
      <c r="M1019" t="n">
        <v>0.0037</v>
      </c>
      <c r="N1019" t="n">
        <v>0.0345</v>
      </c>
      <c r="O1019" t="n">
        <v>0.082</v>
      </c>
    </row>
    <row r="1020">
      <c r="A1020" t="inlineStr">
        <is>
          <t>okhttp</t>
        </is>
      </c>
      <c r="B1020" t="inlineStr">
        <is>
          <t>okhttp-logging-interceptor/src/test/java/okhttp3/logging/HttpLoggingInterceptorTest.kt</t>
        </is>
      </c>
      <c r="C1020">
        <f>HYPERLINK("https://github.com/square/okhttp/blob/master/okhttp-logging-interceptor/src/test/java/okhttp3/logging/HttpLoggingInterceptorTest.kt")</f>
        <v/>
      </c>
      <c r="D1020" t="inlineStr">
        <is>
          <t>The provided code appears to be part of a Java project that includes tests for logging functionalities using OkHttp library along with MockWebServer from mockwebserver3 library. The code uses AssertJ assertions for testing HTTP responses and exceptions related to network operations. It also demonstrates basic usage of MockWebServer to simulate server behavior during unit tests.</t>
        </is>
      </c>
      <c r="E1020" t="n">
        <v>0.0033</v>
      </c>
      <c r="F1020" t="n">
        <v>0.0635</v>
      </c>
      <c r="G1020" t="n">
        <v>0.07870000000000001</v>
      </c>
      <c r="H1020" t="inlineStr">
        <is>
          <t>The repository contains backend software components implementing core algorithms. The complexity is O(N), indicating linear time complexity. The README describes the implementation of these algorithms.</t>
        </is>
      </c>
      <c r="I1020" t="n">
        <v>0.008999999999999999</v>
      </c>
      <c r="J1020" t="n">
        <v>0.1765</v>
      </c>
      <c r="K1020" t="n">
        <v>0.1546</v>
      </c>
      <c r="L1020" t="inlineStr">
        <is>
          <t>The provided code appears to be part of an HTTP client library that includes logging capabilities using OkHttp's `LoggingInterceptor`. It uses Mockito for mocking network responses and testing purposes. The code likely handles various aspects of logging and testing within the context of an Android application or similar environment.</t>
        </is>
      </c>
      <c r="M1020" t="n">
        <v>0.0037</v>
      </c>
      <c r="N1020" t="n">
        <v>0.0345</v>
      </c>
      <c r="O1020" t="n">
        <v>0.08260000000000001</v>
      </c>
    </row>
    <row r="1021">
      <c r="A1021" t="inlineStr">
        <is>
          <t>okhttp</t>
        </is>
      </c>
      <c r="B1021" t="inlineStr">
        <is>
          <t>maven-tests/src/main/java/com/squareup/okhttp3/maventest/SampleHttpClient.java</t>
        </is>
      </c>
      <c r="C1021">
        <f>HYPERLINK("https://github.com/square/okhttp/blob/master/maven-tests/src/main/java/com/squareup/okhttp3/maventest/SampleHttpClient.java")</f>
        <v/>
      </c>
      <c r="D1021" t="inlineStr">
        <is>
          <t>The `SampleHttpClient` class provides a simple HTTP client using OkHttp library. It initializes an instance of `OkHttpClient`, which is used to send requests to specified URLs. The `makeCall` method takes an `HttpUrl` object as input and sends a GET request to that URL. If successful, it returns the response; otherwise, it throws an `IOException`. This class encapsulates basic</t>
        </is>
      </c>
      <c r="E1021" t="n">
        <v>0.0037</v>
      </c>
      <c r="F1021" t="n">
        <v>0.0303</v>
      </c>
      <c r="G1021" t="n">
        <v>0.1154</v>
      </c>
      <c r="H1021" t="inlineStr">
        <is>
          <t>Manages HTTP requests using OkHttp library.</t>
        </is>
      </c>
      <c r="I1021" t="n">
        <v>0</v>
      </c>
      <c r="J1021" t="n">
        <v>0</v>
      </c>
      <c r="K1021" t="n">
        <v>0.0641</v>
      </c>
      <c r="L1021" t="inlineStr">
        <is>
          <t>This Java class `SampleHttpClient` provides a simple HTTP client using OkHttp library. It initializes an instance of `OkHttpClient`, which is used to send requests to specified URLs. The `makeCall` method takes an `HttpUrl` object as input and sends a GET request to that URL, returning the response as a `Response`. If there's an I/O error during the request, it</t>
        </is>
      </c>
      <c r="M1021" t="n">
        <v>0.0037</v>
      </c>
      <c r="N1021" t="n">
        <v>0.058</v>
      </c>
      <c r="O1021" t="n">
        <v>0.1145</v>
      </c>
    </row>
    <row r="1022">
      <c r="A1022" t="inlineStr">
        <is>
          <t>okhttp</t>
        </is>
      </c>
      <c r="B1022" t="inlineStr">
        <is>
          <t>maven-tests/src/test/java/com/squareup/okhttp3/maventest/AppTest.java</t>
        </is>
      </c>
      <c r="C1022">
        <f>HYPERLINK("https://github.com/square/okhttp/blob/master/maven-tests/src/test/java/com/squareup/okhttp3/maventest/AppTest.java")</f>
        <v/>
      </c>
      <c r="D1022" t="inlineStr">
        <is>
          <t>The provided Java code is a unit test for the `App` class within the `com.squareup.okhttp3.maventest` package. The test uses the `MockWebServer` from the `mockwebserver3` library to simulate HTTP requests and responses during testing. It includes a single test method named `testApp`, which enqueues a response using `mockWebServer.enqueue(new Mock</t>
        </is>
      </c>
      <c r="E1022" t="n">
        <v>0.0038</v>
      </c>
      <c r="F1022" t="n">
        <v>0.0328</v>
      </c>
      <c r="G1022" t="n">
        <v>0.0833</v>
      </c>
      <c r="H1022" t="inlineStr">
        <is>
          <t>The repository contains backend software components implementing core algorithms. Complexity is O(N), indicating linear time complexity. The code size is 1000 lines, suggesting it includes multiple files and classes.</t>
        </is>
      </c>
      <c r="I1022" t="n">
        <v>0.008500000000000001</v>
      </c>
      <c r="J1022" t="n">
        <v>0.2105</v>
      </c>
      <c r="K1022" t="n">
        <v>0.3125</v>
      </c>
      <c r="L1022" t="inlineStr">
        <is>
          <t>This Java unit test suite uses OkHttp and MockWebServer to verify the functionality of an application component within the `com.squareup.okhttp3.maventest` package. The tests simulate HTTP requests using MockWebServer and assert that responses match expected outcomes based on predefined headers and content.</t>
        </is>
      </c>
      <c r="M1022" t="n">
        <v>0.0059</v>
      </c>
      <c r="N1022" t="n">
        <v>0.1154</v>
      </c>
      <c r="O1022" t="n">
        <v>0.1327</v>
      </c>
    </row>
    <row r="1023">
      <c r="A1023" t="inlineStr">
        <is>
          <t>okhttp</t>
        </is>
      </c>
      <c r="B1023" t="inlineStr">
        <is>
          <t>module-tests/src/main/java/module-info.java</t>
        </is>
      </c>
      <c r="C1023">
        <f>HYPERLINK("https://github.com/square/okhttp/blob/master/module-tests/src/main/java/module-info.java")</f>
        <v/>
      </c>
      <c r="D1023" t="inlineStr">
        <is>
          <t>The provided Java module declaration defines a new module named `okhttp3.modules` that depends on three other modules: `okhttp3`, `okhttp3.logging`, and `jdk.crypto.ec`. The module also exports its own package to make it accessible outside the module. This setup is likely part of a larger project where different parts of the application have specific dependencies and access requirements.</t>
        </is>
      </c>
      <c r="E1023" t="n">
        <v>0.0043</v>
      </c>
      <c r="F1023" t="n">
        <v>0.0588</v>
      </c>
      <c r="G1023" t="n">
        <v>0.1563</v>
      </c>
      <c r="H1023" t="inlineStr">
        <is>
          <t>Manages dependencies for OkHttp modules in Java.</t>
        </is>
      </c>
      <c r="I1023" t="n">
        <v>0</v>
      </c>
      <c r="J1023" t="n">
        <v>0.1333</v>
      </c>
      <c r="K1023" t="n">
        <v>0.0633</v>
      </c>
      <c r="L1023" t="inlineStr">
        <is>
          <t>This module declares dependencies for OkHttp libraries and exports the package `okhttp3.modules`. It is part of a larger project that includes backend software components. The code complexity is moderate (O(N)), as it involves managing dependencies and exporting packages.</t>
        </is>
      </c>
      <c r="M1023" t="n">
        <v>0.0069</v>
      </c>
      <c r="N1023" t="n">
        <v>0.125</v>
      </c>
      <c r="O1023" t="n">
        <v>0.2273</v>
      </c>
    </row>
    <row r="1024">
      <c r="A1024" t="inlineStr">
        <is>
          <t>okhttp</t>
        </is>
      </c>
      <c r="B1024" t="inlineStr">
        <is>
          <t>module-tests/src/main/java/okhttp3/modules/OkHttpCaller.java</t>
        </is>
      </c>
      <c r="C1024">
        <f>HYPERLINK("https://github.com/square/okhttp/blob/master/module-tests/src/main/java/okhttp3/modules/OkHttpCaller.java")</f>
        <v/>
      </c>
      <c r="D1024" t="inlineStr">
        <is>
          <t>The provided Java code defines a simple utility class `OkHttpCaller` that demonstrates how to make HTTP requests using the OkHttp library. The class includes a method `callOkHttp` which takes an `HttpUrl` object as input and returns a `Call` instance. This setup allows developers to easily integrate OkHttp into their applications to perform network operations such as GET or POST requests. The code</t>
        </is>
      </c>
      <c r="E1024" t="n">
        <v>0.0035</v>
      </c>
      <c r="F1024" t="n">
        <v>0.0286</v>
      </c>
      <c r="G1024" t="n">
        <v>0.1119</v>
      </c>
      <c r="H1024" t="inlineStr">
        <is>
          <t>The repository contains backend software components that implement core algorithms. The complexity is O(N), indicating linear time complexity. Comments describe the implementation of these algorithms. The commits include an initial codebase commit. The total size of the codebase is 1000 lines.</t>
        </is>
      </c>
      <c r="I1024" t="n">
        <v>0.0054</v>
      </c>
      <c r="J1024" t="n">
        <v>0.12</v>
      </c>
      <c r="K1024" t="n">
        <v>0.1327</v>
      </c>
      <c r="L1024" t="inlineStr">
        <is>
          <t>The `OkHttpCaller` class provides a method `callOkHttp` that constructs and executes HTTP requests using the OkHttp library. It initializes an `OkHttpClient`, creates a `Request` object with the specified URL, and then sends the request through the client, returning the resulting `Call`. The class includes comments indicating its purpose and usage, though no actual implementation details are present in the given</t>
        </is>
      </c>
      <c r="M1024" t="n">
        <v>0.003</v>
      </c>
      <c r="N1024" t="n">
        <v>0.0294</v>
      </c>
      <c r="O1024" t="n">
        <v>0.1136</v>
      </c>
    </row>
    <row r="1025">
      <c r="A1025" t="inlineStr">
        <is>
          <t>okhttp</t>
        </is>
      </c>
      <c r="B1025" t="inlineStr">
        <is>
          <t>module-tests/src/main/java/okhttp3/modules/Main.java</t>
        </is>
      </c>
      <c r="C1025">
        <f>HYPERLINK("https://github.com/square/okhttp/blob/master/module-tests/src/main/java/okhttp3/modules/Main.java")</f>
        <v/>
      </c>
      <c r="D1025" t="inlineStr">
        <is>
          <t>The provided Java code demonstrates how to make an HTTP GET request using the OkHttp library to fetch the content of a specified URL ("https://square.com/robots.txt") and print it to the console. The `Main` class creates a `Call` object using `OkHttpCaller.callOkHttp`, which sends the request asynchronously. It then executes the call and prints the response body as a string</t>
        </is>
      </c>
      <c r="E1025" t="n">
        <v>0.0031</v>
      </c>
      <c r="F1025" t="n">
        <v>0.0282</v>
      </c>
      <c r="G1025" t="n">
        <v>0.0769</v>
      </c>
      <c r="H1025" t="inlineStr">
        <is>
          <t>The code implements a basic HTTP client using OkHttp library to fetch and print the content of a specified URL ("https://square.com/robots.txt"). It includes comments explaining the purpose and usage of each part of the code. The complexity is determined by the number of lines of code, which is 934.</t>
        </is>
      </c>
      <c r="I1025" t="n">
        <v>0.0045</v>
      </c>
      <c r="J1025" t="n">
        <v>0.06560000000000001</v>
      </c>
      <c r="K1025" t="n">
        <v>0.124</v>
      </c>
      <c r="L1025" t="inlineStr">
        <is>
          <t>The `Main` class demonstrates how to make an HTTP GET request using the `OkHttpClient` library from Square's OkHttp framework. It constructs a URL object pointing to "https://square.com/robots.txt", creates a `Call` object to execute the request, and then prints the response body as a string.</t>
        </is>
      </c>
      <c r="M1025" t="n">
        <v>0.0042</v>
      </c>
      <c r="N1025" t="n">
        <v>0.0351</v>
      </c>
      <c r="O1025" t="n">
        <v>0.0862</v>
      </c>
    </row>
    <row r="1026">
      <c r="A1026" t="inlineStr">
        <is>
          <t>okhttp</t>
        </is>
      </c>
      <c r="B1026" t="inlineStr">
        <is>
          <t>module-tests/src/test/java/module-info.java</t>
        </is>
      </c>
      <c r="C1026">
        <f>HYPERLINK("https://github.com/square/okhttp/blob/master/module-tests/src/test/java/module-info.java")</f>
        <v/>
      </c>
      <c r="D1026" t="inlineStr">
        <is>
          <t>The provided code defines a module named `okhttp3.modules.test` that depends on several other modules including `okhttp3`, `okhttp3.logging`, `mockwebserver3`, `mockwebserver3.junit5`, `jdk.crypto.ec`, `org.junit.jupiter.api`, and itself (`okhttp3.modules`). The module is designed to be opened for access by the JUnit platform commons</t>
        </is>
      </c>
      <c r="E1026" t="n">
        <v>0.0058</v>
      </c>
      <c r="F1026" t="n">
        <v>0.07140000000000001</v>
      </c>
      <c r="G1026" t="n">
        <v>0.09089999999999999</v>
      </c>
      <c r="H1026" t="inlineStr">
        <is>
          <t>Manages dependencies for testing OkHttp modules using JUnit Jupiter.</t>
        </is>
      </c>
      <c r="I1026" t="n">
        <v>0</v>
      </c>
      <c r="J1026" t="n">
        <v>0.1176</v>
      </c>
      <c r="K1026" t="n">
        <v>0.1235</v>
      </c>
      <c r="L1026" t="inlineStr">
        <is>
          <t>This module is part of the OkHttp library's test suite and includes dependencies for testing HTTP requests using MockWebServer. It also depends on JUnit Jupiter API and other necessary modules for running tests within the OkHttp ecosystem. The `@SuppressWarnings("module")` annotation indicates that this module should be treated as a regular Java package rather than a module.</t>
        </is>
      </c>
      <c r="M1026" t="n">
        <v>0.0043</v>
      </c>
      <c r="N1026" t="n">
        <v>0.09089999999999999</v>
      </c>
      <c r="O1026" t="n">
        <v>0.1563</v>
      </c>
    </row>
    <row r="1027">
      <c r="A1027" t="inlineStr">
        <is>
          <t>okhttp</t>
        </is>
      </c>
      <c r="B1027" t="inlineStr">
        <is>
          <t>module-tests/src/test/java/okhttp3/modules/test/JavaModuleTest.java</t>
        </is>
      </c>
      <c r="C1027">
        <f>HYPERLINK("https://github.com/square/okhttp/blob/master/module-tests/src/test/java/okhttp3/modules/test/JavaModuleTest.java")</f>
        <v/>
      </c>
      <c r="D1027" t="inlineStr">
        <is>
          <t>The provided code is part of a unit test suite for the `OkHttpCaller` class within the `okhttp3.modules.test` package. It uses the MockWebServer library to simulate HTTP requests and responses, allowing developers to test the behavior of the `OkHttpCaller` without needing an actual network connection. The tests cover various aspects such as making GET and POST requests, handling different response codes</t>
        </is>
      </c>
      <c r="E1027" t="n">
        <v>0.003</v>
      </c>
      <c r="F1027" t="n">
        <v>0.0571</v>
      </c>
      <c r="G1027" t="n">
        <v>0.07580000000000001</v>
      </c>
      <c r="H1027" t="inlineStr">
        <is>
          <t>The repository contains backend software components that implement core algorithms. The complexity of these implementations is O(N), indicating linear time complexity. The code size is 1000 lines, making it relatively large but focused on providing essential functionalities.</t>
        </is>
      </c>
      <c r="I1027" t="n">
        <v>0.006</v>
      </c>
      <c r="J1027" t="n">
        <v>0.1739</v>
      </c>
      <c r="K1027" t="n">
        <v>0.1376</v>
      </c>
      <c r="L1027" t="inlineStr">
        <is>
          <t>This Java code defines a test suite for OkHttpCaller using MockWebServer. It sets up an OkHttpClient with logging enabled and tests various methods such as `call`, `getHeaders`, and `getResponse` to ensure they function correctly when making HTTP requests through OkHttpCaller. The test cases cover different scenarios including successful responses, timeouts, and invalid URLs.</t>
        </is>
      </c>
      <c r="M1027" t="n">
        <v>0.0041</v>
      </c>
      <c r="N1027" t="n">
        <v>0.0984</v>
      </c>
      <c r="O1027" t="n">
        <v>0.12</v>
      </c>
    </row>
    <row r="1028">
      <c r="A1028" t="inlineStr">
        <is>
          <t>okhttp</t>
        </is>
      </c>
      <c r="B1028" t="inlineStr">
        <is>
          <t>okhttp-testing-support/src/main/kotlin/okhttp3/ForwardingResponseBody.kt</t>
        </is>
      </c>
      <c r="C1028">
        <f>HYPERLINK("https://github.com/square/okhttp/blob/master/okhttp-testing-support/src/main/kotlin/okhttp3/ForwardingResponseBody.kt")</f>
        <v/>
      </c>
      <c r="D1028" t="inlineStr">
        <is>
          <t>The `ForwardingResponseBody` class is an open abstract class that extends `ResponseBody`. It forwards all method calls from its superclass to another `ResponseBody` instance called `delegate`, allowing it to act as a wrapper around another response body. This design pattern is useful when you want to modify or enhance the behavior of existing response bodies without changing their implementation details. The class provides methods to access the delegate's</t>
        </is>
      </c>
      <c r="E1028" t="n">
        <v>0.0027</v>
      </c>
      <c r="F1028" t="n">
        <v>0.0526</v>
      </c>
      <c r="G1028" t="n">
        <v>0.1079</v>
      </c>
      <c r="H1028" t="inlineStr">
        <is>
          <t>This repository contains backend software components implementing core algorithms. The complexity of the implementation is O(N), indicating linear time complexity. The comments describe the implementation as providing core algorithms. The commits indicate that it was initially created. The total size of the codebase is 1000 lines.</t>
        </is>
      </c>
      <c r="I1028" t="n">
        <v>0.0053</v>
      </c>
      <c r="J1028" t="n">
        <v>0.1455</v>
      </c>
      <c r="K1028" t="n">
        <v>0.1695</v>
      </c>
      <c r="L1028" t="inlineStr">
        <is>
          <t>This Kotlin class `ForwardingResponseBody` extends `ResponseBody`, providing a forwarding mechanism for another response body. It delegates all method calls to the underlying `delegate` object while allowing access to its properties such as content type and content length. The class includes methods to retrieve the original delegate and the buffered source from the delegate's stream.</t>
        </is>
      </c>
      <c r="M1028" t="n">
        <v>0.004</v>
      </c>
      <c r="N1028" t="n">
        <v>0.0635</v>
      </c>
      <c r="O1028" t="n">
        <v>0.0794</v>
      </c>
    </row>
    <row r="1029">
      <c r="A1029" t="inlineStr">
        <is>
          <t>okhttp</t>
        </is>
      </c>
      <c r="B1029" t="inlineStr">
        <is>
          <t>okhttp-testing-support/src/main/kotlin/okhttp3/RecordingConnectionListener.kt</t>
        </is>
      </c>
      <c r="C1029">
        <f>HYPERLINK("https://github.com/square/okhttp/blob/master/okhttp-testing-support/src/main/kotlin/okhttp3/RecordingConnectionListener.kt")</f>
        <v/>
      </c>
      <c r="D1029" t="inlineStr">
        <is>
          <t>The code appears to be part of OkHttp, a popular HTTP client library for Android and Java applications. It includes assertions for testing purposes using the AssertK library, as well as some utility classes such as `ConcurrentLinkedDeque` from the Java Collections Framework. The complexity rating suggests that the implementation involves multiple operations or data structures, but without further context, it's difficult to provide a more detailed</t>
        </is>
      </c>
      <c r="E1029" t="n">
        <v>0.0028</v>
      </c>
      <c r="F1029" t="n">
        <v>0.0267</v>
      </c>
      <c r="G1029" t="n">
        <v>0.1087</v>
      </c>
      <c r="H1029" t="inlineStr">
        <is>
          <t>This repository contains backend software components implementing core algorithms. The complexity is O(N), indicating linear time performance relative to input size.</t>
        </is>
      </c>
      <c r="I1029" t="n">
        <v>0.012</v>
      </c>
      <c r="J1029" t="n">
        <v>0.2667</v>
      </c>
      <c r="K1029" t="n">
        <v>0.3394</v>
      </c>
      <c r="L1029" t="inlineStr">
        <is>
          <t>This Java package `okhttp3` provides a client library for making HTTP requests. It includes classes such as `Request`, `Response`, and `OkHttpClient`. The code uses assertions from the `assertk` library to verify the correctness of various methods within the package. The class hierarchy involves interfaces like `Call`, `ResponseBody`, and abstract classes like `HttpUrl`. The implementation complexity is moderate</t>
        </is>
      </c>
      <c r="M1029" t="n">
        <v>0.0038</v>
      </c>
      <c r="N1029" t="n">
        <v>0.0615</v>
      </c>
      <c r="O1029" t="n">
        <v>0.155</v>
      </c>
    </row>
    <row r="1030">
      <c r="A1030" t="inlineStr">
        <is>
          <t>okhttp</t>
        </is>
      </c>
      <c r="B1030" t="inlineStr">
        <is>
          <t>okhttp-testing-support/src/main/kotlin/okhttp3/EventRecorder.kt</t>
        </is>
      </c>
      <c r="C1030">
        <f>HYPERLINK("https://github.com/square/okhttp/blob/master/okhttp-testing-support/src/main/kotlin/okhttp3/EventRecorder.kt")</f>
        <v/>
      </c>
      <c r="D1030" t="inlineStr">
        <is>
          <t>The provided code appears to be part of an HTTP client library called OkHttp, specifically focusing on handling network calls. It includes assertions for testing call events such as `CallStart` and `Canceled`, using the AssertK assertion library. The code uses Java's concurrency utilities like `ConcurrentLinkedDeque` for managing event queues. The complexity is O(N), indicating that operations might scale linearly with</t>
        </is>
      </c>
      <c r="E1030" t="n">
        <v>0.003</v>
      </c>
      <c r="F1030" t="n">
        <v>0.0286</v>
      </c>
      <c r="G1030" t="n">
        <v>0.07580000000000001</v>
      </c>
      <c r="H1030" t="inlineStr">
        <is>
          <t>This repository contains backend software components implementing core algorithms. The complexity of these implementations varies depending on the specific algorithm being used, but it generally falls within the range of O(N). The code size is approximately 1000 lines, and it includes comments explaining the implementation details.</t>
        </is>
      </c>
      <c r="I1030" t="n">
        <v>0.0057</v>
      </c>
      <c r="J1030" t="n">
        <v>0.1818</v>
      </c>
      <c r="K1030" t="n">
        <v>0.2119</v>
      </c>
      <c r="L1030" t="inlineStr">
        <is>
          <t>The provided code defines a set of assertions using the `assertk` library to test various aspects of HTTP requests made through OkHttp. It includes tests for call start events, cancellation status, and response times, ensuring that these functionalities work as expected. The code uses Java's concurrency utilities like `ConcurrentLinkedDeque` and handles time units such as milliseconds.</t>
        </is>
      </c>
      <c r="M1030" t="n">
        <v>0.0033</v>
      </c>
      <c r="N1030" t="n">
        <v>0.0615</v>
      </c>
      <c r="O1030" t="n">
        <v>0.0781</v>
      </c>
    </row>
    <row r="1031">
      <c r="A1031" t="inlineStr">
        <is>
          <t>okhttp</t>
        </is>
      </c>
      <c r="B1031" t="inlineStr">
        <is>
          <t>okhttp-testing-support/src/main/kotlin/okhttp3/FakeProxySelector.kt</t>
        </is>
      </c>
      <c r="C1031">
        <f>HYPERLINK("https://github.com/square/okhttp/blob/master/okhttp-testing-support/src/main/kotlin/okhttp3/FakeProxySelector.kt")</f>
        <v/>
      </c>
      <c r="D1031" t="inlineStr">
        <is>
          <t>The `FakeProxySelector` class implements a simple proxy selector that allows adding custom proxies and returns them when requested. It uses a list to store the added proxies and overrides the `select` method from the `ProxySelector` interface to return these proxies based on the given URI. This implementation is useful for testing purposes where controlling network behavior through proxies can be necessary.</t>
        </is>
      </c>
      <c r="E1031" t="n">
        <v>0.0039</v>
      </c>
      <c r="F1031" t="n">
        <v>0.058</v>
      </c>
      <c r="G1031" t="n">
        <v>0.1504</v>
      </c>
      <c r="H1031" t="inlineStr">
        <is>
          <t>Manages proxy configurations for HTTP requests.</t>
        </is>
      </c>
      <c r="I1031" t="n">
        <v>0</v>
      </c>
      <c r="J1031" t="n">
        <v>0</v>
      </c>
      <c r="K1031" t="n">
        <v>0</v>
      </c>
      <c r="L1031" t="inlineStr">
        <is>
          <t>The `FakeProxySelector` class is a mock implementation of the `ProxySelector` interface used in OkHttp for testing purposes. It allows developers to programmatically define and manage proxy configurations without needing actual network connectivity. The class maintains a list of predefined proxies that can be added using the `addProxy` method. When called with a URI, it returns a list of these configured proxies, which can</t>
        </is>
      </c>
      <c r="M1031" t="n">
        <v>0.0029</v>
      </c>
      <c r="N1031" t="n">
        <v>0.0563</v>
      </c>
      <c r="O1031" t="n">
        <v>0.1111</v>
      </c>
    </row>
    <row r="1032">
      <c r="A1032" t="inlineStr">
        <is>
          <t>okhttp</t>
        </is>
      </c>
      <c r="B1032" t="inlineStr">
        <is>
          <t>okhttp-testing-support/src/main/kotlin/okhttp3/DelegatingSSLSession.kt</t>
        </is>
      </c>
      <c r="C1032">
        <f>HYPERLINK("https://github.com/square/okhttp/blob/master/okhttp-testing-support/src/main/kotlin/okhttp3/DelegatingSSLSession.kt")</f>
        <v/>
      </c>
      <c r="D1032" t="inlineStr">
        <is>
          <t>The provided code defines an abstract class `DelegatingSSLSession` from the OkHttp library, which serves as a base class for delegating SSL session operations. It includes methods such as getting peer certificates, principal information, and SSL session context. The class uses Java's built-in SSL APIs and handles exceptions like `SSLPeerUnverifiedException`. This design allows developers to extend it for custom SSL</t>
        </is>
      </c>
      <c r="E1032" t="n">
        <v>0.0037</v>
      </c>
      <c r="F1032" t="n">
        <v>0.029</v>
      </c>
      <c r="G1032" t="n">
        <v>0.1145</v>
      </c>
      <c r="H1032" t="inlineStr">
        <is>
          <t>This repository contains backend software components implementing core algorithms.</t>
        </is>
      </c>
      <c r="I1032" t="n">
        <v>0.0316</v>
      </c>
      <c r="J1032" t="n">
        <v>0.4706</v>
      </c>
      <c r="K1032" t="n">
        <v>0.3897</v>
      </c>
      <c r="L1032" t="inlineStr">
        <is>
          <t>This abstract class `DelegatingSSLSession` serves as a base implementation for handling SSL sessions in OkHttp, delegating most methods to another `SSLSession`. It includes support for retrieving certificates, principal names, session IDs, cipher suites, protocols, and more, while also providing fallbacks if the underlying session is null. The class is designed to be extended by concrete implementations that provide additional functionality</t>
        </is>
      </c>
      <c r="M1032" t="n">
        <v>0.004</v>
      </c>
      <c r="N1032" t="n">
        <v>0.0882</v>
      </c>
      <c r="O1032" t="n">
        <v>0.1515</v>
      </c>
    </row>
    <row r="1033">
      <c r="A1033" t="inlineStr">
        <is>
          <t>okhttp</t>
        </is>
      </c>
      <c r="B1033" t="inlineStr">
        <is>
          <t>okhttp-testing-support/src/main/kotlin/okhttp3/FakeSSLSession.kt</t>
        </is>
      </c>
      <c r="C1033">
        <f>HYPERLINK("https://github.com/square/okhttp/blob/master/okhttp-testing-support/src/main/kotlin/okhttp3/FakeSSLSession.kt")</f>
        <v/>
      </c>
      <c r="D1033" t="inlineStr">
        <is>
          <t>The provided Java code defines a class `OkHttpClient` within the package `okhttp3`. It includes methods for handling SSL/TLS connections and managing certificates. The code uses annotations such as `@file:Suppress("DEPRECATION")` to suppress deprecation warnings. The complexity of the implementation is O(N), indicating that it involves processing N elements. The comments suggest that the code implements core</t>
        </is>
      </c>
      <c r="E1033" t="n">
        <v>0.0078</v>
      </c>
      <c r="F1033" t="n">
        <v>0.0597</v>
      </c>
      <c r="G1033" t="n">
        <v>0.2485</v>
      </c>
      <c r="H1033" t="inlineStr">
        <is>
          <t>Manages SSL certificates and sessions for HTTP requests using OkHttp library.</t>
        </is>
      </c>
      <c r="I1033" t="n">
        <v>0.0189</v>
      </c>
      <c r="J1033" t="n">
        <v>0.1053</v>
      </c>
      <c r="K1033" t="n">
        <v>0.1205</v>
      </c>
      <c r="L1033" t="inlineStr">
        <is>
          <t>The provided Java code defines a package `okhttp3` that includes classes related to HTTP client functionalities. It handles SSL/TLS connections, certificate validation, and peer verification using the OkHttp library. The code uses annotations like `@file:Suppress("DEPRECATION")` to suppress deprecation warnings. The package provides essential tools for making network requests securely over HTTPS.</t>
        </is>
      </c>
      <c r="M1033" t="n">
        <v>0.0036</v>
      </c>
      <c r="N1033" t="n">
        <v>0.0645</v>
      </c>
      <c r="O1033" t="n">
        <v>0.0813</v>
      </c>
    </row>
    <row r="1034">
      <c r="A1034" t="inlineStr">
        <is>
          <t>okhttp</t>
        </is>
      </c>
      <c r="B1034" t="inlineStr">
        <is>
          <t>okhttp-testing-support/src/main/kotlin/okhttp3/CallEvent.kt</t>
        </is>
      </c>
      <c r="C1034">
        <f>HYPERLINK("https://github.com/square/okhttp/blob/master/okhttp-testing-support/src/main/kotlin/okhttp3/CallEvent.kt")</f>
        <v/>
      </c>
      <c r="D1034" t="inlineStr">
        <is>
          <t>The provided code defines a sealed class `CallEvent` in the OkHttp library, which represents different events related to HTTP calls made using OkHttp. The class includes properties such as `timestampNs`, `call`, and a method `name`. It also uses the `@SuppressSignatureCheck` annotation from the Kotlin standard library to suppress signature checks during compilation. This class is part of the OkHttp</t>
        </is>
      </c>
      <c r="E1034" t="n">
        <v>0.0037</v>
      </c>
      <c r="F1034" t="n">
        <v>0.0299</v>
      </c>
      <c r="G1034" t="n">
        <v>0.1145</v>
      </c>
      <c r="H1034" t="inlineStr">
        <is>
          <t>This repository contains backend software components implementing core algorithms. The complexity is O(N), indicating linear time complexity for certain operations. The comments describe the implementation of these algorithms. The commits include an initial codebase commit. The total size of the codebase is 1000 lines.</t>
        </is>
      </c>
      <c r="I1034" t="n">
        <v>0.0055</v>
      </c>
      <c r="J1034" t="n">
        <v>0.1509</v>
      </c>
      <c r="K1034" t="n">
        <v>0.1724</v>
      </c>
      <c r="L1034" t="inlineStr">
        <is>
          <t>The code defines sealed data classes `CallStart`, `CallEnd`, `ConnectStart`, `ConnectEnd`, `ReadTimeout`, `WriteTimeout`, `SocketClosed`, and `Retry` within the `okhttp3` package. These classes represent different events related to HTTP calls made using OkHttp, such as start and end times, associated calls, and various connection-related timeouts. The classes provide</t>
        </is>
      </c>
      <c r="M1034" t="n">
        <v>0.004</v>
      </c>
      <c r="N1034" t="n">
        <v>0.0364</v>
      </c>
      <c r="O1034" t="n">
        <v>0.0847</v>
      </c>
    </row>
    <row r="1035">
      <c r="A1035" t="inlineStr">
        <is>
          <t>okhttp</t>
        </is>
      </c>
      <c r="B1035" t="inlineStr">
        <is>
          <t>okhttp-testing-support/src/main/kotlin/okhttp3/EventListenerAdapter.kt</t>
        </is>
      </c>
      <c r="C1035">
        <f>HYPERLINK("https://github.com/square/okhttp/blob/master/okhttp-testing-support/src/main/kotlin/okhttp3/EventListenerAdapter.kt")</f>
        <v/>
      </c>
      <c r="D1035" t="inlineStr">
        <is>
          <t>The provided code defines a package `okhttp3` that includes classes and interfaces related to HTTP client operations. It provides methods for making network requests using various proxy configurations and handling different types of cache events such as hits, misses, and failures. The complexity of the implementation is O(N), where N represents the number of network requests made. The comments indicate that it implements core algorithms for HTTP communication.</t>
        </is>
      </c>
      <c r="E1035" t="n">
        <v>0.0063</v>
      </c>
      <c r="F1035" t="n">
        <v>0.0519</v>
      </c>
      <c r="G1035" t="n">
        <v>0.2254</v>
      </c>
      <c r="H1035" t="inlineStr">
        <is>
          <t>This repository contains backend software components that implement core algorithms. The complexity is O(N), indicating linear time complexity.</t>
        </is>
      </c>
      <c r="I1035" t="n">
        <v>0.0142</v>
      </c>
      <c r="J1035" t="n">
        <v>0.2963</v>
      </c>
      <c r="K1035" t="n">
        <v>0.3507</v>
      </c>
      <c r="L1035" t="inlineStr">
        <is>
          <t>This Java package provides classes and methods for creating HTTP requests using OkHttp library. The `Call` class represents an asynchronous request that can be started, canceled, or monitored for events such as cache hits, misses, and failures. It handles network connections, retries, and timeouts efficiently.</t>
        </is>
      </c>
      <c r="M1035" t="n">
        <v>0.0049</v>
      </c>
      <c r="N1035" t="n">
        <v>0.0755</v>
      </c>
      <c r="O1035" t="n">
        <v>0.1282</v>
      </c>
    </row>
    <row r="1036">
      <c r="A1036" t="inlineStr">
        <is>
          <t>okhttp</t>
        </is>
      </c>
      <c r="B1036" t="inlineStr">
        <is>
          <t>okhttp-testing-support/src/main/kotlin/okhttp3/EventListenerRelay.kt</t>
        </is>
      </c>
      <c r="C1036">
        <f>HYPERLINK("https://github.com/square/okhttp/blob/master/okhttp-testing-support/src/main/kotlin/okhttp3/EventListenerRelay.kt")</f>
        <v/>
      </c>
      <c r="D1036" t="inlineStr">
        <is>
          <t>The provided code defines a `TestEventListener` class that implements the `EventListener` interface from the OkHttp library. This listener is designed specifically for testing purposes. It processes each event received on a given call and then creates a new `EventListenerRelay` as its successor on the same call. This setup allows for detecting issues related to caching stale event listeners, ensuring that each event is processed correctly without</t>
        </is>
      </c>
      <c r="E1036" t="n">
        <v>0.0036</v>
      </c>
      <c r="F1036" t="n">
        <v>0.0541</v>
      </c>
      <c r="G1036" t="n">
        <v>0.1087</v>
      </c>
      <c r="H1036" t="inlineStr">
        <is>
          <t>The code provides a class `EventListener` that implements a test listener mechanism for handling events related to HTTP calls. It ensures each event is processed sequentially by adding a new relay listener to the call's event queue after processing the current one. This helps in detecting potential issues where cached listeners might cause problems. The complexity is O(N), as it involves iterating through the list of listeners.</t>
        </is>
      </c>
      <c r="I1036" t="n">
        <v>0.0032</v>
      </c>
      <c r="J1036" t="n">
        <v>0.026</v>
      </c>
      <c r="K1036" t="n">
        <v>0.07190000000000001</v>
      </c>
      <c r="L1036" t="inlineStr">
        <is>
          <t>This class implements a test listener that processes events sequentially from a call object, ensuring each event triggers a new listener relay to handle subsequent events. It helps verify how event listeners interact within OkHttp's request handling mechanism.</t>
        </is>
      </c>
      <c r="M1036" t="n">
        <v>0.0058</v>
      </c>
      <c r="N1036" t="n">
        <v>0.0851</v>
      </c>
      <c r="O1036" t="n">
        <v>0.09089999999999999</v>
      </c>
    </row>
    <row r="1037">
      <c r="A1037" t="inlineStr">
        <is>
          <t>okhttp</t>
        </is>
      </c>
      <c r="B1037" t="inlineStr">
        <is>
          <t>okhttp-testing-support/src/main/kotlin/okhttp3/UppercaseRequestInterceptor.kt</t>
        </is>
      </c>
      <c r="C1037">
        <f>HYPERLINK("https://github.com/square/okhttp/blob/master/okhttp-testing-support/src/main/kotlin/okhttp3/UppercaseRequestInterceptor.kt")</f>
        <v/>
      </c>
      <c r="D1037" t="inlineStr">
        <is>
          <t>The `UppercaseRequestInterceptor` class is an OkHttp interceptor that modifies outgoing requests by converting their bodies to uppercase before sending them to the server. It uses Java's `BufferedSink` to wrap the original sink and rewrite each byte as its uppercase equivalent. The interceptor does not modify responses.</t>
        </is>
      </c>
      <c r="E1037" t="n">
        <v>0.004</v>
      </c>
      <c r="F1037" t="n">
        <v>0.0364</v>
      </c>
      <c r="G1037" t="n">
        <v>0.0847</v>
      </c>
      <c r="H1037" t="inlineStr">
        <is>
          <t>This repository contains backend software components implementing core algorithms. The complexity of the implementation is O(N), indicating that it scales linearly with input size. The comments describe the purpose of the code as being the implementation of core algorithms. The commits indicate that this is the initial codebase commit. The total code size is 1000 lines.</t>
        </is>
      </c>
      <c r="I1037" t="n">
        <v>0.0043</v>
      </c>
      <c r="J1037" t="n">
        <v>0.1231</v>
      </c>
      <c r="K1037" t="n">
        <v>0.1563</v>
      </c>
      <c r="L1037" t="inlineStr">
        <is>
          <t>This interceptor modifies outgoing HTTP requests by converting their bodies to uppercase before sending them to the server. It uses OkHttp's `Interceptor` interface to intercept requests and modify their content using a custom `ForwardingSink`. The interceptor reads the original request body into a buffer, converts each character to uppercase, and writes the modified data back to the sink.</t>
        </is>
      </c>
      <c r="M1037" t="n">
        <v>0.0037</v>
      </c>
      <c r="N1037" t="n">
        <v>0.0597</v>
      </c>
      <c r="O1037" t="n">
        <v>0.1154</v>
      </c>
    </row>
    <row r="1038">
      <c r="A1038" t="inlineStr">
        <is>
          <t>okhttp</t>
        </is>
      </c>
      <c r="B1038" t="inlineStr">
        <is>
          <t>okhttp-testing-support/src/main/kotlin/okhttp3/SpecificHostSocketFactory.kt</t>
        </is>
      </c>
      <c r="C1038">
        <f>HYPERLINK("https://github.com/square/okhttp/blob/master/okhttp-testing-support/src/main/kotlin/okhttp3/SpecificHostSocketFactory.kt")</f>
        <v/>
      </c>
      <c r="D1038" t="inlineStr">
        <is>
          <t>The `SpecificHostSocketFactory` class is a custom implementation of the `SocketFactory` interface in Java. It allows developers to specify a default socket address and override it with specific addresses using the `set` method. This factory is useful when applications need to connect to different servers based on certain conditions or configurations. The class delegates most of its functionality to another `SocketFactory`, which can be obtained</t>
        </is>
      </c>
      <c r="E1038" t="n">
        <v>0.0037</v>
      </c>
      <c r="F1038" t="n">
        <v>0.0556</v>
      </c>
      <c r="G1038" t="n">
        <v>0.1471</v>
      </c>
      <c r="H1038" t="inlineStr">
        <is>
          <t>This repository contains backend software components implementing core algorithms. The complexity of the implementation is O(N), indicating it scales linearly with input size. The comments provide detailed explanations of the algorithm's logic, while the commits document the initial creation of the codebase. The total code size is 1000 lines.</t>
        </is>
      </c>
      <c r="I1038" t="n">
        <v>0.0049</v>
      </c>
      <c r="J1038" t="n">
        <v>0.1695</v>
      </c>
      <c r="K1038" t="n">
        <v>0.1653</v>
      </c>
      <c r="L1038" t="inlineStr">
        <is>
          <t>The `SpecificHostSocketFactory` class is a custom socket factory designed to redirect network connections based on specified addresses. It uses a delegate socket factory (`get`) to handle actual socket creation and provides methods to set a default address and override specific host addresses. The implementation is part of an HTTP client library, allowing developers to customize how connections are established to different hosts.</t>
        </is>
      </c>
      <c r="M1038" t="n">
        <v>0.0029</v>
      </c>
      <c r="N1038" t="n">
        <v>0.0286</v>
      </c>
      <c r="O1038" t="n">
        <v>0.1119</v>
      </c>
    </row>
    <row r="1039">
      <c r="A1039" t="inlineStr">
        <is>
          <t>okhttp</t>
        </is>
      </c>
      <c r="B1039" t="inlineStr">
        <is>
          <t>okhttp-testing-support/src/main/kotlin/okhttp3/DelegatingServerSocketFactory.kt</t>
        </is>
      </c>
      <c r="C1039">
        <f>HYPERLINK("https://github.com/square/okhttp/blob/master/okhttp-testing-support/src/main/kotlin/okhttp3/DelegatingServerSocketFactory.kt")</f>
        <v/>
      </c>
      <c r="D1039" t="inlineStr">
        <is>
          <t>The provided code defines a `DelegatingServerSocketFactory` class that extends `ServerSocketFactory`. This factory allows delegating server socket configuration to another `ServerSocketFactory`, enabling customization of sockets after they have been created. The class includes methods for creating server sockets and configuring them using overridden methods like `.configureServerSocket`.</t>
        </is>
      </c>
      <c r="E1039" t="n">
        <v>0.0049</v>
      </c>
      <c r="F1039" t="n">
        <v>0.0755</v>
      </c>
      <c r="G1039" t="n">
        <v>0.1282</v>
      </c>
      <c r="H1039" t="inlineStr">
        <is>
          <t>This repository contains backend software components implementing core algorithms. The complexity of the implementation is O(N), and it includes comments explaining the algorithm's purpose. The commits indicate the initial codebase setup. The total size of the codebase is 1000 lines.</t>
        </is>
      </c>
      <c r="I1039" t="n">
        <v>0.0065</v>
      </c>
      <c r="J1039" t="n">
        <v>0.2</v>
      </c>
      <c r="K1039" t="n">
        <v>0.2232</v>
      </c>
      <c r="L1039" t="inlineStr">
        <is>
          <t>The `DelegatingServerSocketFactory` class extends `ServerSocketFactory`, allowing customization of server sockets through the overridden `configureServerSocket` method. It provides a way to delegate socket configuration to another factory while maintaining flexibility in how servers are set up.</t>
        </is>
      </c>
      <c r="M1039" t="n">
        <v>0</v>
      </c>
      <c r="N1039" t="n">
        <v>0</v>
      </c>
      <c r="O1039" t="n">
        <v>0</v>
      </c>
    </row>
    <row r="1040">
      <c r="A1040" t="inlineStr">
        <is>
          <t>okhttp</t>
        </is>
      </c>
      <c r="B1040" t="inlineStr">
        <is>
          <t>okhttp-testing-support/src/main/kotlin/okhttp3/OkHttpDebugLogging.kt</t>
        </is>
      </c>
      <c r="C1040">
        <f>HYPERLINK("https://github.com/square/okhttp/blob/master/okhttp-testing-support/src/main/kotlin/okhttp3/OkHttpDebugLogging.kt")</f>
        <v/>
      </c>
      <c r="D1040" t="inlineStr">
        <is>
          <t>The provided Java code defines a class `OkHttpClient` within the package `okhttp3`. This class appears to be part of a library that handles HTTP requests and responses using OkHttp, a popular asynchronous HTTP client for Android and other platforms. The class includes methods for making network calls, managing timeouts, interceptors, and more. It also uses various logging mechanisms to track operations and errors during execution</t>
        </is>
      </c>
      <c r="E1040" t="n">
        <v>0.0033</v>
      </c>
      <c r="F1040" t="n">
        <v>0.0548</v>
      </c>
      <c r="G1040" t="n">
        <v>0.1095</v>
      </c>
      <c r="H1040" t="inlineStr">
        <is>
          <t>Manages logging configuration and provides utility methods for handling closeable resources.</t>
        </is>
      </c>
      <c r="I1040" t="n">
        <v>0.0189</v>
      </c>
      <c r="J1040" t="n">
        <v>0.1053</v>
      </c>
      <c r="K1040" t="n">
        <v>0.0602</v>
      </c>
      <c r="L1040" t="inlineStr">
        <is>
          <t>This Java class provides logging capabilities using the SLF4J facade over Logback. It includes methods for setting up loggers, adding handlers, configuring levels, and formatting logs. The class uses `CopyOnWriteArraySet` to manage multiple handlers efficiently.</t>
        </is>
      </c>
      <c r="M1040" t="n">
        <v>0.0063</v>
      </c>
      <c r="N1040" t="n">
        <v>0.093</v>
      </c>
      <c r="O1040" t="n">
        <v>0.1402</v>
      </c>
    </row>
    <row r="1041">
      <c r="A1041" t="inlineStr">
        <is>
          <t>okhttp</t>
        </is>
      </c>
      <c r="B1041" t="inlineStr">
        <is>
          <t>okhttp-testing-support/src/main/kotlin/okhttp3/JsseDebugLogging.kt</t>
        </is>
      </c>
      <c r="C1041">
        <f>HYPERLINK("https://github.com/square/okhttp/blob/master/okhttp-testing-support/src/main/kotlin/okhttp3/JsseDebugLogging.kt")</f>
        <v/>
      </c>
      <c r="D1041" t="inlineStr">
        <is>
          <t>The `JsseDebugLogging` object provides a structured way to log SSL/TLS handshake messages using Java's logging framework. It includes a `JsseDebugMessage` data class that encapsulates the message content and its type (handshake, plaintext, encrypted, setup, or unknown). The `type` property determines how the message should be logged based on predefined types. This utility can help developers</t>
        </is>
      </c>
      <c r="E1041" t="n">
        <v>0.004</v>
      </c>
      <c r="F1041" t="n">
        <v>0.0308</v>
      </c>
      <c r="G1041" t="n">
        <v>0.1181</v>
      </c>
      <c r="H1041" t="inlineStr">
        <is>
          <t>This repository contains backend software components that implement core algorithms. The complexity is O(N), indicating linear time complexity, which means the performance increases proportionally with the size of the input. Comments provide detailed explanations of the implementation, while commits document the initial creation of the codebase. The total code size is 1000 lines.</t>
        </is>
      </c>
      <c r="I1041" t="n">
        <v>0.0045</v>
      </c>
      <c r="J1041" t="n">
        <v>0.129</v>
      </c>
      <c r="K1041" t="n">
        <v>0.2525</v>
      </c>
      <c r="L1041" t="inlineStr">
        <is>
          <t>The `JsseDebugLogging` object provides a structured way to log debug messages related to SSL/TLS handshake, plaintext, encrypted, setup, and unknown events using Java's logging framework. It includes a `JsseDebugMessage` data class that encapsulates the message content and type, which helps in categorizing and managing different types of debugging logs effectively. The implementation complexity is O(1),</t>
        </is>
      </c>
      <c r="M1041" t="n">
        <v>0.0033</v>
      </c>
      <c r="N1041" t="n">
        <v>0.0303</v>
      </c>
      <c r="O1041" t="n">
        <v>0.1181</v>
      </c>
    </row>
    <row r="1042">
      <c r="A1042" t="inlineStr">
        <is>
          <t>okhttp</t>
        </is>
      </c>
      <c r="B1042" t="inlineStr">
        <is>
          <t>okhttp-testing-support/src/main/kotlin/okhttp3/ForwardingRequestBody.kt</t>
        </is>
      </c>
      <c r="C1042">
        <f>HYPERLINK("https://github.com/square/okhttp/blob/master/okhttp-testing-support/src/main/kotlin/okhttp3/ForwardingRequestBody.kt")</f>
        <v/>
      </c>
      <c r="D1042" t="inlineStr">
        <is>
          <t>The `ForwardingRequestBody` class is an abstract open class that extends `RequestBody`. It forwards all method calls to its delegate `RequestBody`, allowing it to be used as a wrapper around another request body while maintaining compatibility with OkHttp's API. The class provides methods to access the delegate's content type and length, which can be useful when working with requests that need to be forwarded but require additional processing</t>
        </is>
      </c>
      <c r="E1042" t="n">
        <v>0.0027</v>
      </c>
      <c r="F1042" t="n">
        <v>0.026</v>
      </c>
      <c r="G1042" t="n">
        <v>0.07190000000000001</v>
      </c>
      <c r="H1042" t="inlineStr">
        <is>
          <t>This repository contains backend software components implementing core algorithms. Complexity is O(N). The code size is 1000 lines.</t>
        </is>
      </c>
      <c r="I1042" t="n">
        <v>0.0142</v>
      </c>
      <c r="J1042" t="n">
        <v>0.2963</v>
      </c>
      <c r="K1042" t="n">
        <v>0.3507</v>
      </c>
      <c r="L1042" t="inlineStr">
        <is>
          <t>This Kotlin class `ForwardingRequestBody` extends `RequestBody`, allowing it to forward requests from one `RequestBody` instance to another while maintaining compatibility with OkHttp's request body interface. It provides methods to access the underlying delegate request body, retrieve its content type, and determine its length without throwing exceptions. The class is designed to be used as part of larger HTTP client implementations that need to modify or enhance</t>
        </is>
      </c>
      <c r="M1042" t="n">
        <v>0.0033</v>
      </c>
      <c r="N1042" t="n">
        <v>0.0533</v>
      </c>
      <c r="O1042" t="n">
        <v>0.1449</v>
      </c>
    </row>
    <row r="1043">
      <c r="A1043" t="inlineStr">
        <is>
          <t>okhttp</t>
        </is>
      </c>
      <c r="B1043" t="inlineStr">
        <is>
          <t>okhttp-testing-support/src/main/kotlin/okhttp3/RecordingHostnameVerifier.kt</t>
        </is>
      </c>
      <c r="C1043">
        <f>HYPERLINK("https://github.com/square/okhttp/blob/master/okhttp-testing-support/src/main/kotlin/okhttp3/RecordingHostnameVerifier.kt")</f>
        <v/>
      </c>
      <c r="D1043" t="inlineStr">
        <is>
          <t>The `RecordingHostnameVerifier` class implements a custom `HostnameVerifier` that records each hostname it verifies during SSL/TLS handshake attempts. It uses a synchronized method to add verification requests to a list called `calls`. This allows developers to track which hostnames have been verified without modifying the original implementation.</t>
        </is>
      </c>
      <c r="E1043" t="n">
        <v>0.0048</v>
      </c>
      <c r="F1043" t="n">
        <v>0.0727</v>
      </c>
      <c r="G1043" t="n">
        <v>0.1271</v>
      </c>
      <c r="H1043" t="inlineStr">
        <is>
          <t>This Java class `RecordingHostnameVerifier` implements a custom `HostnameVerifier` from the OkHttp library. It records all hostnames that it verifies during its operations and returns `true` for each verification. This can be useful for monitoring network requests made through OkHttp.</t>
        </is>
      </c>
      <c r="I1043" t="n">
        <v>0.0062</v>
      </c>
      <c r="J1043" t="n">
        <v>0.1277</v>
      </c>
      <c r="K1043" t="n">
        <v>0.1802</v>
      </c>
      <c r="L1043" t="inlineStr">
        <is>
          <t>The `RecordingHostnameVerifier` class implements a custom `HostnameVerifier` that records each hostname verification call made during SSL/TLS handshake attempts. It uses a synchronized list called `calls` to store these verifications, allowing developers to track which hostnames were verified without modifying the original implementation.</t>
        </is>
      </c>
      <c r="M1043" t="n">
        <v>0.0044</v>
      </c>
      <c r="N1043" t="n">
        <v>0.0392</v>
      </c>
      <c r="O1043" t="n">
        <v>0.0877</v>
      </c>
    </row>
    <row r="1044">
      <c r="A1044" t="inlineStr">
        <is>
          <t>okhttp</t>
        </is>
      </c>
      <c r="B1044" t="inlineStr">
        <is>
          <t>okhttp-testing-support/src/main/kotlin/okhttp3/DelegatingSocketFactory.kt</t>
        </is>
      </c>
      <c r="C1044">
        <f>HYPERLINK("https://github.com/square/okhttp/blob/master/okhttp-testing-support/src/main/kotlin/okhttp3/DelegatingSocketFactory.kt")</f>
        <v/>
      </c>
      <c r="D1044" t="inlineStr">
        <is>
          <t>The `DelegatingSocketFactory` class is a custom implementation of the `SocketFactory` interface from the OkHttp library. It allows delegating socket creation to another `SocketFactory`, enabling customization of sockets after they have been created. The class provides methods to create sockets (`createSocket`) and configure them using the overridden `configureSocket` method. This design pattern is useful for extending the behavior</t>
        </is>
      </c>
      <c r="E1044" t="n">
        <v>0.0038</v>
      </c>
      <c r="F1044" t="n">
        <v>0.0615</v>
      </c>
      <c r="G1044" t="n">
        <v>0.155</v>
      </c>
      <c r="H1044" t="inlineStr">
        <is>
          <t>The code defines a `DelegatingSocketFactory` class that extends `SocketFactory`. It provides a base implementation for creating sockets and allows customization through the `configureSocket` method. The README describes the purpose as implementing core algorithms within a backend software component. Complexity is rated as O(N), indicating linear time complexity, and comments explain the implementation details.</t>
        </is>
      </c>
      <c r="I1044" t="n">
        <v>0.0045</v>
      </c>
      <c r="J1044" t="n">
        <v>0.0968</v>
      </c>
      <c r="K1044" t="n">
        <v>0.16</v>
      </c>
      <c r="L1044" t="inlineStr">
        <is>
          <t>This `DelegatingSocketFactory` class extends `SocketFactory`, allowing developers to customize socket configurations after they have been created. It provides a way to modify sockets based on their properties before they are used for network communication. The factory uses another `SocketFactory` as its delegate, delegating most methods to it while providing additional customization options through overridden methods like `.configureSocket`.</t>
        </is>
      </c>
      <c r="M1044" t="n">
        <v>0.0032</v>
      </c>
      <c r="N1044" t="n">
        <v>0.0308</v>
      </c>
      <c r="O1044" t="n">
        <v>0.0775</v>
      </c>
    </row>
    <row r="1045">
      <c r="A1045" t="inlineStr">
        <is>
          <t>okhttp</t>
        </is>
      </c>
      <c r="B1045" t="inlineStr">
        <is>
          <t>okhttp-testing-support/src/main/kotlin/okhttp3/FailingCall.kt</t>
        </is>
      </c>
      <c r="C1045">
        <f>HYPERLINK("https://github.com/square/okhttp/blob/master/okhttp-testing-support/src/main/kotlin/okhttp3/FailingCall.kt")</f>
        <v/>
      </c>
      <c r="D1045" t="inlineStr">
        <is>
          <t>The provided Kotlin code defines a `FailingCall` class that extends the `Call` interface from the OkHttp library. This class intentionally throws exceptions when any method is called, simulating a failing call scenario. The purpose of this implementation is likely to test error handling mechanisms within applications using OkHttp.</t>
        </is>
      </c>
      <c r="E1045" t="n">
        <v>0.0038</v>
      </c>
      <c r="F1045" t="n">
        <v>0.07140000000000001</v>
      </c>
      <c r="G1045" t="n">
        <v>0.125</v>
      </c>
      <c r="H1045" t="inlineStr">
        <is>
          <t>This repository contains backend software components implementing core algorithms. The complexity of the implementation is O(N), indicating linear time complexity.</t>
        </is>
      </c>
      <c r="I1045" t="n">
        <v>0.0127</v>
      </c>
      <c r="J1045" t="n">
        <v>0.2759</v>
      </c>
      <c r="K1045" t="n">
        <v>0.2174</v>
      </c>
      <c r="L1045" t="inlineStr">
        <is>
          <t>The `FailingCall` class extends the `Call` interface and provides implementations that always throw exceptions when any method is called, indicating that the call will fail due to unexpected conditions. The class is designed to be used as a placeholder or test case where calls should consistently fail without executing actual network requests.</t>
        </is>
      </c>
      <c r="M1045" t="n">
        <v>0.0035</v>
      </c>
      <c r="N1045" t="n">
        <v>0.0333</v>
      </c>
      <c r="O1045" t="n">
        <v>0.121</v>
      </c>
    </row>
    <row r="1046">
      <c r="A1046" t="inlineStr">
        <is>
          <t>okhttp</t>
        </is>
      </c>
      <c r="B1046" t="inlineStr">
        <is>
          <t>okhttp-testing-support/src/main/kotlin/okhttp3/ConnectionEvent.kt</t>
        </is>
      </c>
      <c r="C1046">
        <f>HYPERLINK("https://github.com/square/okhttp/blob/master/okhttp-testing-support/src/main/kotlin/okhttp3/ConnectionEvent.kt")</f>
        <v/>
      </c>
      <c r="D1046" t="inlineStr">
        <is>
          <t>The provided code defines a sealed class `ConnectionEvent` within the `okhttp3` package, which represents events related to connections in HTTP requests using OkHttp library. It includes fields such as `timestampNs` and an abstract method `connection`. The class is annotated with suppress annotations to handle visibility issues during compilation. This design allows for easy extension and tracking of different types of connection-related events.</t>
        </is>
      </c>
      <c r="E1046" t="n">
        <v>0.0035</v>
      </c>
      <c r="F1046" t="n">
        <v>0.0563</v>
      </c>
      <c r="G1046" t="n">
        <v>0.1119</v>
      </c>
      <c r="H1046" t="inlineStr">
        <is>
          <t>The repository contains backend software components implementing core algorithms. The complexity is O(N), indicating linear time operations, and comments describe the implementation as core algorithm implementations. The commits include an initial codebase commit. The total size of the codebase is 1000 lines.</t>
        </is>
      </c>
      <c r="I1046" t="n">
        <v>0.0058</v>
      </c>
      <c r="J1046" t="n">
        <v>0.1569</v>
      </c>
      <c r="K1046" t="n">
        <v>0.1754</v>
      </c>
      <c r="L1046" t="inlineStr">
        <is>
          <t>This Kotlin package defines sealed data classes representing events related to connections in the OkHttp library. The `ConnectionEvent` class serves as a base for various types of connection-related events, such as when a connection is established (`CONNECTED`) or closed (`DISCONNECTED`). Each event includes a timestamp indicating when the event occurred and a reference to the associated connection object. The `@SuppressSignatureCheck`</t>
        </is>
      </c>
      <c r="M1046" t="n">
        <v>0.0036</v>
      </c>
      <c r="N1046" t="n">
        <v>0.058</v>
      </c>
      <c r="O1046" t="n">
        <v>0.07580000000000001</v>
      </c>
    </row>
    <row r="1047">
      <c r="A1047" t="inlineStr">
        <is>
          <t>okhttp</t>
        </is>
      </c>
      <c r="B1047" t="inlineStr">
        <is>
          <t>okhttp-testing-support/src/main/kotlin/okhttp3/OkHttpClientTestRule.kt</t>
        </is>
      </c>
      <c r="C1047">
        <f>HYPERLINK("https://github.com/square/okhttp/blob/master/okhttp-testing-support/src/main/kotlin/okhttp3/OkHttpClientTestRule.kt")</f>
        <v/>
      </c>
      <c r="D1047" t="inlineStr">
        <is>
          <t>The provided code defines a package `okhttp3` that includes various classes and utilities related to HTTP client libraries. It uses Android annotations and Java logging facilities to manage thread factories, time units, log handlers, levels, and records. The complexity is O(N), indicating it involves processing N elements or operations. The comments suggest that the implementation focuses on core algorithms used in HTTP client development.</t>
        </is>
      </c>
      <c r="E1047" t="n">
        <v>0.0034</v>
      </c>
      <c r="F1047" t="n">
        <v>0.0548</v>
      </c>
      <c r="G1047" t="n">
        <v>0.1471</v>
      </c>
      <c r="H1047" t="inlineStr">
        <is>
          <t>Manages logging configuration for OkHttpClient library.</t>
        </is>
      </c>
      <c r="I1047" t="n">
        <v>0</v>
      </c>
      <c r="J1047" t="n">
        <v>0</v>
      </c>
      <c r="K1047" t="n">
        <v>0</v>
      </c>
      <c r="L1047" t="inlineStr">
        <is>
          <t>This Java package provides classes and utilities for building HTTP clients using OkHttp, including support for various network configurations such as timeouts, thread pools, and logging handlers. The code includes methods for creating custom `ThreadFactory`, managing connection pool settings, configuring SSL/TLS protocols, and setting up logging levels. It also supports interceptors for modifying requests and responses during transmission.</t>
        </is>
      </c>
      <c r="M1047" t="n">
        <v>0.0037</v>
      </c>
      <c r="N1047" t="n">
        <v>0.0597</v>
      </c>
      <c r="O1047" t="n">
        <v>0.1154</v>
      </c>
    </row>
    <row r="1048">
      <c r="A1048" t="inlineStr">
        <is>
          <t>okhttp</t>
        </is>
      </c>
      <c r="B1048" t="inlineStr">
        <is>
          <t>okhttp-testing-support/src/main/kotlin/okhttp3/DelegatingSSLSocket.kt</t>
        </is>
      </c>
      <c r="C1048">
        <f>HYPERLINK("https://github.com/square/okhttp/blob/master/okhttp-testing-support/src/main/kotlin/okhttp3/DelegatingSSLSocket.kt")</f>
        <v/>
      </c>
      <c r="D1048" t="inlineStr">
        <is>
          <t>The provided Java code defines a class `OkHttpClient` within the package `okhttp3`. This class appears to be part of a library that handles HTTP requests using SSL/TLS encryption. The code includes methods for establishing connections, sending data over sockets, handling SSL handshakes, and managing SSL sessions. It also supports various network operations such as connecting to servers, reading from input streams, and</t>
        </is>
      </c>
      <c r="E1048" t="n">
        <v>0.0035</v>
      </c>
      <c r="F1048" t="n">
        <v>0.0563</v>
      </c>
      <c r="G1048" t="n">
        <v>0.1119</v>
      </c>
      <c r="H1048" t="inlineStr">
        <is>
          <t>Implements core algorithms for backend software components. Complexity is O(N).</t>
        </is>
      </c>
      <c r="I1048" t="n">
        <v>0.0251</v>
      </c>
      <c r="J1048" t="n">
        <v>0.2105</v>
      </c>
      <c r="K1048" t="n">
        <v>0.3117</v>
      </c>
      <c r="L1048" t="inlineStr">
        <is>
          <t>This Java library provides a high-level API for making HTTP requests using OkHttp, which includes support for SSL/TLS encryption and asynchronous network I/O. The code handles various aspects such as establishing connections, sending and receiving data over sockets, managing SSL parameters, and handling handshake completion events. It also supports input/output streams for reading from and writing to sockets.</t>
        </is>
      </c>
      <c r="M1048" t="n">
        <v>0.0037</v>
      </c>
      <c r="N1048" t="n">
        <v>0.0571</v>
      </c>
      <c r="O1048" t="n">
        <v>0.1154</v>
      </c>
    </row>
    <row r="1049">
      <c r="A1049" t="inlineStr">
        <is>
          <t>okhttp</t>
        </is>
      </c>
      <c r="B1049" t="inlineStr">
        <is>
          <t>okhttp-testing-support/src/main/kotlin/okhttp3/ClientRuleEventListener.kt</t>
        </is>
      </c>
      <c r="C1049">
        <f>HYPERLINK("https://github.com/square/okhttp/blob/master/okhttp-testing-support/src/main/kotlin/okhttp3/ClientRuleEventListener.kt")</f>
        <v/>
      </c>
      <c r="D1049" t="inlineStr">
        <is>
          <t>The `ClientRuleEventListener` class implements the `EventListener` interface from the OkHttp library, which provides callbacks for various events during HTTP requests. It logs messages using a custom logger function and records the start time of each request. The class also serves as a factory for creating event listeners, allowing it to be used throughout the application's network operations.</t>
        </is>
      </c>
      <c r="E1049" t="n">
        <v>0.0038</v>
      </c>
      <c r="F1049" t="n">
        <v>0.09089999999999999</v>
      </c>
      <c r="G1049" t="n">
        <v>0.1981</v>
      </c>
      <c r="H1049" t="inlineStr">
        <is>
          <t>The repository contains backend software components implementing core algorithms. The complexity is O(N), indicating linear time complexity. Comments describe the implementation of core algorithms. Initial codebase commit was made. The total size of the code is 1000 lines.</t>
        </is>
      </c>
      <c r="I1049" t="n">
        <v>0.0058</v>
      </c>
      <c r="J1049" t="n">
        <v>0.1277</v>
      </c>
      <c r="K1049" t="n">
        <v>0.1364</v>
      </c>
      <c r="L1049" t="inlineStr">
        <is>
          <t>The `ClientRuleEventListener` class implements both `EventListener` and `EventListener.Factory`, providing logging capabilities for HTTP requests made through OkHttp clients. It logs request details such as method, URL, headers, and response status codes. The listener measures and records the time taken for each request using system nanoseconds since the epoch. The class uses a lambda function to handle log messages and can be configured to</t>
        </is>
      </c>
      <c r="M1049" t="n">
        <v>0.0034</v>
      </c>
      <c r="N1049" t="n">
        <v>0.0833</v>
      </c>
      <c r="O1049" t="n">
        <v>0.1111</v>
      </c>
    </row>
    <row r="1050">
      <c r="A1050" t="inlineStr">
        <is>
          <t>okhttp</t>
        </is>
      </c>
      <c r="B1050" t="inlineStr">
        <is>
          <t>okhttp-testing-support/src/main/kotlin/okhttp3/DelegatingSSLSocketFactory.kt</t>
        </is>
      </c>
      <c r="C1050">
        <f>HYPERLINK("https://github.com/square/okhttp/blob/master/okhttp-testing-support/src/main/kotlin/okhttp3/DelegatingSSLSocketFactory.kt")</f>
        <v/>
      </c>
      <c r="D1050" t="inlineStr">
        <is>
          <t>The `DelegatingSSLSocketFactory` class extends `SSLSocketFactory`, allowing it to wrap another `SSLSocketFactory`. It provides a way to configure SSL sockets after they have been created by overriding the `configureSocket` method. This allows developers to customize SSL socket settings dynamically without modifying the underlying factory implementation directly. The class is designed to be flexible and extensible, enabling</t>
        </is>
      </c>
      <c r="E1050" t="n">
        <v>0.004</v>
      </c>
      <c r="F1050" t="n">
        <v>0.09520000000000001</v>
      </c>
      <c r="G1050" t="n">
        <v>0.1181</v>
      </c>
      <c r="H1050" t="inlineStr">
        <is>
          <t>This repository contains backend software components implementing core algorithms. Complexity is O(N), indicating linear time complexity, which involves processing each element once. The comments describe the implementation of these algorithms. The commits include an initial codebase commit. The total size of the codebase is 1000 lines.</t>
        </is>
      </c>
      <c r="I1050" t="n">
        <v>0.0053</v>
      </c>
      <c r="J1050" t="n">
        <v>0.1455</v>
      </c>
      <c r="K1050" t="n">
        <v>0.1695</v>
      </c>
      <c r="L1050" t="inlineStr">
        <is>
          <t>This `DelegatingSSLSocketFactory` class extends `SSLSocketFactory`, allowing users to configure SSL sockets after they have been created. It uses another `SSLSocketFactory` as a delegate to handle most socket configurations while providing flexibility to override certain settings through the `.configureSocket` method. The implementation complexity is O(1), making it efficient for handling SSL connections.</t>
        </is>
      </c>
      <c r="M1050" t="n">
        <v>0.0036</v>
      </c>
      <c r="N1050" t="n">
        <v>0.0667</v>
      </c>
      <c r="O1050" t="n">
        <v>0.122</v>
      </c>
    </row>
    <row r="1051">
      <c r="A1051" t="inlineStr">
        <is>
          <t>okhttp</t>
        </is>
      </c>
      <c r="B1051" t="inlineStr">
        <is>
          <t>okhttp-testing-support/src/main/kotlin/okhttp3/UppercaseResponseInterceptor.kt</t>
        </is>
      </c>
      <c r="C1051">
        <f>HYPERLINK("https://github.com/square/okhttp/blob/master/okhttp-testing-support/src/main/kotlin/okhttp3/UppercaseResponseInterceptor.kt")</f>
        <v/>
      </c>
      <c r="D1051" t="inlineStr">
        <is>
          <t>The provided code defines a custom `UppercaseResponseInterceptor` class that implements the `Interceptor` interface from OkHttp library. This interceptor modifies the response body received from the server by converting it entirely to uppercase before passing it back to the caller. The implementation uses Java's I/O classes to read the input stream, convert each character to uppercase using a loop, and then write the modified data</t>
        </is>
      </c>
      <c r="E1051" t="n">
        <v>0.0037</v>
      </c>
      <c r="F1051" t="n">
        <v>0.08110000000000001</v>
      </c>
      <c r="G1051" t="n">
        <v>0.1471</v>
      </c>
      <c r="H1051" t="inlineStr">
        <is>
          <t>Implements a custom interceptor that modifies HTTP responses by converting their bodies to uppercase.</t>
        </is>
      </c>
      <c r="I1051" t="n">
        <v>0</v>
      </c>
      <c r="J1051" t="n">
        <v>0.09089999999999999</v>
      </c>
      <c r="K1051" t="n">
        <v>0.0581</v>
      </c>
      <c r="L1051" t="inlineStr">
        <is>
          <t>The `UppercaseResponseInterceptor` class is an OkHttp interceptor that modifies the response body received from the server by converting it entirely to uppercase before passing it back to the client. It uses a custom `BufferedSource` implementation to achieve this transformation. The interceptor is designed to handle any HTTP request/response pair processed by OkHttp, ensuring that the response content is transformed as needed.</t>
        </is>
      </c>
      <c r="M1051" t="n">
        <v>0</v>
      </c>
      <c r="N1051" t="n">
        <v>0.0286</v>
      </c>
      <c r="O1051" t="n">
        <v>0.1128</v>
      </c>
    </row>
    <row r="1052">
      <c r="A1052" t="inlineStr">
        <is>
          <t>okhttp</t>
        </is>
      </c>
      <c r="B1052" t="inlineStr">
        <is>
          <t>okhttp-testing-support/src/main/kotlin/okhttp3/TestValueFactory.kt</t>
        </is>
      </c>
      <c r="C1052">
        <f>HYPERLINK("https://github.com/square/okhttp/blob/master/okhttp-testing-support/src/main/kotlin/okhttp3/TestValueFactory.kt")</f>
        <v/>
      </c>
      <c r="D1052" t="inlineStr">
        <is>
          <t>The provided Java code defines a package `okhttp3` that includes classes related to HTTP client operations using OkHttp library. It provides interfaces such as `Closeable`, `Socket`, and `HostnameVerifier`. The code also includes annotations like `@file:Suppress` to suppress warnings about certain visibility issues. The complexity of the implementation is O(N), indicating linear time complexity, which suggests it processes</t>
        </is>
      </c>
      <c r="E1052" t="n">
        <v>0.0032</v>
      </c>
      <c r="F1052" t="n">
        <v>0.0299</v>
      </c>
      <c r="G1052" t="n">
        <v>0.1163</v>
      </c>
      <c r="H1052" t="inlineStr">
        <is>
          <t>Implements core algorithms for backend software components.</t>
        </is>
      </c>
      <c r="I1052" t="n">
        <v>0.0341</v>
      </c>
      <c r="J1052" t="n">
        <v>0.2667</v>
      </c>
      <c r="K1052" t="n">
        <v>0.3235</v>
      </c>
      <c r="L1052" t="inlineStr">
        <is>
          <t>The provided code defines a package `okhttp3` that includes classes and interfaces related to HTTP client functionalities such as making network requests, handling proxies, SSL/TLS connections, and managing timeouts. The code uses Java's networking libraries and annotations to ensure compatibility and security. It provides methods for creating sockets, setting up proxy configurations, and configuring SSL settings. The code also includes support for customizing connection</t>
        </is>
      </c>
      <c r="M1052" t="n">
        <v>0.0028</v>
      </c>
      <c r="N1052" t="n">
        <v>0.0541</v>
      </c>
      <c r="O1052" t="n">
        <v>0.0735</v>
      </c>
    </row>
    <row r="1053">
      <c r="A1053" t="inlineStr">
        <is>
          <t>okhttp</t>
        </is>
      </c>
      <c r="B1053" t="inlineStr">
        <is>
          <t>okhttp-testing-support/src/main/kotlin/okhttp3/TestUtilJvm.kt</t>
        </is>
      </c>
      <c r="C1053">
        <f>HYPERLINK("https://github.com/square/okhttp/blob/master/okhttp-testing-support/src/main/kotlin/okhttp3/TestUtilJvm.kt")</f>
        <v/>
      </c>
      <c r="D1053" t="inlineStr">
        <is>
          <t>The provided code appears to be part of the OkHttp library, specifically within its test utilities package. It includes several utility classes and methods used for testing HTTP requests and responses. The main functionalities include:
1. **Test Utility Classes**: Contains various helper classes such as `TestU` which likely provides additional utility functions for testing purposes.
2. **Network Testing Utilities**:
   - Methods for creating</t>
        </is>
      </c>
      <c r="E1053" t="n">
        <v>0.0029</v>
      </c>
      <c r="F1053" t="n">
        <v>0.0286</v>
      </c>
      <c r="G1053" t="n">
        <v>0.0741</v>
      </c>
      <c r="H1053" t="inlineStr">
        <is>
          <t>This repository contains backend software components that implement core algorithms. The complexity of these implementations is O(N), indicating linear time complexity. The code size is 1000 lines, which suggests it includes multiple classes and methods.</t>
        </is>
      </c>
      <c r="I1053" t="n">
        <v>0.0075</v>
      </c>
      <c r="J1053" t="n">
        <v>0.2273</v>
      </c>
      <c r="K1053" t="n">
        <v>0.2336</v>
      </c>
      <c r="L1053" t="inlineStr">
        <is>
          <t>The `TestU` object appears to be part of a larger project that includes unit tests using JUnit Jupiter. It likely serves as a utility class containing test-related methods or constants used across various tests within the project. The comments indicate that the class is intended for internal testing purposes only, suggesting it might contain helper functions or assertions that support other test classes without being exposed publicly.</t>
        </is>
      </c>
      <c r="M1053" t="n">
        <v>0</v>
      </c>
      <c r="N1053" t="n">
        <v>0.0263</v>
      </c>
      <c r="O1053" t="n">
        <v>0.036</v>
      </c>
    </row>
    <row r="1054">
      <c r="A1054" t="inlineStr">
        <is>
          <t>okhttp</t>
        </is>
      </c>
      <c r="B1054" t="inlineStr">
        <is>
          <t>okhttp-testing-support/src/main/kotlin/okhttp3/TestUtilCommon.kt</t>
        </is>
      </c>
      <c r="C1054">
        <f>HYPERLINK("https://github.com/square/okhttp/blob/master/okhttp-testing-support/src/main/kotlin/okhttp3/TestUtilCommon.kt")</f>
        <v/>
      </c>
      <c r="D1054" t="inlineStr">
        <is>
          <t>The code defines two functions:
1. `okHttpRoot`: This function retrieves the value of the environment variable named "OKHTTP_ROOT", converts it to a path using Kotlin's `Path` class, and returns it.
2. A string interpolation function that takes a list of Unicode code points as arguments, writes them to a buffer, reads them back into a UTF-8 encoded string, and</t>
        </is>
      </c>
      <c r="E1054" t="n">
        <v>0.0037</v>
      </c>
      <c r="F1054" t="n">
        <v>0.0857</v>
      </c>
      <c r="G1054" t="n">
        <v>0.1145</v>
      </c>
      <c r="H1054" t="inlineStr">
        <is>
          <t>This repository contains backend software components that implement core algorithms using Kotlin. The complexity of these implementations is O(N), indicating linear time complexity relative to the input size.</t>
        </is>
      </c>
      <c r="I1054" t="n">
        <v>0.008800000000000001</v>
      </c>
      <c r="J1054" t="n">
        <v>0.2162</v>
      </c>
      <c r="K1054" t="n">
        <v>0.25</v>
      </c>
      <c r="L1054" t="inlineStr">
        <is>
          <t>The provided code defines a Kotlin package `okhttp3` that includes utility functions such as retrieving the environment variable `OKHTTP_ROOT` and converting a sequence of Unicode code points into a string using an `Okio` buffer. The `okHttpRoot` function reads the value from the environment and converts it to a path object. The `String` constructor takes a variable number of integer arguments representing</t>
        </is>
      </c>
      <c r="M1054" t="n">
        <v>0.003</v>
      </c>
      <c r="N1054" t="n">
        <v>0.0571</v>
      </c>
      <c r="O1054" t="n">
        <v>0.0752</v>
      </c>
    </row>
    <row r="1055">
      <c r="A1055" t="inlineStr">
        <is>
          <t>okhttp</t>
        </is>
      </c>
      <c r="B1055" t="inlineStr">
        <is>
          <t>okhttp-testing-support/src/main/kotlin/okhttp3/FakeDns.kt</t>
        </is>
      </c>
      <c r="C1055">
        <f>HYPERLINK("https://github.com/square/okhttp/blob/master/okhttp-testing-support/src/main/kotlin/okhttp3/FakeDns.kt")</f>
        <v/>
      </c>
      <c r="D1055" t="inlineStr">
        <is>
          <t>The provided code defines a `FakeDns` class that implements the `Dns` interface from the OkHttp library. It simulates DNS resolution by maintaining a map of hosts to their corresponding IP addresses. The class provides methods to add new entries to the mapping, request DNS resolutions, and retrieve the list of requested hosts. This implementation is used for testing purposes within the OkHttp framework.</t>
        </is>
      </c>
      <c r="E1055" t="n">
        <v>0.0038</v>
      </c>
      <c r="F1055" t="n">
        <v>0.0563</v>
      </c>
      <c r="G1055" t="n">
        <v>0.1481</v>
      </c>
      <c r="H1055" t="inlineStr">
        <is>
          <t>This repository contains backend software components that implement core algorithms. The complexity of these implementations is O(N), indicating linear time complexity relative to the size of input data. The code base includes various classes and methods designed to perform essential operations efficiently.</t>
        </is>
      </c>
      <c r="I1055" t="n">
        <v>0.0062</v>
      </c>
      <c r="J1055" t="n">
        <v>0.1961</v>
      </c>
      <c r="K1055" t="n">
        <v>0.2193</v>
      </c>
      <c r="L1055" t="inlineStr">
        <is>
          <t>The `FakeDns` class implements the `Dns` interface from OkHttp, providing a mock DNS resolution service. It allows setting up predefined mappings between domain names and their corresponding IP addresses using a map. The class maintains two lists: one for storing the hosts that have been requested and another for storing the resolved IP addresses. When resolving a hostname, it checks if the hostname has already been</t>
        </is>
      </c>
      <c r="M1055" t="n">
        <v>0.0033</v>
      </c>
      <c r="N1055" t="n">
        <v>0.0541</v>
      </c>
      <c r="O1055" t="n">
        <v>0.1087</v>
      </c>
    </row>
    <row r="1056">
      <c r="A1056" t="inlineStr">
        <is>
          <t>okhttp</t>
        </is>
      </c>
      <c r="B1056" t="inlineStr">
        <is>
          <t>okhttp-testing-support/src/main/kotlin/okhttp3/SimpleProvider.kt</t>
        </is>
      </c>
      <c r="C1056">
        <f>HYPERLINK("https://github.com/square/okhttp/blob/master/okhttp-testing-support/src/main/kotlin/okhttp3/SimpleProvider.kt")</f>
        <v/>
      </c>
      <c r="D1056" t="inlineStr">
        <is>
          <t>The provided Kotlin code defines an abstract class `SimpleProvider` that implements the `ArgumentsProvider` interface from JUnit Jupiter. This class is designed to be used as a parameter provider for test cases within JUnit tests. The method `provideArguments` returns a stream of `Arguments`, which can be consumed by test methods to provide input data for testing purposes. The implementation uses the `arguments()` method</t>
        </is>
      </c>
      <c r="E1056" t="n">
        <v>0.0035</v>
      </c>
      <c r="F1056" t="n">
        <v>0.0571</v>
      </c>
      <c r="G1056" t="n">
        <v>0.1119</v>
      </c>
      <c r="H1056" t="inlineStr">
        <is>
          <t>This repository contains backend software components implementing core algorithms. The complexity of these implementations is O(N), indicating linear time complexity.</t>
        </is>
      </c>
      <c r="I1056" t="n">
        <v>0.0127</v>
      </c>
      <c r="J1056" t="n">
        <v>0.2759</v>
      </c>
      <c r="K1056" t="n">
        <v>0.2174</v>
      </c>
      <c r="L1056" t="inlineStr">
        <is>
          <t>This abstract class `SimpleProvider` serves as a base for providing test data using JUnit Jupiter's parameterized testing framework. It defines an interface for generating test cases dynamically based on predefined input values. The method `provideArguments` returns an iterable of test case arguments, which can be used in tests to verify various scenarios.</t>
        </is>
      </c>
      <c r="M1056" t="n">
        <v>0.0035</v>
      </c>
      <c r="N1056" t="n">
        <v>0.0328</v>
      </c>
      <c r="O1056" t="n">
        <v>0.0806</v>
      </c>
    </row>
    <row r="1057">
      <c r="A1057" t="inlineStr">
        <is>
          <t>okhttp</t>
        </is>
      </c>
      <c r="B1057" t="inlineStr">
        <is>
          <t>okhttp-testing-support/src/main/kotlin/okhttp3/RecordingCookieJar.kt</t>
        </is>
      </c>
      <c r="C1057">
        <f>HYPERLINK("https://github.com/square/okhttp/blob/master/okhttp-testing-support/src/main/kotlin/okhttp3/RecordingCookieJar.kt")</f>
        <v/>
      </c>
      <c r="D1057" t="inlineStr">
        <is>
          <t>The `RecordingCookieJar` class implements a simple cookie jar that records both incoming and outgoing HTTP requests and responses. It uses two deques (`requestCookies` and `responseCookies`) to store lists of cookies associated with each request and response. The `enqueueRequestCookies` method adds a list of cookies to the `requestCookies` deque. This class can be used for testing purposes where it captures</t>
        </is>
      </c>
      <c r="E1057" t="n">
        <v>0.0041</v>
      </c>
      <c r="F1057" t="n">
        <v>0.0597</v>
      </c>
      <c r="G1057" t="n">
        <v>0.1527</v>
      </c>
      <c r="H1057" t="inlineStr">
        <is>
          <t>This repository contains backend software components that implement core algorithms. The complexity is O(N), indicating linear time complexity for certain operations. Comments describe the implementation details, and commits include the initial codebase creation. The total size of the codebase is 1000 lines.</t>
        </is>
      </c>
      <c r="I1057" t="n">
        <v>0.0062</v>
      </c>
      <c r="J1057" t="n">
        <v>0.1961</v>
      </c>
      <c r="K1057" t="n">
        <v>0.2193</v>
      </c>
      <c r="L1057" t="inlineStr">
        <is>
          <t>The `RecordingCookieJar` class implements a simple cookie jar that records both incoming and outgoing HTTP requests and responses. It uses two deques (`requestCookies` and `responseCookies`) to store lists of cookies associated with each request and response, respectively. The `enqueueRequestCookies` method allows adding multiple cookies to the list of request cookies.</t>
        </is>
      </c>
      <c r="M1057" t="n">
        <v>0.0044</v>
      </c>
      <c r="N1057" t="n">
        <v>0.06900000000000001</v>
      </c>
      <c r="O1057" t="n">
        <v>0.123</v>
      </c>
    </row>
    <row r="1058">
      <c r="A1058" t="inlineStr">
        <is>
          <t>okhttp</t>
        </is>
      </c>
      <c r="B1058" t="inlineStr">
        <is>
          <t>okhttp-testing-support/src/main/kotlin/okhttp3/testing/PlatformRule.kt</t>
        </is>
      </c>
      <c r="C1058">
        <f>HYPERLINK("https://github.com/square/okhttp/blob/master/okhttp-testing-support/src/main/kotlin/okhttp3/testing/PlatformRule.kt")</f>
        <v/>
      </c>
      <c r="D1058" t="inlineStr">
        <is>
          <t>The provided code defines a package `okhttp3.testing` that includes classes and methods for testing purposes related to OkHttp library. It uses Android-specific features like Amazon Corretto Crypto Provider for cryptographic operations and Jdk8WithJettyBootPlatform for platform compatibility checks. The code also includes utility functions from `okhttp3.TestUtil`. The complexity of the implementation is O(N), where N</t>
        </is>
      </c>
      <c r="E1058" t="n">
        <v>0.0034</v>
      </c>
      <c r="F1058" t="n">
        <v>0.0303</v>
      </c>
      <c r="G1058" t="n">
        <v>0.119</v>
      </c>
      <c r="H1058" t="inlineStr">
        <is>
          <t>The code implements core algorithms for a backend software component. It includes various platform-specific implementations such as ConscryptPlatform, Jdk8WithJettyBootPlatform, and AmazonCorrettoCryptoProvider. The complexity is O(N), indicating that it processes data linearly based on input size.</t>
        </is>
      </c>
      <c r="I1058" t="n">
        <v>0.0134</v>
      </c>
      <c r="J1058" t="n">
        <v>0.1333</v>
      </c>
      <c r="K1058" t="n">
        <v>0.295</v>
      </c>
      <c r="L1058" t="inlineStr">
        <is>
          <t>This code provides platform-specific implementations for testing purposes using OkHttp library. It includes support for Amazon Corretto's cryptographic provider, Jdk8WithJettyBootPlatform, and ConscryptPlatform, allowing developers to test various platforms effectively. The implementation complexity is O(N), where N represents the number of supported platforms.</t>
        </is>
      </c>
      <c r="M1058" t="n">
        <v>0.0052</v>
      </c>
      <c r="N1058" t="n">
        <v>0.1132</v>
      </c>
      <c r="O1058" t="n">
        <v>0.1754</v>
      </c>
    </row>
    <row r="1059">
      <c r="A1059" t="inlineStr">
        <is>
          <t>okhttp</t>
        </is>
      </c>
      <c r="B1059" t="inlineStr">
        <is>
          <t>okhttp-testing-support/src/main/kotlin/okhttp3/testing/Flaky.kt</t>
        </is>
      </c>
      <c r="C1059">
        <f>HYPERLINK("https://github.com/square/okhttp/blob/master/okhttp-testing-support/src/main/kotlin/okhttp3/testing/Flaky.kt")</f>
        <v/>
      </c>
      <c r="D1059" t="inlineStr">
        <is>
          <t>The provided code defines an annotation `Flaky` that marks tests as potentially unstable due to external factors such as network issues or server downtime. The annotation includes metadata about the GitHub issue associated with the flakiness, but it does not suppress the test failures; instead, it encourages additional logging and investigation into why the test might be failing. The complexity of the implementation is O(N), indicating linear time</t>
        </is>
      </c>
      <c r="E1059" t="n">
        <v>0.0027</v>
      </c>
      <c r="F1059" t="n">
        <v>0.026</v>
      </c>
      <c r="G1059" t="n">
        <v>0.07140000000000001</v>
      </c>
      <c r="H1059" t="inlineStr">
        <is>
          <t>This repository contains backend software components that implement core algorithms. The complexity of these implementations is O(N), indicating linear time complexity. The README provides information about the repository's purpose and structure.</t>
        </is>
      </c>
      <c r="I1059" t="n">
        <v>0.008500000000000001</v>
      </c>
      <c r="J1059" t="n">
        <v>0.2439</v>
      </c>
      <c r="K1059" t="n">
        <v>0.2427</v>
      </c>
      <c r="L1059" t="inlineStr">
        <is>
          <t>The `Flaky` annotation marks tests that are expected to fail intermittently due to external factors such as network issues or server downtime. It provides guidance for developers to log additional details about these failures and link them to relevant GitHub issues, ensuring thorough testing and debugging processes. The annotation can be applied to classes or functions, indicating that they should be treated as potentially unreliable during automated testing.</t>
        </is>
      </c>
      <c r="M1059" t="n">
        <v>0.0027</v>
      </c>
      <c r="N1059" t="n">
        <v>0.0263</v>
      </c>
      <c r="O1059" t="n">
        <v>0.0357</v>
      </c>
    </row>
    <row r="1060">
      <c r="A1060" t="inlineStr">
        <is>
          <t>okhttp</t>
        </is>
      </c>
      <c r="B1060" t="inlineStr">
        <is>
          <t>okhttp-testing-support/src/main/kotlin/okhttp3/testing/PlatformVersion.kt</t>
        </is>
      </c>
      <c r="C1060">
        <f>HYPERLINK("https://github.com/square/okhttp/blob/master/okhttp-testing-support/src/main/kotlin/okhttp3/testing/PlatformVersion.kt")</f>
        <v/>
      </c>
      <c r="D1060" t="inlineStr">
        <is>
          <t>The `PlatformVersion` object provides a way to determine the Java Virtual Machine (JVM) version as an integer. It uses the system property `"java.specification.version"` to retrieve the JVM specification version string and converts it into an integer based on common versions like "1.8". The `majorVersion` property is initialized lazily using a `when` expression to handle different JVM specifications.</t>
        </is>
      </c>
      <c r="E1060" t="n">
        <v>0.0032</v>
      </c>
      <c r="F1060" t="n">
        <v>0.0294</v>
      </c>
      <c r="G1060" t="n">
        <v>0.0775</v>
      </c>
      <c r="H1060" t="inlineStr">
        <is>
          <t>Provides platform version information based on Java specification version.</t>
        </is>
      </c>
      <c r="I1060" t="n">
        <v>0</v>
      </c>
      <c r="J1060" t="n">
        <v>0</v>
      </c>
      <c r="K1060" t="n">
        <v>0</v>
      </c>
      <c r="L1060" t="inlineStr">
        <is>
          <t>This Kotlin object provides a platform version number based on the Java Virtual Machine specification version. It uses `System.getProperty` to retrieve the JVM version and maps it to an integer representation. The `majorVersion` property is initialized lazily using a `when` expression to handle different versions of Java.</t>
        </is>
      </c>
      <c r="M1060" t="n">
        <v>0.0046</v>
      </c>
      <c r="N1060" t="n">
        <v>0.07140000000000001</v>
      </c>
      <c r="O1060" t="n">
        <v>0.1261</v>
      </c>
    </row>
    <row r="1061">
      <c r="A1061" t="inlineStr">
        <is>
          <t>okhttp</t>
        </is>
      </c>
      <c r="B1061" t="inlineStr">
        <is>
          <t>okhttp-testing-support/src/main/kotlin/okhttp3/okio/LoggingFilesystem.kt</t>
        </is>
      </c>
      <c r="C1061">
        <f>HYPERLINK("https://github.com/square/okhttp/blob/master/okhttp-testing-support/src/main/kotlin/okhttp3/okio/LoggingFilesystem.kt")</f>
        <v/>
      </c>
      <c r="D1061" t="inlineStr">
        <is>
          <t>The `LoggingFilesystem` class extends `ForwardingFileSystem`, which means it forwards all method calls to another `FileSystem`. It includes a `log` function that prints messages to the console. The `appendingSink` method logs information about the sink being created before calling the superclass's implementation. This allows developers to monitor filesystem operations through logging.</t>
        </is>
      </c>
      <c r="E1061" t="n">
        <v>0.0037</v>
      </c>
      <c r="F1061" t="n">
        <v>0.0339</v>
      </c>
      <c r="G1061" t="n">
        <v>0.082</v>
      </c>
      <c r="H1061" t="inlineStr">
        <is>
          <t>This repository contains backend software components implementing core algorithms. The complexity is O(N), indicating linear time complexity. Comments describe the implementation of these algorithms. The code size is 1000 lines.</t>
        </is>
      </c>
      <c r="I1061" t="n">
        <v>0.008200000000000001</v>
      </c>
      <c r="J1061" t="n">
        <v>0.2051</v>
      </c>
      <c r="K1061" t="n">
        <v>0.1961</v>
      </c>
      <c r="L1061" t="inlineStr">
        <is>
          <t>The `LoggingFilesystem` class extends `ForwardingFileSystem`, adding logging capabilities to all file system operations. It logs each operation performed using the `log` method before calling the corresponding method from the underlying `FileSystem`. The `appendSink` method specifically logs when an appendable sink is created for a given path.</t>
        </is>
      </c>
      <c r="M1061" t="n">
        <v>0</v>
      </c>
      <c r="N1061" t="n">
        <v>0</v>
      </c>
      <c r="O1061" t="n">
        <v>0.0424</v>
      </c>
    </row>
    <row r="1062">
      <c r="A1062" t="inlineStr">
        <is>
          <t>okhttp</t>
        </is>
      </c>
      <c r="B1062" t="inlineStr">
        <is>
          <t>okhttp-testing-support/src/main/kotlin/okhttp3/internal/RecordingOkAuthenticator.kt</t>
        </is>
      </c>
      <c r="C1062">
        <f>HYPERLINK("https://github.com/square/okhttp/blob/master/okhttp-testing-support/src/main/kotlin/okhttp3/internal/RecordingOkAuthenticator.kt")</f>
        <v/>
      </c>
      <c r="D1062" t="inlineStr">
        <is>
          <t>The `RecordingOkAuthenticator` class implements an `okhttp3.Authenticator` that records both `Request` and `Response` objects when authentication occurs. It provides methods to retrieve the recorded response and route. The implementation uses a list to store these objects.</t>
        </is>
      </c>
      <c r="E1062" t="n">
        <v>0.0063</v>
      </c>
      <c r="F1062" t="n">
        <v>0.09089999999999999</v>
      </c>
      <c r="G1062" t="n">
        <v>0.1402</v>
      </c>
      <c r="H1062" t="inlineStr">
        <is>
          <t>This repository contains backend software components that implement core algorithms. The complexity of these implementations is O(N), indicating they scale linearly with input size. The code base has been initialized with a single commit containing the initial implementation.</t>
        </is>
      </c>
      <c r="I1062" t="n">
        <v>0.0064</v>
      </c>
      <c r="J1062" t="n">
        <v>0.1702</v>
      </c>
      <c r="K1062" t="n">
        <v>0.1818</v>
      </c>
      <c r="L1062" t="inlineStr">
        <is>
          <t>The `RecordingOkAuthenticator` class implements an authenticator that records requests and their corresponding responses when they fail due to authentication challenges. It stores these details in two lists: one for responses and another for routes. The class provides methods to retrieve the first recorded response and route.</t>
        </is>
      </c>
      <c r="M1062" t="n">
        <v>0.0048</v>
      </c>
      <c r="N1062" t="n">
        <v>0.0741</v>
      </c>
      <c r="O1062" t="n">
        <v>0.0847</v>
      </c>
    </row>
    <row r="1063">
      <c r="A1063" t="inlineStr">
        <is>
          <t>okhttp</t>
        </is>
      </c>
      <c r="B1063" t="inlineStr">
        <is>
          <t>okhttp-testing-support/src/main/kotlin/okhttp3/internal/duplex/AsyncRequestBody.kt</t>
        </is>
      </c>
      <c r="C1063">
        <f>HYPERLINK("https://github.com/square/okhttp/blob/master/okhttp-testing-support/src/main/kotlin/okhttp3/internal/duplex/AsyncRequestBody.kt")</f>
        <v/>
      </c>
      <c r="D1063" t="inlineStr">
        <is>
          <t>The code defines a class `Asy` which implements a `RequestBody` interface. It uses two `BufferedSink` objects internally to store data temporarily before it's sent over a network connection. The class provides methods to write data to these sinks asynchronously using blocking queues. This allows multiple writes to occur concurrently without waiting for each one to complete. The implementation ensures that all data is eventually flushed to</t>
        </is>
      </c>
      <c r="E1063" t="n">
        <v>0.0033</v>
      </c>
      <c r="F1063" t="n">
        <v>0.0533</v>
      </c>
      <c r="G1063" t="n">
        <v>0.1087</v>
      </c>
      <c r="H1063" t="inlineStr">
        <is>
          <t>This repository contains backend software components implementing core algorithms. The complexity is O(N), indicating linear time complexity. The implementation includes classes such as `Asy` which manages multiple sinks for asynchronous writes. The README provides information about the project's purpose and structure.</t>
        </is>
      </c>
      <c r="I1063" t="n">
        <v>0.0064</v>
      </c>
      <c r="J1063" t="n">
        <v>0.1961</v>
      </c>
      <c r="K1063" t="n">
        <v>0.2212</v>
      </c>
      <c r="L1063" t="inlineStr">
        <is>
          <t>This class implements a `RequestBody` that allows multiple writers to append data asynchronously using separate `BufferedSink` instances. It uses a linked blocking queue to manage these sinks and provides methods to add new sinks and write data to them. The implementation ensures that all writes are non-blocking and can be performed concurrently.</t>
        </is>
      </c>
      <c r="M1063" t="n">
        <v>0.0046</v>
      </c>
      <c r="N1063" t="n">
        <v>0.0984</v>
      </c>
      <c r="O1063" t="n">
        <v>0.1613</v>
      </c>
    </row>
    <row r="1064">
      <c r="A1064" t="inlineStr">
        <is>
          <t>okhttp</t>
        </is>
      </c>
      <c r="B1064" t="inlineStr">
        <is>
          <t>okhttp-testing-support/src/main/kotlin/okhttp3/internal/duplex/MockSocketHandler.kt</t>
        </is>
      </c>
      <c r="C1064">
        <f>HYPERLINK("https://github.com/square/okhttp/blob/master/okhttp-testing-support/src/main/kotlin/okhttp3/internal/duplex/MockSocketHandler.kt")</f>
        <v/>
      </c>
      <c r="D1064" t="inlineStr">
        <is>
          <t>The provided code defines a class `Duplex` within the package `okhttp3.internal.duplex`. It includes methods for handling duplex communication over sockets using Java's concurrency utilities such as `CountDownLatch`, `FutureTask`, and `LinkedBlockingQueue`. The class also utilizes the `mockwebserver3.SocketHandler` for testing purposes and the `okhttp3.internal.connection.BufferedSocket` for buffering</t>
        </is>
      </c>
      <c r="E1064" t="n">
        <v>0.0042</v>
      </c>
      <c r="F1064" t="n">
        <v>0.0339</v>
      </c>
      <c r="G1064" t="n">
        <v>0.0862</v>
      </c>
      <c r="H1064" t="inlineStr">
        <is>
          <t>Implements core algorithms for backend software components using Java concurrency constructs such as CountDownLatch, FutureTask, LinkedBlockingQueue, and TimeUnit. Uses OkHttp's BufferedSocket and Socket classes from the internal connection package. The implementation includes handling socket operations and managing concurrent tasks efficiently. Complexity is O(N), indicating linear time complexity based on input size N.</t>
        </is>
      </c>
      <c r="I1064" t="n">
        <v>0.0046</v>
      </c>
      <c r="J1064" t="n">
        <v>0.0968</v>
      </c>
      <c r="K1064" t="n">
        <v>0.3</v>
      </c>
      <c r="L1064" t="inlineStr">
        <is>
          <t>This Java class implements a duplex communication handler using OkHttp's internal connection classes. It uses a `LinkedBlockingQueue` to manage incoming messages and a `CountDownLatch` to synchronize access to shared resources. The class processes socket data asynchronously, handling both read and write operations efficiently.</t>
        </is>
      </c>
      <c r="M1064" t="n">
        <v>0.0056</v>
      </c>
      <c r="N1064" t="n">
        <v>0.1154</v>
      </c>
      <c r="O1064" t="n">
        <v>0.1739</v>
      </c>
    </row>
    <row r="1065">
      <c r="A1065" t="inlineStr">
        <is>
          <t>okhttp</t>
        </is>
      </c>
      <c r="B1065" t="inlineStr">
        <is>
          <t>okhttp-testing-support/src/main/kotlin/okhttp3/internal/concurrent/TaskFaker.kt</t>
        </is>
      </c>
      <c r="C1065">
        <f>HYPERLINK("https://github.com/square/okhttp/blob/master/okhttp-testing-support/src/main/kotlin/okhttp3/internal/concurrent/TaskFaker.kt")</f>
        <v/>
      </c>
      <c r="D1065" t="inlineStr">
        <is>
          <t>The code defines a custom `BlockingQueue` implementation called `SynchronizedBlockingQueue`. It extends `AbstractQueue&lt;T&gt;` and implements `BlockingQueue&lt;T&gt;`, providing synchronized methods for adding elements (`offer`) and removing elements (`poll`). The class uses Java's `Executors.newSingleThreadExecutor()` to manage thread safety around these operations.</t>
        </is>
      </c>
      <c r="E1065" t="n">
        <v>0.0058</v>
      </c>
      <c r="F1065" t="n">
        <v>0.08</v>
      </c>
      <c r="G1065" t="n">
        <v>0.1364</v>
      </c>
      <c r="H1065" t="inlineStr">
        <is>
          <t>The repository contains backend software components implementing core algorithms. The complexity of the implementation is O(N), indicating it scales linearly with input size.</t>
        </is>
      </c>
      <c r="I1065" t="n">
        <v>0.0098</v>
      </c>
      <c r="J1065" t="n">
        <v>0.1875</v>
      </c>
      <c r="K1065" t="n">
        <v>0.1579</v>
      </c>
      <c r="L1065" t="inlineStr">
        <is>
          <t>This Java class implements a custom thread-safe queue using `AbstractQueue` that supports blocking operations. It uses a single-threaded executor service to manage tasks efficiently. The queue allows adding elements and retrieving them from both ends, ensuring thread safety. The implementation includes methods like `offer`, `poll`, and `take` which block until an element becomes available or the queue is closed.</t>
        </is>
      </c>
      <c r="M1065" t="n">
        <v>0.0041</v>
      </c>
      <c r="N1065" t="n">
        <v>0.08699999999999999</v>
      </c>
      <c r="O1065" t="n">
        <v>0.1527</v>
      </c>
    </row>
    <row r="1066">
      <c r="A1066" t="inlineStr">
        <is>
          <t>okhttp</t>
        </is>
      </c>
      <c r="B1066" t="inlineStr">
        <is>
          <t>okhttp-testing-support/src/main/kotlin/okhttp3/internal/http/RecordingProxySelector.kt</t>
        </is>
      </c>
      <c r="C1066">
        <f>HYPERLINK("https://github.com/square/okhttp/blob/master/okhttp-testing-support/src/main/kotlin/okhttp3/internal/http/RecordingProxySelector.kt")</f>
        <v/>
      </c>
      <c r="D1066" t="inlineStr">
        <is>
          <t>The `RecordingProxySelector` class extends `java.net.ProxySelector` and records all proxy addresses selected during network requests. It maintains a list of these proxies and provides methods to retrieve them. The implementation includes assertions to check if the recorded proxies match expected values. This class is useful for testing purposes where it helps verify which proxies were used in HTTP requests.</t>
        </is>
      </c>
      <c r="E1066" t="n">
        <v>0.0037</v>
      </c>
      <c r="F1066" t="n">
        <v>0.0294</v>
      </c>
      <c r="G1066" t="n">
        <v>0.1538</v>
      </c>
      <c r="H1066" t="inlineStr">
        <is>
          <t>Manages proxy selection logic for HTTP requests.</t>
        </is>
      </c>
      <c r="I1066" t="n">
        <v>0</v>
      </c>
      <c r="J1066" t="n">
        <v>0.1333</v>
      </c>
      <c r="K1066" t="n">
        <v>0</v>
      </c>
      <c r="L1066" t="inlineStr">
        <is>
          <t>The `RecordingProxySelector` class records all proxy addresses selected during HTTP requests using Java's `ProxySelector`. It maintains a list of these proxies and provides methods to retrieve them. The class uses assertions from the `assertk` library to verify that the recorded proxies match expected values.</t>
        </is>
      </c>
      <c r="M1066" t="n">
        <v>0.0042</v>
      </c>
      <c r="N1066" t="n">
        <v>0.0377</v>
      </c>
      <c r="O1066" t="n">
        <v>0.0862</v>
      </c>
    </row>
    <row r="1067">
      <c r="A1067" t="inlineStr">
        <is>
          <t>okhttp</t>
        </is>
      </c>
      <c r="B1067" t="inlineStr">
        <is>
          <t>okhttp-testing-support/src/test/kotlin/okhttp3/OkHttpClientTestRuleTest.kt</t>
        </is>
      </c>
      <c r="C1067">
        <f>HYPERLINK("https://github.com/square/okhttp/blob/master/okhttp-testing-support/src/test/kotlin/okhttp3/OkHttpClientTestRuleTest.kt")</f>
        <v/>
      </c>
      <c r="D1067" t="inlineStr">
        <is>
          <t>The provided code defines a test rule `OkHttpClientTestRule` that sets up an instance of `OkHttpClient` before each test method using JUnit Jupiter's extension mechanism. It includes assertions to check if exceptions are thrown correctly when certain methods fail. The complexity is O(1), as it involves setting up a single HTTP client object. The comments indicate that the implementation is focused on core algorithmic</t>
        </is>
      </c>
      <c r="E1067" t="n">
        <v>0.0029</v>
      </c>
      <c r="F1067" t="n">
        <v>0.0548</v>
      </c>
      <c r="G1067" t="n">
        <v>0.1111</v>
      </c>
      <c r="H1067" t="inlineStr">
        <is>
          <t>This repository contains backend software components implementing core algorithms. The complexity is O(N), indicating linear time performance. The comments describe the implementation of these algorithms. There have been several commits since the initial codebase was created. The total size of the codebase is 1000 lines.</t>
        </is>
      </c>
      <c r="I1067" t="n">
        <v>0.0054</v>
      </c>
      <c r="J1067" t="n">
        <v>0.1481</v>
      </c>
      <c r="K1067" t="n">
        <v>0.1709</v>
      </c>
      <c r="L1067" t="inlineStr">
        <is>
          <t>The `OkHttpClientTestRuleTest` class tests the `OkHttpClientTestRule`, which provides a convenient way to set up and tear down HTTP clients during JUnit tests. The test cases verify that the rule correctly initializes and configures the client based on specified parameters such as timeouts and connection pools.</t>
        </is>
      </c>
      <c r="M1067" t="n">
        <v>0.0041</v>
      </c>
      <c r="N1067" t="n">
        <v>0.0377</v>
      </c>
      <c r="O1067" t="n">
        <v>0.0427</v>
      </c>
    </row>
    <row r="1068">
      <c r="A1068" t="inlineStr">
        <is>
          <t>okhttp</t>
        </is>
      </c>
      <c r="B1068" t="inlineStr">
        <is>
          <t>okhttp-testing-support/src/test/kotlin/okhttp3/testing/PlatformRuleTest.kt</t>
        </is>
      </c>
      <c r="C1068">
        <f>HYPERLINK("https://github.com/square/okhttp/blob/master/okhttp-testing-support/src/test/kotlin/okhttp3/testing/PlatformRuleTest.kt")</f>
        <v/>
      </c>
      <c r="D1068" t="inlineStr">
        <is>
          <t>The provided code defines a JUnit Jupiter extension `PlatformRule` that tests the current operating system using the `okhttp3.internal.platform.Platform` class. The `testMode()` method prints out the system property related to the platform being used by the IDE. This helps verify the environment setup during testing.</t>
        </is>
      </c>
      <c r="E1068" t="n">
        <v>0.0042</v>
      </c>
      <c r="F1068" t="n">
        <v>0.0364</v>
      </c>
      <c r="G1068" t="n">
        <v>0.0862</v>
      </c>
      <c r="H1068" t="inlineStr">
        <is>
          <t>The code defines a class `PlatformRuleTest` that uses JUnit Jupiter extensions to validate the environment settings used by an IDE. It includes a method `testMode` that prints system properties related to the platform being tested. The README describes the repository as containing backend software components and mentions implementing core algorithms, but does not provide details about the complexity or comments associated with the code size.</t>
        </is>
      </c>
      <c r="I1068" t="n">
        <v>0.0037</v>
      </c>
      <c r="J1068" t="n">
        <v>0.0822</v>
      </c>
      <c r="K1068" t="n">
        <v>0.2715</v>
      </c>
      <c r="L1068" t="inlineStr">
        <is>
          <t>This Java class `PlatformRuleTest` uses JUnit Jupiter extensions to validate the current operating system's properties using OkHttp's internal `Platform` class. The `platform` extension provides access to these properties, which can be printed out during testing to ensure compatibility across different environments.</t>
        </is>
      </c>
      <c r="M1068" t="n">
        <v>0.0045</v>
      </c>
      <c r="N1068" t="n">
        <v>0.0392</v>
      </c>
      <c r="O1068" t="n">
        <v>0.0885</v>
      </c>
    </row>
    <row r="1069">
      <c r="A1069" t="inlineStr">
        <is>
          <t>okhttp</t>
        </is>
      </c>
      <c r="B1069" t="inlineStr">
        <is>
          <t>mockwebserver-deprecated/src/main/kotlin/okhttp3/mockwebserver/QueueDispatcher.kt</t>
        </is>
      </c>
      <c r="C1069">
        <f>HYPERLINK("https://github.com/square/okhttp/blob/master/mockwebserver-deprecated/src/main/kotlin/okhttp3/mockwebserver/QueueDispatcher.kt")</f>
        <v/>
      </c>
      <c r="D1069" t="inlineStr">
        <is>
          <t>The `QueueDispatcher` class extends the `Dispatcher` interface from the OkHttp library and implements its methods to handle requests using a queue-based approach. It uses the `mockwebserver3.QueueDispatcher` as a delegate to manage incoming requests. The `dispatch` method throws an exception when called, indicating that it should be overridden to provide request handling logic. The `peek` method also throws an</t>
        </is>
      </c>
      <c r="E1069" t="n">
        <v>0.0041</v>
      </c>
      <c r="F1069" t="n">
        <v>0.0588</v>
      </c>
      <c r="G1069" t="n">
        <v>0.1538</v>
      </c>
      <c r="H1069" t="inlineStr">
        <is>
          <t>Implements core algorithms for backend software components. Complexity is O(N).</t>
        </is>
      </c>
      <c r="I1069" t="n">
        <v>0.0251</v>
      </c>
      <c r="J1069" t="n">
        <v>0.2105</v>
      </c>
      <c r="K1069" t="n">
        <v>0.3117</v>
      </c>
      <c r="L1069" t="inlineStr">
        <is>
          <t>The `QueueDispatcher` class implements a custom dispatcher for handling HTTP requests in OkHttp's MockWebServer framework. It uses a nested `QueueDispatcher` instance as a delegate to manage incoming requests asynchronously. The class overrides methods from the `Dispatcher` interface to handle request dispatching and provide responses. However, both `dispatch` and `peek` methods throw `UnsupportedOperationException`, indicating that these functionalities</t>
        </is>
      </c>
      <c r="M1069" t="n">
        <v>0.0039</v>
      </c>
      <c r="N1069" t="n">
        <v>0.0615</v>
      </c>
      <c r="O1069" t="n">
        <v>0.1172</v>
      </c>
    </row>
    <row r="1070">
      <c r="A1070" t="inlineStr">
        <is>
          <t>okhttp</t>
        </is>
      </c>
      <c r="B1070" t="inlineStr">
        <is>
          <t>mockwebserver-deprecated/src/main/kotlin/okhttp3/mockwebserver/PushPromise.kt</t>
        </is>
      </c>
      <c r="C1070">
        <f>HYPERLINK("https://github.com/square/okhttp/blob/master/mockwebserver-deprecated/src/main/kotlin/okhttp3/mockwebserver/PushPromise.kt")</f>
        <v/>
      </c>
      <c r="D1070" t="inlineStr">
        <is>
          <t>The provided code defines a `PushPromise` class within the `okhttp3.mockwebserver` package. This class represents a push promise sent from a server to a client during HTTP/2 communication. It includes fields for the request method, path, headers, and associated mock response. The class uses Kotlin's `@JvmName` annotations to provide alternative names for its properties, which can be</t>
        </is>
      </c>
      <c r="E1070" t="n">
        <v>0.0039</v>
      </c>
      <c r="F1070" t="n">
        <v>0.0597</v>
      </c>
      <c r="G1070" t="n">
        <v>0.1172</v>
      </c>
      <c r="H1070" t="inlineStr">
        <is>
          <t>This repository contains backend software components that implement core algorithms. The complexity of these implementations varies depending on their specific requirements.</t>
        </is>
      </c>
      <c r="I1070" t="n">
        <v>0.012</v>
      </c>
      <c r="J1070" t="n">
        <v>0.2759</v>
      </c>
      <c r="K1070" t="n">
        <v>0.2151</v>
      </c>
      <c r="L1070" t="inlineStr">
        <is>
          <t>The `PushPromise` class represents a push promise sent from a server to a client during HTTP/2 communication. It includes methods to retrieve the request method, path, headers, and associated mock response. The class uses Kotlin's `@JvmName` annotations to provide alternative names for properties, which can be useful for compatibility reasons when migrating between versions.</t>
        </is>
      </c>
      <c r="M1070" t="n">
        <v>0.0034</v>
      </c>
      <c r="N1070" t="n">
        <v>0.0312</v>
      </c>
      <c r="O1070" t="n">
        <v>0.0794</v>
      </c>
    </row>
    <row r="1071">
      <c r="A1071" t="inlineStr">
        <is>
          <t>okhttp</t>
        </is>
      </c>
      <c r="B1071" t="inlineStr">
        <is>
          <t>mockwebserver-deprecated/src/main/kotlin/okhttp3/mockwebserver/MockWebServer.kt</t>
        </is>
      </c>
      <c r="C1071">
        <f>HYPERLINK("https://github.com/square/okhttp/blob/master/mockwebserver-deprecated/src/main/kotlin/okhttp3/mockwebserver/MockWebServer.kt")</f>
        <v/>
      </c>
      <c r="D1071" t="inlineStr">
        <is>
          <t>The provided Java code defines a class `MockWebServer` within the package `okhttp3.mockwebserver`. This class extends `ExternalResource`, which allows it to be used as a JUnit rule for testing purposes. The `MockWebServer` simulates a web server that can respond to HTTP requests based on predefined responses stored in memory. It supports various features such as handling different protocols,</t>
        </is>
      </c>
      <c r="E1071" t="n">
        <v>0.0032</v>
      </c>
      <c r="F1071" t="n">
        <v>0.0303</v>
      </c>
      <c r="G1071" t="n">
        <v>0.0775</v>
      </c>
      <c r="H1071" t="inlineStr">
        <is>
          <t>This repository contains backend software components implementing core algorithms. The complexity is high due to the extensive implementation of various algorithms.</t>
        </is>
      </c>
      <c r="I1071" t="n">
        <v>0.012</v>
      </c>
      <c r="J1071" t="n">
        <v>0.2759</v>
      </c>
      <c r="K1071" t="n">
        <v>0.2151</v>
      </c>
      <c r="L1071" t="inlineStr">
        <is>
          <t>This Java class `MockWebServer` extends `ExternalResource` from JUnit to simulate HTTP/HTTPS servers for testing purposes. It provides methods to start and stop the server, add responses, configure timeouts, and handle various network configurations such as proxy settings and SSL socket factories. The class uses logging for debugging and supports multiple protocols like HTTP and HTTPS.</t>
        </is>
      </c>
      <c r="M1071" t="n">
        <v>0.004</v>
      </c>
      <c r="N1071" t="n">
        <v>0.0625</v>
      </c>
      <c r="O1071" t="n">
        <v>0.1181</v>
      </c>
    </row>
    <row r="1072">
      <c r="A1072" t="inlineStr">
        <is>
          <t>okhttp</t>
        </is>
      </c>
      <c r="B1072" t="inlineStr">
        <is>
          <t>mockwebserver-deprecated/src/main/kotlin/okhttp3/mockwebserver/MockResponse.kt</t>
        </is>
      </c>
      <c r="C1072">
        <f>HYPERLINK("https://github.com/square/okhttp/blob/master/mockwebserver-deprecated/src/main/kotlin/okhttp3/mockwebserver/MockResponse.kt")</f>
        <v/>
      </c>
      <c r="D1072" t="inlineStr">
        <is>
          <t>The `MockResponse` class in the OkHttp library provides a way to simulate HTTP responses for testing purposes. It allows setting various properties such as the response status, headers, and trailers. The class implements the `Cloneable` interface, enabling deep cloning of mock responses. This makes it useful for creating consistent test scenarios where multiple requests can return different but similar responses.</t>
        </is>
      </c>
      <c r="E1072" t="n">
        <v>0.004</v>
      </c>
      <c r="F1072" t="n">
        <v>0.0294</v>
      </c>
      <c r="G1072" t="n">
        <v>0.1515</v>
      </c>
      <c r="H1072" t="inlineStr">
        <is>
          <t>This repository contains backend software components implementing core algorithms. The complexity of the implementation is O(N), indicating that it scales linearly with input size. The comments provide details about the algorithm's implementation, while the commits indicate the initial creation of the codebase. The total code size is 1000 lines.</t>
        </is>
      </c>
      <c r="I1072" t="n">
        <v>0.0049</v>
      </c>
      <c r="J1072" t="n">
        <v>0.1356</v>
      </c>
      <c r="K1072" t="n">
        <v>0.1653</v>
      </c>
      <c r="L1072" t="inlineStr">
        <is>
          <t>The `MockResponse` class provides methods to configure HTTP responses for testing purposes using OkHttp's mock web server library. It allows setting response status codes, adding custom headers, managing trailers, and handling WebSocket listeners. The class supports cloning itself for multiple responses and includes comments indicating that it implements core algorithms for mocking network interactions.</t>
        </is>
      </c>
      <c r="M1072" t="n">
        <v>0.007900000000000001</v>
      </c>
      <c r="N1072" t="n">
        <v>0.0635</v>
      </c>
      <c r="O1072" t="n">
        <v>0.2505</v>
      </c>
    </row>
    <row r="1073">
      <c r="A1073" t="inlineStr">
        <is>
          <t>okhttp</t>
        </is>
      </c>
      <c r="B1073" t="inlineStr">
        <is>
          <t>mockwebserver-deprecated/src/main/kotlin/okhttp3/mockwebserver/DeprecationBridge.kt</t>
        </is>
      </c>
      <c r="C1073">
        <f>HYPERLINK("https://github.com/square/okhttp/blob/master/mockwebserver-deprecated/src/main/kotlin/okhttp3/mockwebserver/DeprecationBridge.kt")</f>
        <v/>
      </c>
      <c r="D1073" t="inlineStr">
        <is>
          <t>The provided code defines a `Dispatcher` class that wraps another dispatcher and provides additional features such as handling socket effects like closing sockets, streams, and shutting down connections. It also includes methods for wrapping the dispatcher using the `wrap()` function. The complexity of the implementation is O(N), where N represents the number of operations performed during execution.</t>
        </is>
      </c>
      <c r="E1073" t="n">
        <v>0.0032</v>
      </c>
      <c r="F1073" t="n">
        <v>0.0303</v>
      </c>
      <c r="G1073" t="n">
        <v>0.155</v>
      </c>
      <c r="H1073" t="inlineStr">
        <is>
          <t>The code wraps a `Dispatcher` object from the OkHttp library to provide additional socket effects such as closing sockets, streams, and shutting down connections. It also includes methods for handling buffering and byte strings. The complexity is O(N), where N represents the number of operations performed during execution.</t>
        </is>
      </c>
      <c r="I1073" t="n">
        <v>0.0038</v>
      </c>
      <c r="J1073" t="n">
        <v>0.0351</v>
      </c>
      <c r="K1073" t="n">
        <v>0.0833</v>
      </c>
      <c r="L1073" t="inlineStr">
        <is>
          <t>The `wrap` function converts an instance of `QueueDispatcher`, which extends `Dispatcher`, into another implementation that adheres to the `mockwebserver3.Dispatcher` interface. It ensures compatibility with newer versions of the library while maintaining the original dispatching logic.</t>
        </is>
      </c>
      <c r="M1073" t="n">
        <v>0.0053</v>
      </c>
      <c r="N1073" t="n">
        <v>0.09089999999999999</v>
      </c>
      <c r="O1073" t="n">
        <v>0.1402</v>
      </c>
    </row>
    <row r="1074">
      <c r="A1074" t="inlineStr">
        <is>
          <t>okhttp</t>
        </is>
      </c>
      <c r="B1074" t="inlineStr">
        <is>
          <t>mockwebserver-deprecated/src/main/kotlin/okhttp3/mockwebserver/Dispatcher.kt</t>
        </is>
      </c>
      <c r="C1074">
        <f>HYPERLINK("https://github.com/square/okhttp/blob/master/mockwebserver-deprecated/src/main/kotlin/okhttp3/mockwebserver/Dispatcher.kt")</f>
        <v/>
      </c>
      <c r="D1074" t="inlineStr">
        <is>
          <t>The `Dispatcher` class in the OkHttp library is responsible for handling incoming requests from clients. It provides methods to dispatch each request to a corresponding response based on its configuration. The `dispatch` method takes a `RecordedRequest` object as input and returns a `MockResponse`. If no matching response is found, it defaults to returning a `MockResponse` with a keep-alive socket policy</t>
        </is>
      </c>
      <c r="E1074" t="n">
        <v>0.003</v>
      </c>
      <c r="F1074" t="n">
        <v>0.029</v>
      </c>
      <c r="G1074" t="n">
        <v>0.0379</v>
      </c>
      <c r="H1074" t="inlineStr">
        <is>
          <t>This Java code defines an abstract `Dispatcher` class that serves as a base for handling HTTP requests in a mock web server environment. The class includes methods for dispatching requests (`dispatch`) and peeking at the next response (`peek`). It also provides a method to shut down the dispatcher (`shutdown`). The complexity is marked as O(N), indicating potential linear operations depending on the number of requests handled.</t>
        </is>
      </c>
      <c r="I1074" t="n">
        <v>0.0033</v>
      </c>
      <c r="J1074" t="n">
        <v>0.0533</v>
      </c>
      <c r="K1074" t="n">
        <v>0.0725</v>
      </c>
      <c r="L1074" t="inlineStr">
        <is>
          <t>The `Dispatcher` class serves as a base interface for implementing custom request handling logic in OkHttp's mock web server. It defines methods for processing incoming requests (`dispatch`) and provides default implementations for peeking into the next response (`peek`) and shutting down the dispatcher (`shutdown`). The class is designed to be extended by developers who want to customize how requests are handled during testing scenarios.</t>
        </is>
      </c>
      <c r="M1074" t="n">
        <v>0.0028</v>
      </c>
      <c r="N1074" t="n">
        <v>0.0548</v>
      </c>
      <c r="O1074" t="n">
        <v>0.0735</v>
      </c>
    </row>
    <row r="1075">
      <c r="A1075" t="inlineStr">
        <is>
          <t>okhttp</t>
        </is>
      </c>
      <c r="B1075" t="inlineStr">
        <is>
          <t>mockwebserver-deprecated/src/main/kotlin/okhttp3/mockwebserver/SocketPolicy.kt</t>
        </is>
      </c>
      <c r="C1075">
        <f>HYPERLINK("https://github.com/square/okhttp/blob/master/mockwebserver-deprecated/src/main/kotlin/okhttp3/mockwebserver/SocketPolicy.kt")</f>
        <v/>
      </c>
      <c r="D1075" t="inlineStr">
        <is>
          <t>The provided code defines an `enum` called `SocketPolicy` within the package `okhttp3.mockwebserver`. This enum represents different policies that can be applied when handling network sockets during testing scenarios using OkHttp's MockWebServer library. Each policy specifies how the socket should behave after certain operations such as sending responses, disconnecting, or failing handshakes. The complexity of the implementation is</t>
        </is>
      </c>
      <c r="E1075" t="n">
        <v>0.0032</v>
      </c>
      <c r="F1075" t="n">
        <v>0.0597</v>
      </c>
      <c r="G1075" t="n">
        <v>0.1163</v>
      </c>
      <c r="H1075" t="inlineStr">
        <is>
          <t>The code defines an `enum` called `SocketPolicy` within the `okhttp3.mockwebserver` package, which represents different socket policies used in mock web server implementations. The README provides information about the repository containing backend software components and mentions that the code implements core algorithms. Complexity is rated as O(N), indicating linear time complexity, and comments describe the implementation details. The code size is listed</t>
        </is>
      </c>
      <c r="I1075" t="n">
        <v>0.0075</v>
      </c>
      <c r="J1075" t="n">
        <v>0.1127</v>
      </c>
      <c r="K1075" t="n">
        <v>0.2797</v>
      </c>
      <c r="L1075" t="inlineStr">
        <is>
          <t>The code defines an enum `SocketPolicy` that specifies various socket behaviors for HTTP/HTTPS requests in OkHttp's MockWebServer library. It includes options like shutting down the server after sending a response, keeping the connection open, disconnecting at the end, upgrading to SSL at the end, disconnecting at the start, disconnecting after each request, disconnecting during request body transmission, disconnecting</t>
        </is>
      </c>
      <c r="M1075" t="n">
        <v>0</v>
      </c>
      <c r="N1075" t="n">
        <v>0</v>
      </c>
      <c r="O1075" t="n">
        <v>0</v>
      </c>
    </row>
    <row r="1076">
      <c r="A1076" t="inlineStr">
        <is>
          <t>okhttp</t>
        </is>
      </c>
      <c r="B1076" t="inlineStr">
        <is>
          <t>mockwebserver-deprecated/src/main/kotlin/okhttp3/mockwebserver/RecordedRequest.kt</t>
        </is>
      </c>
      <c r="C1076">
        <f>HYPERLINK("https://github.com/square/okhttp/blob/master/mockwebserver-deprecated/src/main/kotlin/okhttp3/mockwebserver/RecordedRequest.kt")</f>
        <v/>
      </c>
      <c r="D1076" t="inlineStr">
        <is>
          <t>The `RecordedRequest` class represents a recorded HTTP request made using OkHttp's MockWebServer library. It encapsulates various properties such as the request line, headers, URL, method, body, and TLS version used. The class provides methods to access these details and perform operations related to the recorded request.</t>
        </is>
      </c>
      <c r="E1076" t="n">
        <v>0.004</v>
      </c>
      <c r="F1076" t="n">
        <v>0.0364</v>
      </c>
      <c r="G1076" t="n">
        <v>0.0847</v>
      </c>
      <c r="H1076" t="inlineStr">
        <is>
          <t>This repository contains backend software components implementing core algorithms.</t>
        </is>
      </c>
      <c r="I1076" t="n">
        <v>0.0316</v>
      </c>
      <c r="J1076" t="n">
        <v>0.4706</v>
      </c>
      <c r="K1076" t="n">
        <v>0.3897</v>
      </c>
      <c r="L1076" t="inlineStr">
        <is>
          <t>The `RecordedRequest` class encapsulates details about HTTP requests made during testing using OkHttp's MockWebServer library. It stores the request line, headers, URL, and any SSL handshake data if present. The class provides methods to access these properties, facilitating easy inspection and verification of incoming requests in tests.</t>
        </is>
      </c>
      <c r="M1076" t="n">
        <v>0.0039</v>
      </c>
      <c r="N1076" t="n">
        <v>0.0357</v>
      </c>
      <c r="O1076" t="n">
        <v>0.08400000000000001</v>
      </c>
    </row>
    <row r="1077">
      <c r="A1077" t="inlineStr">
        <is>
          <t>okhttp</t>
        </is>
      </c>
      <c r="B1077" t="inlineStr">
        <is>
          <t>mockwebserver-deprecated/src/main/java9/module-info.java</t>
        </is>
      </c>
      <c r="C1077">
        <f>HYPERLINK("https://github.com/square/okhttp/blob/master/mockwebserver-deprecated/src/main/java9/module-info.java")</f>
        <v/>
      </c>
      <c r="D1077" t="inlineStr">
        <is>
          <t>The provided Java module declaration defines a new module named `okhttp3.mockwebserver`. This module depends on two other modules: `okhttp3` for its dependencies and `java.logging` for logging purposes. The module exports the package `okhttp3.mockwebserver`, making it accessible to other modules that depend on this one. The complexity is O(1) as there are no loops</t>
        </is>
      </c>
      <c r="E1077" t="n">
        <v>0.0045</v>
      </c>
      <c r="F1077" t="n">
        <v>0.09229999999999999</v>
      </c>
      <c r="G1077" t="n">
        <v>0.12</v>
      </c>
      <c r="H1077" t="inlineStr">
        <is>
          <t>Manages HTTP requests for testing purposes using OkHttp library.</t>
        </is>
      </c>
      <c r="I1077" t="n">
        <v>0</v>
      </c>
      <c r="J1077" t="n">
        <v>0</v>
      </c>
      <c r="K1077" t="n">
        <v>0.0617</v>
      </c>
      <c r="L1077" t="inlineStr">
        <is>
          <t>This module defines a mock web server implementation for testing purposes using OkHttp library. It provides classes for creating mock responses and handling HTTP requests, allowing developers to simulate network interactions without relying on external servers. The module is designed to be used within the same project as OkHttp, ensuring compatibility and ease of integration.</t>
        </is>
      </c>
      <c r="M1077" t="n">
        <v>0.0044</v>
      </c>
      <c r="N1077" t="n">
        <v>0.127</v>
      </c>
      <c r="O1077" t="n">
        <v>0.1969</v>
      </c>
    </row>
    <row r="1078">
      <c r="A1078" t="inlineStr">
        <is>
          <t>okhttp</t>
        </is>
      </c>
      <c r="B1078" t="inlineStr">
        <is>
          <t>mockwebserver-deprecated/src/test/java/okhttp3/mockwebserver/KotlinSourceModernTest.kt</t>
        </is>
      </c>
      <c r="C1078">
        <f>HYPERLINK("https://github.com/square/okhttp/blob/master/mockwebserver-deprecated/src/test/java/okhttp3/mockwebserver/KotlinSourceModernTest.kt")</f>
        <v/>
      </c>
      <c r="D1078" t="inlineStr">
        <is>
          <t>The provided code defines a class `MockWebServer` within the package `okhttp3.mockwebserver`. This class is designed to simulate HTTP/HTTPS servers for testing purposes. It includes methods for setting up mock responses, handling requests, managing SSL/TLS connections, and configuring various server settings such as timeouts and protocols. The implementation uses Java's networking capabilities to create mock sockets and handle different types</t>
        </is>
      </c>
      <c r="E1078" t="n">
        <v>0.0037</v>
      </c>
      <c r="F1078" t="n">
        <v>0.08450000000000001</v>
      </c>
      <c r="G1078" t="n">
        <v>0.1527</v>
      </c>
      <c r="H1078" t="inlineStr">
        <is>
          <t>Implements core algorithms for backend software components. Complexity is O(N).</t>
        </is>
      </c>
      <c r="I1078" t="n">
        <v>0.0251</v>
      </c>
      <c r="J1078" t="n">
        <v>0.2105</v>
      </c>
      <c r="K1078" t="n">
        <v>0.3117</v>
      </c>
      <c r="L1078" t="inlineStr">
        <is>
          <t>The provided code defines a `MockWebServer` class within the OkHttp library that simulates HTTP/HTTPS servers for testing purposes. It includes methods for setting up mock responses, handling requests, managing SSL/TLS configurations, and configuring proxy settings. The class supports various protocols such as HTTP/1.1 and HTTP/2, allowing developers to test client interactions without relying on live server environments.</t>
        </is>
      </c>
      <c r="M1078" t="n">
        <v>0.0032</v>
      </c>
      <c r="N1078" t="n">
        <v>0.0286</v>
      </c>
      <c r="O1078" t="n">
        <v>0.0388</v>
      </c>
    </row>
    <row r="1079">
      <c r="A1079" t="inlineStr">
        <is>
          <t>okhttp</t>
        </is>
      </c>
      <c r="B1079" t="inlineStr">
        <is>
          <t>mockwebserver-deprecated/src/test/java/okhttp3/mockwebserver/MockWebServerTest.kt</t>
        </is>
      </c>
      <c r="C1079">
        <f>HYPERLINK("https://github.com/square/okhttp/blob/master/mockwebserver-deprecated/src/test/java/okhttp3/mockwebserver/MockWebServerTest.kt")</f>
        <v/>
      </c>
      <c r="D1079" t="inlineStr">
        <is>
          <t>The provided code is part of the OkHttp library, specifically within its MockWebServer module. It includes assertions from the AssertK testing framework used to verify various properties of HTTP requests and responses during unit tests. The complexity of the implementation is O(N), indicating that it processes data linearly based on input size. The comments describe the purpose of the code as implementing core algorithms related to web server mocking</t>
        </is>
      </c>
      <c r="E1079" t="n">
        <v>0.0031</v>
      </c>
      <c r="F1079" t="n">
        <v>0.0769</v>
      </c>
      <c r="G1079" t="n">
        <v>0.2238</v>
      </c>
      <c r="H1079" t="inlineStr">
        <is>
          <t>This repository contains backend software components that implement core algorithms. The complexity is O(N), indicating linear time complexity. The code size is 1000 lines.</t>
        </is>
      </c>
      <c r="I1079" t="n">
        <v>0.0104</v>
      </c>
      <c r="J1079" t="n">
        <v>0.2424</v>
      </c>
      <c r="K1079" t="n">
        <v>0.3288</v>
      </c>
      <c r="L1079" t="inlineStr">
        <is>
          <t>The provided code defines a package `okhttp3.mockwebserver` that includes classes and utilities for testing HTTP servers using OkHttp. It uses assertions from the `assertk` library to verify various properties of mock responses, such as status codes, headers, body contents, and timing. The code size is 1000 lines, and it has been committed initially without detailed comments.</t>
        </is>
      </c>
      <c r="M1079" t="n">
        <v>0.0033</v>
      </c>
      <c r="N1079" t="n">
        <v>0.0308</v>
      </c>
      <c r="O1079" t="n">
        <v>0.0781</v>
      </c>
    </row>
    <row r="1080">
      <c r="A1080" t="inlineStr">
        <is>
          <t>okhttp</t>
        </is>
      </c>
      <c r="B1080" t="inlineStr">
        <is>
          <t>android-test-app/src/main/kotlin/okhttp/android/testapp/MainActivity2.kt</t>
        </is>
      </c>
      <c r="C1080">
        <f>HYPERLINK("https://github.com/square/okhttp/blob/master/android-test-app/src/main/kotlin/okhttp/android/testapp/MainActivity2.kt")</f>
        <v/>
      </c>
      <c r="D1080" t="inlineStr">
        <is>
          <t>The `MainActivity2` class extends the `MainActivity` class from the same package. This indicates that it likely serves as a secondary activity within the application, possibly providing additional features or functionalities beyond those offered by the primary `MainActivity`. The code does not contain any complex logic or significant algorithm implementation; instead, it appears to be a straightforward extension of another activity.</t>
        </is>
      </c>
      <c r="E1080" t="n">
        <v>0.003</v>
      </c>
      <c r="F1080" t="n">
        <v>0.0882</v>
      </c>
      <c r="G1080" t="n">
        <v>0.07580000000000001</v>
      </c>
      <c r="H1080" t="inlineStr">
        <is>
          <t>The code defines a `MainActivity2` class within the `okhttp.android.testapp` package. The README indicates that this repository contains backend software components and provides details about its complexity, comments, commits, and size. However, it does not provide any specific functionality related to adding two numbers as described in the previous example.</t>
        </is>
      </c>
      <c r="I1080" t="n">
        <v>0.0049</v>
      </c>
      <c r="J1080" t="n">
        <v>0.1017</v>
      </c>
      <c r="K1080" t="n">
        <v>0.1653</v>
      </c>
      <c r="L1080" t="inlineStr">
        <is>
          <t>The `MainActivity2` class extends from `MainActivity`, likely serving as a secondary activity within the application. It appears to be part of a larger Android project that includes backend software components, based on the context provided. The code complexity is moderate, with a size of 669 lines, indicating a significant amount of functionality encapsulated within this single class.</t>
        </is>
      </c>
      <c r="M1080" t="n">
        <v>0.0038</v>
      </c>
      <c r="N1080" t="n">
        <v>0.0615</v>
      </c>
      <c r="O1080" t="n">
        <v>0.1163</v>
      </c>
    </row>
    <row r="1081">
      <c r="A1081" t="inlineStr">
        <is>
          <t>okhttp</t>
        </is>
      </c>
      <c r="B1081" t="inlineStr">
        <is>
          <t>android-test-app/src/main/kotlin/okhttp/android/testapp/MainActivity.kt</t>
        </is>
      </c>
      <c r="C1081">
        <f>HYPERLINK("https://github.com/square/okhttp/blob/master/android-test-app/src/main/kotlin/okhttp/android/testapp/MainActivity.kt")</f>
        <v/>
      </c>
      <c r="D1081" t="inlineStr">
        <is>
          <t>The provided code defines a simple Android activity that uses OkHttp to make HTTP requests. It includes methods to send GET and POST requests to specified URLs and handles responses using callbacks. The `MainActivity` class extends `ComponentActivity`, which suggests it might be part of an Android application. The code does not contain any complex logic but rather basic network operations using OkHttp.</t>
        </is>
      </c>
      <c r="E1081" t="n">
        <v>0.0029</v>
      </c>
      <c r="F1081" t="n">
        <v>0.0571</v>
      </c>
      <c r="G1081" t="n">
        <v>0.0746</v>
      </c>
      <c r="H1081" t="inlineStr">
        <is>
          <t>The repository contains backend software components that implement core algorithms. The complexity is O(N), indicating linear time complexity. The implementation includes various classes such as `MainActivity` which extends `ComponentActivity`, making it suitable for Android applications. The comments describe the purpose of each component and its role in the overall system. The total size of the codebase is 1000 lines.</t>
        </is>
      </c>
      <c r="I1081" t="n">
        <v>0.0041</v>
      </c>
      <c r="J1081" t="n">
        <v>0.1176</v>
      </c>
      <c r="K1081" t="n">
        <v>0.1908</v>
      </c>
      <c r="L1081" t="inlineStr">
        <is>
          <t>This Android activity uses OkHttp to make HTTP requests from within an Android application. It initializes an OkHttpClient instance and sends GET requests using predefined URLs. The responses are handled asynchronously through callbacks, allowing the app to continue executing other tasks while waiting for network responses.</t>
        </is>
      </c>
      <c r="M1081" t="n">
        <v>0.0048</v>
      </c>
      <c r="N1081" t="n">
        <v>0.0741</v>
      </c>
      <c r="O1081" t="n">
        <v>0.1271</v>
      </c>
    </row>
    <row r="1082">
      <c r="A1082" t="inlineStr">
        <is>
          <t>okhttp</t>
        </is>
      </c>
      <c r="B1082" t="inlineStr">
        <is>
          <t>android-test-app/src/main/kotlin/okhttp/android/testapp/TestApplication.kt</t>
        </is>
      </c>
      <c r="C1082">
        <f>HYPERLINK("https://github.com/square/okhttp/blob/master/android-test-app/src/main/kotlin/okhttp/android/testapp/TestApplication.kt")</f>
        <v/>
      </c>
      <c r="D1082" t="inlineStr">
        <is>
          <t>The `TestApplication` class extends `Application` and initializes `OkHttp` only when it runs in a secondary process. The method `isSecondaryProcess()` checks if the current process name is different from the application package name, indicating that it's running as a separate process. This setup ensures that `OkHttp` is initialized only once per app instance, optimizing resource usage.</t>
        </is>
      </c>
      <c r="E1082" t="n">
        <v>0.004</v>
      </c>
      <c r="F1082" t="n">
        <v>0.0312</v>
      </c>
      <c r="G1082" t="n">
        <v>0.1181</v>
      </c>
      <c r="H1082" t="inlineStr">
        <is>
          <t>Manages application lifecycle and initializes OkHttpClient library when running as a secondary process.</t>
        </is>
      </c>
      <c r="I1082" t="n">
        <v>0.0155</v>
      </c>
      <c r="J1082" t="n">
        <v>0.09520000000000001</v>
      </c>
      <c r="K1082" t="n">
        <v>0.1176</v>
      </c>
      <c r="L1082" t="inlineStr">
        <is>
          <t>The `TestApplication` class initializes the OkHttpClient library when running as a secondary process, ensuring that it can handle network requests within the application's context.</t>
        </is>
      </c>
      <c r="M1082" t="n">
        <v>0</v>
      </c>
      <c r="N1082" t="n">
        <v>0</v>
      </c>
      <c r="O1082" t="n">
        <v>0.0521</v>
      </c>
    </row>
    <row r="1083">
      <c r="A1083" t="inlineStr">
        <is>
          <t>okhttp</t>
        </is>
      </c>
      <c r="B1083" t="inlineStr">
        <is>
          <t>android-test-app/src/androidTest/kotlin/okhttp/android/testapp/PublicSuffixDatabaseTest.kt</t>
        </is>
      </c>
      <c r="C1083">
        <f>HYPERLINK("https://github.com/square/okhttp/blob/master/android-test-app/src/androidTest/kotlin/okhttp/android/testapp/PublicSuffixDatabaseTest.kt")</f>
        <v/>
      </c>
      <c r="D1083" t="inlineStr">
        <is>
          <t>The provided code defines a unit test class `PublicSuffixDatabaseTest` that tests the functionality of a public suffix database using the OkHttp library. The test checks if the top-level domain ("TLD") can be correctly extracted from URLs. It uses assertions to verify that the expected TLD matches the actual result obtained from parsing the URL. The test runs within an Android environment and requires setting the `</t>
        </is>
      </c>
      <c r="E1083" t="n">
        <v>0.0033</v>
      </c>
      <c r="F1083" t="n">
        <v>0.0541</v>
      </c>
      <c r="G1083" t="n">
        <v>0.0725</v>
      </c>
      <c r="H1083" t="inlineStr">
        <is>
          <t>This repository contains backend software components that implement core algorithms. The complexity is O(N), indicating linear time performance relative to input size. The comments describe the implementation details, while the commits log shows the initial creation of the codebase. The total code size is 1000 lines.</t>
        </is>
      </c>
      <c r="I1083" t="n">
        <v>0.0053</v>
      </c>
      <c r="J1083" t="n">
        <v>0.1455</v>
      </c>
      <c r="K1083" t="n">
        <v>0.1695</v>
      </c>
      <c r="L1083" t="inlineStr">
        <is>
          <t>The `PublicSuffixDatabaseTest` class tests the top-level domain retrieval from URLs using the `okhttp3.PublicSuffixDatabase`. The test case checks if the URL "https://www.google.com/robots.txt" correctly identifies ".com" as the top-level domain.</t>
        </is>
      </c>
      <c r="M1083" t="n">
        <v>0</v>
      </c>
      <c r="N1083" t="n">
        <v>0</v>
      </c>
      <c r="O1083" t="n">
        <v>0.05</v>
      </c>
    </row>
    <row r="1084">
      <c r="A1084" t="inlineStr">
        <is>
          <t>okhttp</t>
        </is>
      </c>
      <c r="B1084" t="inlineStr">
        <is>
          <t>android-test-app/src/androidTest/kotlin/okhttp/android/testapp/IdnaTest.kt</t>
        </is>
      </c>
      <c r="C1084">
        <f>HYPERLINK("https://github.com/square/okhttp/blob/master/android-test-app/src/androidTest/kotlin/okhttp/android/testapp/IdnaTest.kt")</f>
        <v/>
      </c>
      <c r="D1084" t="inlineStr">
        <is>
          <t>The code defines a simple unit test for the `Idna` class within the `okhttp3.android` package. The test checks if the hostname extracted from the URL `"https://☃.net/robots.txt"` using the `toHttpUrl()` method matches the expected value `"xn--n3h.net"`. This ensures that the IDNA conversion logic works correctly for internationalized domain names</t>
        </is>
      </c>
      <c r="E1084" t="n">
        <v>0.0038</v>
      </c>
      <c r="F1084" t="n">
        <v>0.0645</v>
      </c>
      <c r="G1084" t="n">
        <v>0.0833</v>
      </c>
      <c r="H1084" t="inlineStr">
        <is>
          <t>Tests hostname parsing using OkHttp's `HttpUrl` class.</t>
        </is>
      </c>
      <c r="I1084" t="n">
        <v>0</v>
      </c>
      <c r="J1084" t="n">
        <v>0</v>
      </c>
      <c r="K1084" t="n">
        <v>0.0633</v>
      </c>
      <c r="L1084" t="inlineStr">
        <is>
          <t>The `IdnaTest` class contains a single JUnit test that verifies the correct conversion of internationalized domain names (IDNs) using OkHttp's `HttpUrl`. The test checks if the hostname extracted from the URL `"https://☃.net/robots.txt"` correctly resolves to `"xn--n3h-net"`, which is the Punycode representation of the IDN.</t>
        </is>
      </c>
      <c r="M1084" t="n">
        <v>0</v>
      </c>
      <c r="N1084" t="n">
        <v>0</v>
      </c>
      <c r="O1084" t="n">
        <v>0.0431</v>
      </c>
    </row>
    <row r="1085">
      <c r="A1085" t="inlineStr">
        <is>
          <t>okhttp</t>
        </is>
      </c>
      <c r="B1085" t="inlineStr">
        <is>
          <t>okhttp-dnsoverhttps/src/main/kotlin/okhttp3/dnsoverhttps/BootstrapDns.kt</t>
        </is>
      </c>
      <c r="C1085">
        <f>HYPERLINK("https://github.com/square/okhttp/blob/master/okhttp-dnsoverhttps/src/main/kotlin/okhttp3/dnsoverhttps/BootstrapDns.kt")</f>
        <v/>
      </c>
      <c r="D1085" t="inlineStr">
        <is>
          <t>The `BootstrapDns` class implements the `Dns` interface from OkHttp's networking library. It provides a simple DNS resolution mechanism that returns predefined IP addresses for specified hostnames. The class uses hardcoded data for known hosts and does not perform any dynamic DNS queries. This implementation is intended for internal use within the OkHttp framework during the bootstrap phase of establishing connections to DNS over HTTPS servers.</t>
        </is>
      </c>
      <c r="E1085" t="n">
        <v>0.0037</v>
      </c>
      <c r="F1085" t="n">
        <v>0.0541</v>
      </c>
      <c r="G1085" t="n">
        <v>0.146</v>
      </c>
      <c r="H1085" t="inlineStr">
        <is>
          <t>This repository contains backend software components that implement core algorithms. The complexity of these implementations is O(N), indicating they involve processing lists or arrays of data. The comments provide details about the purpose and functionality of each component, while the commits record the initial creation of the codebase. The total size of the codebase is 1000 lines.</t>
        </is>
      </c>
      <c r="I1085" t="n">
        <v>0.0048</v>
      </c>
      <c r="J1085" t="n">
        <v>0.1515</v>
      </c>
      <c r="K1085" t="n">
        <v>0.2326</v>
      </c>
      <c r="L1085" t="inlineStr">
        <is>
          <t>This internal `BootstrapDns` class implements a simple DNS resolver that returns predefined IP addresses for specified hostnames. It uses hardcoded data for known hosts and falls back to using a list of DNS servers if needed. The class extends the `Dns` interface from OkHttp, allowing it to be used as part of network requests.</t>
        </is>
      </c>
      <c r="M1085" t="n">
        <v>0.0045</v>
      </c>
      <c r="N1085" t="n">
        <v>0.0968</v>
      </c>
      <c r="O1085" t="n">
        <v>0.1587</v>
      </c>
    </row>
    <row r="1086">
      <c r="A1086" t="inlineStr">
        <is>
          <t>okhttp</t>
        </is>
      </c>
      <c r="B1086" t="inlineStr">
        <is>
          <t>okhttp-dnsoverhttps/src/main/kotlin/okhttp3/dnsoverhttps/DnsRecordCodec.kt</t>
        </is>
      </c>
      <c r="C1086">
        <f>HYPERLINK("https://github.com/square/okhttp/blob/master/okhttp-dnsoverhttps/src/main/kotlin/okhttp3/dnsoverhttps/DnsRecordCodec.kt")</f>
        <v/>
      </c>
      <c r="D1086" t="inlineStr">
        <is>
          <t>The `DnsRecordCodec` class provides a simple DNS record encoder and decoder. It handles basic DNS error codes like SERVFAIL and NXDOMAIN. The implementation uses Okio for buffer operations and UTF-8 encoding. This class is part of a larger project that includes backend software components.</t>
        </is>
      </c>
      <c r="E1086" t="n">
        <v>0.0055</v>
      </c>
      <c r="F1086" t="n">
        <v>0.0755</v>
      </c>
      <c r="G1086" t="n">
        <v>0.2155</v>
      </c>
      <c r="H1086" t="inlineStr">
        <is>
          <t>This repository contains backend software components that implement core algorithms.</t>
        </is>
      </c>
      <c r="I1086" t="n">
        <v>0.0278</v>
      </c>
      <c r="J1086" t="n">
        <v>0.4444</v>
      </c>
      <c r="K1086" t="n">
        <v>0.3849</v>
      </c>
      <c r="L1086" t="inlineStr">
        <is>
          <t>The `DnsRecordCodec` class provides trivial encoding and decoding capabilities for DNS records using OkHttp's `okio` library. It handles basic DNS record types such as A, AAAA, CNAME, MX, NS, PTR, SOA, TXT, and SRV, converting them between binary and human-readable formats. The codec supports serializing and deserializing these records efficiently,</t>
        </is>
      </c>
      <c r="M1086" t="n">
        <v>0.0037</v>
      </c>
      <c r="N1086" t="n">
        <v>0.0333</v>
      </c>
      <c r="O1086" t="n">
        <v>0.082</v>
      </c>
    </row>
    <row r="1087">
      <c r="A1087" t="inlineStr">
        <is>
          <t>okhttp</t>
        </is>
      </c>
      <c r="B1087" t="inlineStr">
        <is>
          <t>okhttp-dnsoverhttps/src/main/kotlin/okhttp3/dnsoverhttps/DnsOverHttps.kt</t>
        </is>
      </c>
      <c r="C1087">
        <f>HYPERLINK("https://github.com/square/okhttp/blob/master/okhttp-dnsoverhttps/src/main/kotlin/okhttp3/dnsoverhttps/DnsOverHttps.kt")</f>
        <v/>
      </c>
      <c r="D1087" t="inlineStr">
        <is>
          <t>The provided code defines a custom DNS resolver using OkHttp that fetches DNS records over HTTPS. It includes classes such as `DohClient`, which handles HTTP requests to resolve domain names via DoH servers, and `DohResponseHandler`, which processes the responses from these requests. The implementation uses OkHttp's `OkHttpClient` to make network calls and handle callbacks. The complexity is O(N</t>
        </is>
      </c>
      <c r="E1087" t="n">
        <v>0.0031</v>
      </c>
      <c r="F1087" t="n">
        <v>0.0588</v>
      </c>
      <c r="G1087" t="n">
        <v>0.1154</v>
      </c>
      <c r="H1087" t="inlineStr">
        <is>
          <t>The repository contains backend software components implementing core algorithms. The complexity is O(N), indicating that the time taken increases linearly with the size of the input data. The comments describe the implementation of these core algorithms.</t>
        </is>
      </c>
      <c r="I1087" t="n">
        <v>0.0061</v>
      </c>
      <c r="J1087" t="n">
        <v>0.1333</v>
      </c>
      <c r="K1087" t="n">
        <v>0.1389</v>
      </c>
      <c r="L1087" t="inlineStr">
        <is>
          <t>The provided code implements DNS over HTTPS using OkHttp library. It allows clients to resolve domain names via secure HTTP requests instead of traditional DNS queries. The implementation uses `OkHttpClient` to send HTTP GET requests to a specified DNS server URL, which returns the IP addresses associated with the requested domain name. The response is parsed as JSON and returned as a list of `InetAddress` objects. The code</t>
        </is>
      </c>
      <c r="M1087" t="n">
        <v>0.0032</v>
      </c>
      <c r="N1087" t="n">
        <v>0.0526</v>
      </c>
      <c r="O1087" t="n">
        <v>0.1071</v>
      </c>
    </row>
    <row r="1088">
      <c r="A1088" t="inlineStr">
        <is>
          <t>okhttp</t>
        </is>
      </c>
      <c r="B1088" t="inlineStr">
        <is>
          <t>okhttp-dnsoverhttps/src/main/java9/module-info.java</t>
        </is>
      </c>
      <c r="C1088">
        <f>HYPERLINK("https://github.com/square/okhttp/blob/master/okhttp-dnsoverhttps/src/main/java9/module-info.java")</f>
        <v/>
      </c>
      <c r="D1088" t="inlineStr">
        <is>
          <t>The provided code defines a module named `okhttp3.dnsoverhttps` that depends on the `okhttp3` module. It exports the package `okhttp3.dnsoverhttps`. The complexity is O(1), indicating constant time operations, and there are no comments or commits in this snippet. The code size is 112 bytes.</t>
        </is>
      </c>
      <c r="E1088" t="n">
        <v>0.0051</v>
      </c>
      <c r="F1088" t="n">
        <v>0.0741</v>
      </c>
      <c r="G1088" t="n">
        <v>0.1304</v>
      </c>
      <c r="H1088" t="inlineStr">
        <is>
          <t>Manages DNS over HTTPS module dependencies for OkHttp library.</t>
        </is>
      </c>
      <c r="I1088" t="n">
        <v>0.024</v>
      </c>
      <c r="J1088" t="n">
        <v>0.1176</v>
      </c>
      <c r="K1088" t="n">
        <v>0.0617</v>
      </c>
      <c r="L1088" t="inlineStr">
        <is>
          <t>This module defines the `okhttp3.dnsoverhttps` package within the OkHttp library, which provides DNS-over-HTTPS support for HTTP clients. It depends on the `okhttp3` module and exports the necessary classes for handling DNS requests over HTTPS.</t>
        </is>
      </c>
      <c r="M1088" t="n">
        <v>0.0072</v>
      </c>
      <c r="N1088" t="n">
        <v>0.1333</v>
      </c>
      <c r="O1088" t="n">
        <v>0.1415</v>
      </c>
    </row>
    <row r="1089">
      <c r="A1089" t="inlineStr">
        <is>
          <t>okhttp</t>
        </is>
      </c>
      <c r="B1089" t="inlineStr">
        <is>
          <t>okhttp-dnsoverhttps/src/test/java/okhttp3/dnsoverhttps/DnsOverHttpsTest.kt</t>
        </is>
      </c>
      <c r="C1089">
        <f>HYPERLINK("https://github.com/square/okhttp/blob/master/okhttp-dnsoverhttps/src/test/java/okhttp3/dnsoverhttps/DnsOverHttpsTest.kt")</f>
        <v/>
      </c>
      <c r="D1089" t="inlineStr">
        <is>
          <t>The provided code appears to be part of an implementation of DNS over HTTPS (DoH), which allows clients to resolve domain names using encrypted HTTP requests instead of traditional TCP-based DNS queries. The code includes unit tests that verify various aspects of the DoH client's behavior, such as handling different types of responses and errors. The complexity of the code is O(N), indicating it involves processing data linearly</t>
        </is>
      </c>
      <c r="E1089" t="n">
        <v>0.0027</v>
      </c>
      <c r="F1089" t="n">
        <v>0.0506</v>
      </c>
      <c r="G1089" t="n">
        <v>0.1071</v>
      </c>
      <c r="H1089" t="inlineStr">
        <is>
          <t>This repository contains backend software components implementing core algorithms. The complexity is O(N), indicating linear time performance relative to input size. The README provides information about the project's license and copyright details.</t>
        </is>
      </c>
      <c r="I1089" t="n">
        <v>0.0083</v>
      </c>
      <c r="J1089" t="n">
        <v>0.2381</v>
      </c>
      <c r="K1089" t="n">
        <v>0.3577</v>
      </c>
      <c r="L1089" t="inlineStr">
        <is>
          <t>The code implements DNS over HTTPS using OkHttp library, providing methods to perform DNS queries securely over HTTPs connections. It includes assertions for testing DNS resolution and error handling, ensuring robustness against network issues and invalid responses. The implementation complexity is moderate, focusing on efficient data processing and secure communication protocols.</t>
        </is>
      </c>
      <c r="M1089" t="n">
        <v>0.0043</v>
      </c>
      <c r="N1089" t="n">
        <v>0.0678</v>
      </c>
      <c r="O1089" t="n">
        <v>0.122</v>
      </c>
    </row>
    <row r="1090">
      <c r="A1090" t="inlineStr">
        <is>
          <t>okhttp</t>
        </is>
      </c>
      <c r="B1090" t="inlineStr">
        <is>
          <t>okhttp-dnsoverhttps/src/test/java/okhttp3/dnsoverhttps/TestDohMain.kt</t>
        </is>
      </c>
      <c r="C1090">
        <f>HYPERLINK("https://github.com/square/okhttp/blob/master/okhttp-dnsoverhttps/src/test/java/okhttp3/dnsoverhttps/TestDohMain.kt")</f>
        <v/>
      </c>
      <c r="D1090" t="inlineStr">
        <is>
          <t>The provided code defines a class `DohProviders` that provides DNS over HTTPS providers. It includes methods to retrieve DNS records using these providers. The code also sets up an OkHttpClient with a custom DohCache. The complexity of the implementation is O(N), where N is the number of names being resolved. The comments indicate that it implements core algorithms related to DNS resolution over HTTPS.</t>
        </is>
      </c>
      <c r="E1090" t="n">
        <v>0.006</v>
      </c>
      <c r="F1090" t="n">
        <v>0.0548</v>
      </c>
      <c r="G1090" t="n">
        <v>0.1879</v>
      </c>
      <c r="H1090" t="inlineStr">
        <is>
          <t>This repository contains backend software components that implement core algorithms. The complexity is O(N), indicating linear performance relative to input size. The comments describe the implementation of these algorithms. The commits include an initial codebase commit. The total code size is 1000 lines.</t>
        </is>
      </c>
      <c r="I1090" t="n">
        <v>0.0056</v>
      </c>
      <c r="J1090" t="n">
        <v>0.1538</v>
      </c>
      <c r="K1090" t="n">
        <v>0.1739</v>
      </c>
      <c r="L1090" t="inlineStr">
        <is>
          <t>This code defines a function `runBatch` that takes a list of DNS over HTTPS providers and a list of domain names as input. It measures the execution time of resolving each name using the specified providers and prints the results. The function uses the Conscrypt library for secure SSL/TLS connections.</t>
        </is>
      </c>
      <c r="M1090" t="n">
        <v>0.0044</v>
      </c>
      <c r="N1090" t="n">
        <v>0.1017</v>
      </c>
      <c r="O1090" t="n">
        <v>0.123</v>
      </c>
    </row>
    <row r="1091">
      <c r="A1091" t="inlineStr">
        <is>
          <t>okhttp</t>
        </is>
      </c>
      <c r="B1091" t="inlineStr">
        <is>
          <t>okhttp-dnsoverhttps/src/test/java/okhttp3/dnsoverhttps/DohProviders.kt</t>
        </is>
      </c>
      <c r="C1091">
        <f>HYPERLINK("https://github.com/square/okhttp/blob/master/okhttp-dnsoverhttps/src/test/java/okhttp3/dnsoverhttps/DohProviders.kt")</f>
        <v/>
      </c>
      <c r="D1091" t="inlineStr">
        <is>
          <t>The provided code defines a temporary registry of known DNS over HTTPS providers within the OkHttp library. It includes a class `DohProviders` that provides methods to access these providers using an `OkHttpClient`. The code also mentions that it implements core algorithms related to DNS over HTTPS, which can be used for resolving domain names securely through HTTPs connections.</t>
        </is>
      </c>
      <c r="E1091" t="n">
        <v>0.0067</v>
      </c>
      <c r="F1091" t="n">
        <v>0.0606</v>
      </c>
      <c r="G1091" t="n">
        <v>0.1966</v>
      </c>
      <c r="H1091" t="inlineStr">
        <is>
          <t>Manages a temporary registry of known DNS over HTTPS providers.</t>
        </is>
      </c>
      <c r="I1091" t="n">
        <v>0</v>
      </c>
      <c r="J1091" t="n">
        <v>0</v>
      </c>
      <c r="K1091" t="n">
        <v>0</v>
      </c>
      <c r="L1091" t="inlineStr">
        <is>
          <t>The `DohProviders` object serves as a temporary registry of known DNS over HTTPS providers. It provides a method to create instances of `DnsOverHttps`, which can be used to resolve domain names using DNS over HTTPS instead of traditional DNS queries. The implementation uses a predefined bootstrap client from OkHttp to establish connections to the DNS over HTTPS servers.</t>
        </is>
      </c>
      <c r="M1091" t="n">
        <v>0</v>
      </c>
      <c r="N1091" t="n">
        <v>0.0303</v>
      </c>
      <c r="O1091" t="n">
        <v>0.0769</v>
      </c>
    </row>
    <row r="1092">
      <c r="A1092" t="inlineStr">
        <is>
          <t>okhttp</t>
        </is>
      </c>
      <c r="B1092" t="inlineStr">
        <is>
          <t>okhttp-dnsoverhttps/src/test/java/okhttp3/dnsoverhttps/DnsRecordCodecTest.kt</t>
        </is>
      </c>
      <c r="C1092">
        <f>HYPERLINK("https://github.com/square/okhttp/blob/master/okhttp-dnsoverhttps/src/test/java/okhttp3/dnsoverhttps/DnsRecordCodecTest.kt")</f>
        <v/>
      </c>
      <c r="D1092" t="inlineStr">
        <is>
          <t>The provided code defines a class `DnsOverHttps` within the package `okhttp3.dnsoverhttps`. It includes methods for decoding DNS answers from responses received over HTTPS using a custom codec (`DnsRecordCodec`). The main functionalities include:
1. Decoding A records (`TYPE_A`) and AAAA records (`TYPE_AAAA`) from DNS response data.
2. Handling exceptions</t>
        </is>
      </c>
      <c r="E1092" t="n">
        <v>0.0038</v>
      </c>
      <c r="F1092" t="n">
        <v>0.0678</v>
      </c>
      <c r="G1092" t="n">
        <v>0.0833</v>
      </c>
      <c r="H1092" t="inlineStr">
        <is>
          <t>The repository contains backend software components implementing core algorithms. The complexity is O(N), indicating linear time complexity based on input size N.</t>
        </is>
      </c>
      <c r="I1092" t="n">
        <v>0.0103</v>
      </c>
      <c r="J1092" t="n">
        <v>0.1935</v>
      </c>
      <c r="K1092" t="n">
        <v>0.2719</v>
      </c>
      <c r="L1092" t="inlineStr">
        <is>
          <t>This Java package provides DNS-over-HTTPS support using OkHttp's `Dns` interface. It includes methods to decode DNS answers into InetAddress objects based on their record types (A or AAAA). The code uses Kotlin assertions for testing purposes and handles exceptions related to unknown hostnames.</t>
        </is>
      </c>
      <c r="M1092" t="n">
        <v>0.0051</v>
      </c>
      <c r="N1092" t="n">
        <v>0.0741</v>
      </c>
      <c r="O1092" t="n">
        <v>0.1304</v>
      </c>
    </row>
    <row r="1093">
      <c r="A1093" t="inlineStr">
        <is>
          <t>okhttp</t>
        </is>
      </c>
      <c r="B1093" t="inlineStr">
        <is>
          <t>samples/guide/src/main/java/okhttp3/guide/PostExample.java</t>
        </is>
      </c>
      <c r="C1093">
        <f>HYPERLINK("https://github.com/square/okhttp/blob/master/samples/guide/src/main/java/okhttp3/guide/PostExample.java")</f>
        <v/>
      </c>
      <c r="D1093" t="inlineStr">
        <is>
          <t>The provided Java code defines a simple HTTP POST request using OkHttp library. It includes:
1. A `MediaType` constant for JSON content type.
2. An instance of `OkHttpClient`.
3. A method `post` that takes a URL and a JSON string as parameters.
4. Inside the `post` method, it creates a `RequestBody` from the JSON string, constructs a `</t>
        </is>
      </c>
      <c r="E1093" t="n">
        <v>0.0031</v>
      </c>
      <c r="F1093" t="n">
        <v>0.0308</v>
      </c>
      <c r="G1093" t="n">
        <v>0.0769</v>
      </c>
      <c r="H1093" t="inlineStr">
        <is>
          <t>This repository contains backend software components that implement core algorithms. The complexity of these implementations is O(N), indicating linear time complexity relative to input size. The code size is 1000 lines, making it relatively large but manageable.</t>
        </is>
      </c>
      <c r="I1093" t="n">
        <v>0.0066</v>
      </c>
      <c r="J1093" t="n">
        <v>0.1739</v>
      </c>
      <c r="K1093" t="n">
        <v>0.1835</v>
      </c>
      <c r="L1093" t="inlineStr">
        <is>
          <t>The `PostExample` class demonstrates how to send a POST request using OkHttp library in Java. It includes methods to create a JSON body from a string, construct a POST request with the specified URL and JSON content type, and execute the request asynchronously. The class uses the `OkHttpClient` to handle network requests and returns the response as a `Response`.</t>
        </is>
      </c>
      <c r="M1093" t="n">
        <v>0.0031</v>
      </c>
      <c r="N1093" t="n">
        <v>0.0299</v>
      </c>
      <c r="O1093" t="n">
        <v>0.07630000000000001</v>
      </c>
    </row>
    <row r="1094">
      <c r="A1094" t="inlineStr">
        <is>
          <t>okhttp</t>
        </is>
      </c>
      <c r="B1094" t="inlineStr">
        <is>
          <t>samples/guide/src/main/java/okhttp3/guide/GetExample.java</t>
        </is>
      </c>
      <c r="C1094">
        <f>HYPERLINK("https://github.com/square/okhttp/blob/master/samples/guide/src/main/java/okhttp3/guide/GetExample.java")</f>
        <v/>
      </c>
      <c r="D1094" t="inlineStr">
        <is>
          <t>The provided Java code defines a simple HTTP GET request using OkHttp library. It creates an instance of `OkHttpClient`, constructs a `Request` object targeting a specified URL, sends the request asynchronously, and returns the response body as a string. The method handles exceptions such as network errors gracefully.</t>
        </is>
      </c>
      <c r="E1094" t="n">
        <v>0.0038</v>
      </c>
      <c r="F1094" t="n">
        <v>0.0357</v>
      </c>
      <c r="G1094" t="n">
        <v>0.0833</v>
      </c>
      <c r="H1094" t="inlineStr">
        <is>
          <t>This repository contains backend software components that implement core algorithms. The complexity of these implementations is O(N), indicating linear time complexity. The code size is 1000 lines, making it relatively large.</t>
        </is>
      </c>
      <c r="I1094" t="n">
        <v>0.007900000000000001</v>
      </c>
      <c r="J1094" t="n">
        <v>0.2</v>
      </c>
      <c r="K1094" t="n">
        <v>0.1942</v>
      </c>
      <c r="L1094" t="inlineStr">
        <is>
          <t>The `GetExample` class demonstrates how to perform HTTP GET requests using OkHttp library. It initializes an instance of `OkHttpClient`, constructs a `Request` object with the specified URL, sends the request asynchronously, and returns the response body as a string. The method handles exceptions that might occur during the network operation.</t>
        </is>
      </c>
      <c r="M1094" t="n">
        <v>0.0037</v>
      </c>
      <c r="N1094" t="n">
        <v>0.0345</v>
      </c>
      <c r="O1094" t="n">
        <v>0.082</v>
      </c>
    </row>
    <row r="1095">
      <c r="A1095" t="inlineStr">
        <is>
          <t>okhttp</t>
        </is>
      </c>
      <c r="B1095" t="inlineStr">
        <is>
          <t>samples/guide/src/main/java/okhttp3/recipes/PostStreamingWithPipe.java</t>
        </is>
      </c>
      <c r="C1095">
        <f>HYPERLINK("https://github.com/square/okhttp/blob/master/samples/guide/src/main/java/okhttp3/recipes/PostStreamingWithPipe.java")</f>
        <v/>
      </c>
      <c r="D1095" t="inlineStr">
        <is>
          <t>The code defines a Java class `PostStreamingWithPipe` that demonstrates how to perform a POST request using OkHttp library to send data in chunks over a streaming connection. It uses a Pipe object from OkIO to handle the input stream efficiently. The method `postStreamedData` takes a URL and a string containing Markdown content as parameters, converts it into a RequestBody, and sends it via</t>
        </is>
      </c>
      <c r="E1095" t="n">
        <v>0.0029</v>
      </c>
      <c r="F1095" t="n">
        <v>0.0282</v>
      </c>
      <c r="G1095" t="n">
        <v>0.0741</v>
      </c>
      <c r="H1095" t="inlineStr">
        <is>
          <t>The code implements a method to post streaming data using a pipe mechanism in OkHttp library. It includes setup for HTTP requests and responses, handling media types, and managing input/output streams efficiently. The complexity is O(N), where N represents the size of the streamed data.</t>
        </is>
      </c>
      <c r="I1095" t="n">
        <v>0.0049</v>
      </c>
      <c r="J1095" t="n">
        <v>0.0727</v>
      </c>
      <c r="K1095" t="n">
        <v>0.1282</v>
      </c>
      <c r="L1095" t="inlineStr">
        <is>
          <t>This Java code snippet demonstrates how to send a POST request using OkHttp library that streams data from a `BufferedSink` to the server. The method utilizes a `Pipe` to create a bidirectional channel between the client and server, allowing efficient streaming of large files without loading them entirely into memory. The `PostStreamingWithPipe` class provides a simple interface for sending text content as Markdown format</t>
        </is>
      </c>
      <c r="M1095" t="n">
        <v>0.0034</v>
      </c>
      <c r="N1095" t="n">
        <v>0.0556</v>
      </c>
      <c r="O1095" t="n">
        <v>0.1103</v>
      </c>
    </row>
    <row r="1096">
      <c r="A1096" t="inlineStr">
        <is>
          <t>okhttp</t>
        </is>
      </c>
      <c r="B1096" t="inlineStr">
        <is>
          <t>samples/guide/src/main/java/okhttp3/recipes/CertificatePinning.java</t>
        </is>
      </c>
      <c r="C1096">
        <f>HYPERLINK("https://github.com/square/okhttp/blob/master/samples/guide/src/main/java/okhttp3/recipes/CertificatePinning.java")</f>
        <v/>
      </c>
      <c r="D1096" t="inlineStr">
        <is>
          <t>The provided Java code snippet demonstrates how to configure certificate pinning using OkHttp library in Android applications. It sets up an `OkHttpClient` instance with a custom `CertificatePinner`, which pins certificates against known trusted ones. The example uses a placeholder URL ("https://example.com") but can be replaced with any target server's URL. This setup helps prevent man-in-the-middle attacks by ensuring that</t>
        </is>
      </c>
      <c r="E1096" t="n">
        <v>0.0031</v>
      </c>
      <c r="F1096" t="n">
        <v>0.0274</v>
      </c>
      <c r="G1096" t="n">
        <v>0.07630000000000001</v>
      </c>
      <c r="H1096" t="inlineStr">
        <is>
          <t>The repository contains backend software components implementing core algorithms. Complexity is O(N), indicating linear time complexity. Comments describe the implementation details. Initial codebase was committed. The total size of the codebase is 1000 lines.</t>
        </is>
      </c>
      <c r="I1096" t="n">
        <v>0.0065</v>
      </c>
      <c r="J1096" t="n">
        <v>0.1395</v>
      </c>
      <c r="K1096" t="n">
        <v>0.1415</v>
      </c>
      <c r="L1096" t="inlineStr">
        <is>
          <t>This Java code snippet demonstrates how to implement certificate pinning using OkHttp's `CertificatePinner` feature. It creates an `OkHttpClient` instance configured with a custom `CertificatePinner`, which pins certificates from specified hosts against known public keys. The example includes adding a host (`example.com`) with a pinned certificate. This helps prevent man-in-the-middle attacks by ensuring that only trusted certificates can</t>
        </is>
      </c>
      <c r="M1096" t="n">
        <v>0.0032</v>
      </c>
      <c r="N1096" t="n">
        <v>0.0571</v>
      </c>
      <c r="O1096" t="n">
        <v>0.1163</v>
      </c>
    </row>
    <row r="1097">
      <c r="A1097" t="inlineStr">
        <is>
          <t>okhttp</t>
        </is>
      </c>
      <c r="B1097" t="inlineStr">
        <is>
          <t>samples/guide/src/main/java/okhttp3/recipes/AccessHeaders.java</t>
        </is>
      </c>
      <c r="C1097">
        <f>HYPERLINK("https://github.com/square/okhttp/blob/master/samples/guide/src/main/java/okhttp3/recipes/AccessHeaders.java")</f>
        <v/>
      </c>
      <c r="D1097" t="inlineStr">
        <is>
          <t>The provided Java code snippet defines a simple HTTP GET request using OkHttp library to fetch issues from the GitHub API. It includes setting up an `OkHttpClient` instance, constructing a `Request` object with headers, and executing the request asynchronously. The method `run()` demonstrates how to perform this operation and handle potential exceptions.</t>
        </is>
      </c>
      <c r="E1097" t="n">
        <v>0.0035</v>
      </c>
      <c r="F1097" t="n">
        <v>0.0667</v>
      </c>
      <c r="G1097" t="n">
        <v>0.121</v>
      </c>
      <c r="H1097" t="inlineStr">
        <is>
          <t>The repository contains backend software components that implement core algorithms. The complexity is O(N), indicating linear time complexity, which suggests it processes data sequentially. Comments describe the implementation as "core algorithms," while commits indicate the initial creation of the codebase. The total size of the code is 1000 lines.</t>
        </is>
      </c>
      <c r="I1097" t="n">
        <v>0.0045</v>
      </c>
      <c r="J1097" t="n">
        <v>0.1034</v>
      </c>
      <c r="K1097" t="n">
        <v>0.124</v>
      </c>
      <c r="L1097" t="inlineStr">
        <is>
          <t>The `AccessHeaders` class uses OkHttp to make HTTP requests to GitHub's API, including setting headers such as "User-Agent". The method `run()` sends a GET request to fetch issues from the specified URL and prints out the response body.</t>
        </is>
      </c>
      <c r="M1097" t="n">
        <v>0.0049</v>
      </c>
      <c r="N1097" t="n">
        <v>0.0417</v>
      </c>
      <c r="O1097" t="n">
        <v>0.09089999999999999</v>
      </c>
    </row>
    <row r="1098">
      <c r="A1098" t="inlineStr">
        <is>
          <t>okhttp</t>
        </is>
      </c>
      <c r="B1098" t="inlineStr">
        <is>
          <t>samples/guide/src/main/java/okhttp3/recipes/RequestBodyCompression.java</t>
        </is>
      </c>
      <c r="C1098">
        <f>HYPERLINK("https://github.com/square/okhttp/blob/master/samples/guide/src/main/java/okhttp3/recipes/RequestBodyCompression.java")</f>
        <v/>
      </c>
      <c r="D1098" t="inlineStr">
        <is>
          <t>The provided code snippet appears to be part of a Java project that uses OkHttp and Moshi libraries to create an HTTP client capable of sending requests and receiving responses. The code defines a `Request` class within the `okhttp3.recipes` package, which likely includes methods for constructing and executing HTTP requests using OkHttp's `OkHttpClient`. The comments indicate that it implements core algorithms related to</t>
        </is>
      </c>
      <c r="E1098" t="n">
        <v>0.0068</v>
      </c>
      <c r="F1098" t="n">
        <v>0.0548</v>
      </c>
      <c r="G1098" t="n">
        <v>0.2338</v>
      </c>
      <c r="H1098" t="inlineStr">
        <is>
          <t>The repository contains backend software components that implement core algorithms. The complexity of these implementations is O(N), indicating linear time complexity.</t>
        </is>
      </c>
      <c r="I1098" t="n">
        <v>0.0109</v>
      </c>
      <c r="J1098" t="n">
        <v>0.2</v>
      </c>
      <c r="K1098" t="n">
        <v>0.1613</v>
      </c>
      <c r="L1098" t="inlineStr">
        <is>
          <t>This Java code snippet demonstrates how to create an `Interceptor` that logs HTTP requests using Moshi for JSON serialization. The interceptor serializes request headers and body into JSON format before sending them over the network. It uses OkHttp's `OkHttpClient` to handle the HTTP communication. The code includes comments explaining the purpose and usage of each part, making it easier to understand and maintain.</t>
        </is>
      </c>
      <c r="M1098" t="n">
        <v>0.0034</v>
      </c>
      <c r="N1098" t="n">
        <v>0.0556</v>
      </c>
      <c r="O1098" t="n">
        <v>0.1111</v>
      </c>
    </row>
    <row r="1099">
      <c r="A1099" t="inlineStr">
        <is>
          <t>okhttp</t>
        </is>
      </c>
      <c r="B1099" t="inlineStr">
        <is>
          <t>samples/guide/src/main/java/okhttp3/recipes/AsynchronousGet.java</t>
        </is>
      </c>
      <c r="C1099">
        <f>HYPERLINK("https://github.com/square/okhttp/blob/master/samples/guide/src/main/java/okhttp3/recipes/AsynchronousGet.java")</f>
        <v/>
      </c>
      <c r="D1099" t="inlineStr">
        <is>
          <t>The provided Java code snippet defines a simple asynchronous GET request using OkHttp library. It creates an instance of `OkHttpClient`, constructs a `Request` object targeting a specified URL, and then sends it asynchronously using the `enqueue` method of the `Call` interface. The response from the server is handled via a callback that processes the `Response` object, including headers and body content. This setup</t>
        </is>
      </c>
      <c r="E1099" t="n">
        <v>0.0034</v>
      </c>
      <c r="F1099" t="n">
        <v>0.0282</v>
      </c>
      <c r="G1099" t="n">
        <v>0.1111</v>
      </c>
      <c r="H1099" t="inlineStr">
        <is>
          <t>The repository contains backend software components that implement core algorithms. The complexity is O(N), indicating linear time complexity for certain operations. Comments describe the implementation details, while commits track the initial creation of the codebase. The total size of the codebase is 1000 lines.</t>
        </is>
      </c>
      <c r="I1099" t="n">
        <v>0.005</v>
      </c>
      <c r="J1099" t="n">
        <v>0.1132</v>
      </c>
      <c r="K1099" t="n">
        <v>0.1293</v>
      </c>
      <c r="L1099" t="inlineStr">
        <is>
          <t>The `AsynchronousGet` class uses OkHttp to send an asynchronous GET request to a specified URL and handles the response using a callback interface. It initializes an instance of `OkHttpClient`, constructs a `Request` object, and then executes the request asynchronously. The response is processed within the `Callback` implementation, which includes handling successful responses and any potential errors that occur during the network operation.</t>
        </is>
      </c>
      <c r="M1099" t="n">
        <v>0.0029</v>
      </c>
      <c r="N1099" t="n">
        <v>0.0571</v>
      </c>
      <c r="O1099" t="n">
        <v>0.0746</v>
      </c>
    </row>
    <row r="1100">
      <c r="A1100" t="inlineStr">
        <is>
          <t>okhttp</t>
        </is>
      </c>
      <c r="B1100" t="inlineStr">
        <is>
          <t>samples/guide/src/main/java/okhttp3/recipes/PostFile.java</t>
        </is>
      </c>
      <c r="C1100">
        <f>HYPERLINK("https://github.com/square/okhttp/blob/master/samples/guide/src/main/java/okhttp3/recipes/PostFile.java")</f>
        <v/>
      </c>
      <c r="D1100" t="inlineStr">
        <is>
          <t>The provided Java code defines a simple HTTP POST request using the OkHttp library to upload a file. It includes:
- A `MediaType` constant for Markdown files.
- An `OkHttpClient` instance used to send requests.
- A method `postFile` that takes a URL, a local file path, and returns the response from the server after posting the file.
Overall, it demonstrates how to</t>
        </is>
      </c>
      <c r="E1100" t="n">
        <v>0.0029</v>
      </c>
      <c r="F1100" t="n">
        <v>0.0294</v>
      </c>
      <c r="G1100" t="n">
        <v>0.0741</v>
      </c>
      <c r="H1100" t="inlineStr">
        <is>
          <t>This repository contains backend software components that implement core algorithms. The complexity is O(N), indicating linear time complexity, which means the performance increases proportionally with the size of the input data. The comments describe the implementation of these algorithms, while the commits indicate the initial creation of the codebase. The total code size is 1000 lines.</t>
        </is>
      </c>
      <c r="I1100" t="n">
        <v>0.0043</v>
      </c>
      <c r="J1100" t="n">
        <v>0.1231</v>
      </c>
      <c r="K1100" t="n">
        <v>0.1563</v>
      </c>
      <c r="L1100" t="inlineStr">
        <is>
          <t>The `PostFile` class uses OkHttp to send a POST request containing a file as multipart form data. It includes methods to create a `RequestBody` from a file and make the HTTP request. The class is part of a larger set of backend software components and has a time complexity of O(N), where N is the size of the file being uploaded.</t>
        </is>
      </c>
      <c r="M1100" t="n">
        <v>0.0036</v>
      </c>
      <c r="N1100" t="n">
        <v>0.0571</v>
      </c>
      <c r="O1100" t="n">
        <v>0.1128</v>
      </c>
    </row>
    <row r="1101">
      <c r="A1101" t="inlineStr">
        <is>
          <t>okhttp</t>
        </is>
      </c>
      <c r="B1101" t="inlineStr">
        <is>
          <t>samples/guide/src/main/java/okhttp3/recipes/Progress.java</t>
        </is>
      </c>
      <c r="C1101">
        <f>HYPERLINK("https://github.com/square/okhttp/blob/master/samples/guide/src/main/java/okhttp3/recipes/Progress.java")</f>
        <v/>
      </c>
      <c r="D1101" t="inlineStr">
        <is>
          <t>The provided Java code defines a simple HTTP client that sends a GET request to a specified URL and prints out the response body along with its progress. The `run` method constructs an HTTP request using OkHttp, executes it, and then reads the response body while printing each chunk as it's received. This demonstrates basic network communication and data processing techniques in Java.</t>
        </is>
      </c>
      <c r="E1101" t="n">
        <v>0.0034</v>
      </c>
      <c r="F1101" t="n">
        <v>0.0556</v>
      </c>
      <c r="G1101" t="n">
        <v>0.1111</v>
      </c>
      <c r="H1101" t="inlineStr">
        <is>
          <t>The repository contains backend software components implementing core algorithms. The complexity is O(N), indicating linear time complexity. Comments describe the implementation of these algorithms. The commits include an initial codebase commit. The total size of the codebase is 1000 lines.</t>
        </is>
      </c>
      <c r="I1101" t="n">
        <v>0.0055</v>
      </c>
      <c r="J1101" t="n">
        <v>0.1224</v>
      </c>
      <c r="K1101" t="n">
        <v>0.1339</v>
      </c>
      <c r="L1101" t="inlineStr">
        <is>
          <t>The `Progress` class provides a method to execute HTTP requests using OkHttp and track progress during data transfer. It uses a custom `ForwardingSource` to monitor the download progress and prints out the percentage completed. The method initializes an OkHttpClient, constructs a GET request, sends the request, and reads the response body while updating the progress bar.</t>
        </is>
      </c>
      <c r="M1101" t="n">
        <v>0.0033</v>
      </c>
      <c r="N1101" t="n">
        <v>0.0312</v>
      </c>
      <c r="O1101" t="n">
        <v>0.0781</v>
      </c>
    </row>
    <row r="1102">
      <c r="A1102" t="inlineStr">
        <is>
          <t>okhttp</t>
        </is>
      </c>
      <c r="B1102" t="inlineStr">
        <is>
          <t>samples/guide/src/main/java/okhttp3/recipes/PostForm.java</t>
        </is>
      </c>
      <c r="C1102">
        <f>HYPERLINK("https://github.com/square/okhttp/blob/master/samples/guide/src/main/java/okhttp3/recipes/PostForm.java")</f>
        <v/>
      </c>
      <c r="D1102" t="inlineStr">
        <is>
          <t>The provided Java code defines a simple HTTP POST request using OkHttp library to send a form body containing key-value pairs. The `PostForm` class initializes an instance of `OkHttpClient`, constructs a `FormBody` object with search parameters, and sends a POST request to a specified URL. This example demonstrates basic usage of OkHttp for making network requests in Android applications.</t>
        </is>
      </c>
      <c r="E1102" t="n">
        <v>0.0037</v>
      </c>
      <c r="F1102" t="n">
        <v>0.0294</v>
      </c>
      <c r="G1102" t="n">
        <v>0.1145</v>
      </c>
      <c r="H1102" t="inlineStr">
        <is>
          <t>This repository contains backend software components that implement core algorithms. The complexity of these implementations is O(N), indicating linear time complexity. The code size is 1000 lines, making it relatively large but focused on providing robust algorithmic solutions.</t>
        </is>
      </c>
      <c r="I1102" t="n">
        <v>0.0064</v>
      </c>
      <c r="J1102" t="n">
        <v>0.1702</v>
      </c>
      <c r="K1102" t="n">
        <v>0.1818</v>
      </c>
      <c r="L1102" t="inlineStr">
        <is>
          <t>The `PostForm` class uses OkHttp to send a POST request containing a form body to a specified URL. It initializes an `OkHttpClient`, constructs a `FormBody` with a single field named "search," and sends a request to the server. The method `run()` executes these actions, handling any potential exceptions that might occur during the HTTP operation.</t>
        </is>
      </c>
      <c r="M1102" t="n">
        <v>0.0033</v>
      </c>
      <c r="N1102" t="n">
        <v>0.0317</v>
      </c>
      <c r="O1102" t="n">
        <v>0.07870000000000001</v>
      </c>
    </row>
    <row r="1103">
      <c r="A1103" t="inlineStr">
        <is>
          <t>okhttp</t>
        </is>
      </c>
      <c r="B1103" t="inlineStr">
        <is>
          <t>samples/guide/src/main/java/okhttp3/recipes/CurrentDateHeader.java</t>
        </is>
      </c>
      <c r="C1103">
        <f>HYPERLINK("https://github.com/square/okhttp/blob/master/samples/guide/src/main/java/okhttp3/recipes/CurrentDateHeader.java")</f>
        <v/>
      </c>
      <c r="D1103" t="inlineStr">
        <is>
          <t>The provided Java code defines a simple HTTP client that adds a custom header containing the current date to each request it makes. The `CurrentDateInterceptor` class implements the logic to add the header, while the `run` method demonstrates how to use the client to send requests and print their headers. This example illustrates basic usage of OkHttp library for making network calls and adding custom metadata to requests.</t>
        </is>
      </c>
      <c r="E1103" t="n">
        <v>0.0035</v>
      </c>
      <c r="F1103" t="n">
        <v>0.0526</v>
      </c>
      <c r="G1103" t="n">
        <v>0.1429</v>
      </c>
      <c r="H1103" t="inlineStr">
        <is>
          <t>This repository contains backend software components implementing core algorithms. The complexity is O(N), indicating linear time complexity, and it includes comments explaining the implementation details. The code size is 1000 lines, suggesting a substantial amount of functionality within the project.</t>
        </is>
      </c>
      <c r="I1103" t="n">
        <v>0.0069</v>
      </c>
      <c r="J1103" t="n">
        <v>0.2041</v>
      </c>
      <c r="K1103" t="n">
        <v>0.2679</v>
      </c>
      <c r="L1103" t="inlineStr">
        <is>
          <t>The `CurrentDateHeader` class uses OkHttp to add a custom HTTP header containing the current date to every request made through its associated `OkHttpClient`. The interceptor adds the `"X-Custom-Date"` header with the current date formatted as a string.</t>
        </is>
      </c>
      <c r="M1103" t="n">
        <v>0</v>
      </c>
      <c r="N1103" t="n">
        <v>0</v>
      </c>
      <c r="O1103" t="n">
        <v>0.0459</v>
      </c>
    </row>
    <row r="1104">
      <c r="A1104" t="inlineStr">
        <is>
          <t>okhttp</t>
        </is>
      </c>
      <c r="B1104" t="inlineStr">
        <is>
          <t>samples/guide/src/main/java/okhttp3/recipes/CustomTrust.java</t>
        </is>
      </c>
      <c r="C1104">
        <f>HYPERLINK("https://github.com/square/okhttp/blob/master/samples/guide/src/main/java/okhttp3/recipes/CustomTrust.java")</f>
        <v/>
      </c>
      <c r="D1104" t="inlineStr">
        <is>
          <t>The provided Java code defines a utility class `CustomTrust` within the package `okhttp3.recipes`. This class is designed to handle custom trust management using SSL/TLS connections in OkHttp, specifically focusing on adding additional trusted certificate authorities (CAs). The key functionalities include:
1. **Loading Root Certificates**: It loads PEM-encoded root certificates from specified paths (`comodo.pem` and</t>
        </is>
      </c>
      <c r="E1104" t="n">
        <v>0.004</v>
      </c>
      <c r="F1104" t="n">
        <v>0.09089999999999999</v>
      </c>
      <c r="G1104" t="n">
        <v>0.119</v>
      </c>
      <c r="H1104" t="inlineStr">
        <is>
          <t>This repository contains backend software components that implement core algorithms. The complexity of the implementation is O(N), indicating linear time complexity relative to the input size N. The README provides information about the project's purpose and structure.</t>
        </is>
      </c>
      <c r="I1104" t="n">
        <v>0.0071</v>
      </c>
      <c r="J1104" t="n">
        <v>0.2128</v>
      </c>
      <c r="K1104" t="n">
        <v>0.2294</v>
      </c>
      <c r="L1104" t="inlineStr">
        <is>
          <t>This Java code snippet demonstrates how to create a custom trust manager using PEM-encoded X.509 certificates from Comodo and Entrust to bypass SSL certificate validation when making HTTP requests with OkHttp. The `CustomTrust` class initializes an OkHttpClient with a custom TrustManager that trusts these specified CA certificates, allowing connections to servers secured by them without verifying their authenticity.</t>
        </is>
      </c>
      <c r="M1104" t="n">
        <v>0.0037</v>
      </c>
      <c r="N1104" t="n">
        <v>0.0588</v>
      </c>
      <c r="O1104" t="n">
        <v>0.1154</v>
      </c>
    </row>
    <row r="1105">
      <c r="A1105" t="inlineStr">
        <is>
          <t>okhttp</t>
        </is>
      </c>
      <c r="B1105" t="inlineStr">
        <is>
          <t>samples/guide/src/main/java/okhttp3/recipes/PostStreaming.java</t>
        </is>
      </c>
      <c r="C1105">
        <f>HYPERLINK("https://github.com/square/okhttp/blob/master/samples/guide/src/main/java/okhttp3/recipes/PostStreaming.java")</f>
        <v/>
      </c>
      <c r="D1105" t="inlineStr">
        <is>
          <t>The provided Java code defines a simple HTTP POST request using OkHttp library that sends streaming data as Markdown content. The `PostStreaming` class initializes an `OkHttpClient`, constructs a `Request` object with a specified media type (`text/x-markdown`) and a body containing markdown text. It then executes the request asynchronously and handles any potential exceptions during the process. This example demonstrates how to send structured</t>
        </is>
      </c>
      <c r="E1105" t="n">
        <v>0.0034</v>
      </c>
      <c r="F1105" t="n">
        <v>0.0274</v>
      </c>
      <c r="G1105" t="n">
        <v>0.1111</v>
      </c>
      <c r="H1105" t="inlineStr">
        <is>
          <t>This repository contains backend software components implementing core algorithms. The complexity of these implementations varies depending on the specific algorithm being used, but it generally ranges from O(log n) to O(n^2). The code size is approximately 1000 lines, and comments provide detailed explanations of the implementation process.</t>
        </is>
      </c>
      <c r="I1105" t="n">
        <v>0.0055</v>
      </c>
      <c r="J1105" t="n">
        <v>0.1724</v>
      </c>
      <c r="K1105" t="n">
        <v>0.2101</v>
      </c>
      <c r="L1105" t="inlineStr">
        <is>
          <t>The `PostStreaming` class demonstrates how to send a POST request with streaming data using OkHttp, where the body content is written to the server incrementally without loading the entire payload into memory. The method `postStream()` takes a URL, media type, and a stream of bytes as input, constructs a `RequestBody`, and sends it via an HTTP POST request. The response from the server is</t>
        </is>
      </c>
      <c r="M1105" t="n">
        <v>0.0028</v>
      </c>
      <c r="N1105" t="n">
        <v>0.0278</v>
      </c>
      <c r="O1105" t="n">
        <v>0.0735</v>
      </c>
    </row>
    <row r="1106">
      <c r="A1106" t="inlineStr">
        <is>
          <t>okhttp</t>
        </is>
      </c>
      <c r="B1106" t="inlineStr">
        <is>
          <t>samples/guide/src/main/java/okhttp3/recipes/SynchronousGet.java</t>
        </is>
      </c>
      <c r="C1106">
        <f>HYPERLINK("https://github.com/square/okhttp/blob/master/samples/guide/src/main/java/okhttp3/recipes/SynchronousGet.java")</f>
        <v/>
      </c>
      <c r="D1106" t="inlineStr">
        <is>
          <t>The provided Java code defines a simple synchronous HTTP GET request using OkHttp library. It creates an instance of `OkHttpClient`, constructs a `Request` object targeting a URL, sends the request synchronously, and prints the response body. The complexity is O(1), as it involves basic operations like creating objects and making a single network call.</t>
        </is>
      </c>
      <c r="E1106" t="n">
        <v>0.0034</v>
      </c>
      <c r="F1106" t="n">
        <v>0.0317</v>
      </c>
      <c r="G1106" t="n">
        <v>0.0794</v>
      </c>
      <c r="H1106" t="inlineStr">
        <is>
          <t>This repository contains backend software components implementing core algorithms. The complexity is O(N), indicating linear time performance relative to input size N. The comments describe the implementation of these algorithms. The commits include an initial codebase commit. The total code size is 1000 lines.</t>
        </is>
      </c>
      <c r="I1106" t="n">
        <v>0.0055</v>
      </c>
      <c r="J1106" t="n">
        <v>0.1509</v>
      </c>
      <c r="K1106" t="n">
        <v>0.1724</v>
      </c>
      <c r="L1106" t="inlineStr">
        <is>
          <t>This Java code snippet demonstrates how to perform a synchronous HTTP GET request using OkHttp library to retrieve content from a specified URL ("https://publicobject.com/helloworld.txt"). The `SynchronousGet` class initializes an instance of `OkHttpClient`, constructs a `Request` object targeting the given URL, and then executes the request synchronously. If successful, it prints the response body; otherwise, it</t>
        </is>
      </c>
      <c r="M1106" t="n">
        <v>0.004</v>
      </c>
      <c r="N1106" t="n">
        <v>0.0597</v>
      </c>
      <c r="O1106" t="n">
        <v>0.1181</v>
      </c>
    </row>
    <row r="1107">
      <c r="A1107" t="inlineStr">
        <is>
          <t>okhttp</t>
        </is>
      </c>
      <c r="B1107" t="inlineStr">
        <is>
          <t>samples/guide/src/main/java/okhttp3/recipes/PostString.java</t>
        </is>
      </c>
      <c r="C1107">
        <f>HYPERLINK("https://github.com/square/okhttp/blob/master/samples/guide/src/main/java/okhttp3/recipes/PostString.java")</f>
        <v/>
      </c>
      <c r="D1107" t="inlineStr">
        <is>
          <t>The provided Java code defines a simple HTTP POST request using OkHttp library to send a string payload as Markdown content. It includes necessary imports, constants for media type, and a method `postMarkdown` that takes a URL and a markdown string as parameters. The method constructs a `RequestBody`, sends it via an `OkHttpClient`, and returns the response.</t>
        </is>
      </c>
      <c r="E1107" t="n">
        <v>0.0032</v>
      </c>
      <c r="F1107" t="n">
        <v>0.0308</v>
      </c>
      <c r="G1107" t="n">
        <v>0.0775</v>
      </c>
      <c r="H1107" t="inlineStr">
        <is>
          <t>The repository contains backend software components that implement core algorithms. The complexity of these implementations is O(N), indicating linear time complexity. The code size is 1000 lines, making it relatively large.</t>
        </is>
      </c>
      <c r="I1107" t="n">
        <v>0.0072</v>
      </c>
      <c r="J1107" t="n">
        <v>0.15</v>
      </c>
      <c r="K1107" t="n">
        <v>0.1456</v>
      </c>
      <c r="L1107" t="inlineStr">
        <is>
          <t>This Java code snippet demonstrates how to send a POST request containing a string payload using OkHttp library. It sets up an HTTP client, defines a media type for Markdown content, constructs a request with the specified body, and sends it to a server endpoint. The response from the server is then processed.</t>
        </is>
      </c>
      <c r="M1107" t="n">
        <v>0.0041</v>
      </c>
      <c r="N1107" t="n">
        <v>0.06560000000000001</v>
      </c>
      <c r="O1107" t="n">
        <v>0.12</v>
      </c>
    </row>
    <row r="1108">
      <c r="A1108" t="inlineStr">
        <is>
          <t>okhttp</t>
        </is>
      </c>
      <c r="B1108" t="inlineStr">
        <is>
          <t>samples/guide/src/main/java/okhttp3/recipes/PostMultipart.java</t>
        </is>
      </c>
      <c r="C1108">
        <f>HYPERLINK("https://github.com/square/okhttp/blob/master/samples/guide/src/main/java/okhttp3/recipes/PostMultipart.java")</f>
        <v/>
      </c>
      <c r="D1108" t="inlineStr">
        <is>
          <t>The provided Java code defines a simple example of how to upload a multipart form data request using OkHttp library. It demonstrates sending files along with additional metadata such as image description and tags to an API endpoint. The code includes setting up an OkHttpClient instance, creating a MultipartBody object containing the file and its associated metadata, constructing a Request with the appropriate headers and body, and executing the POST request.</t>
        </is>
      </c>
      <c r="E1108" t="n">
        <v>0.0026</v>
      </c>
      <c r="F1108" t="n">
        <v>0.0253</v>
      </c>
      <c r="G1108" t="n">
        <v>0.0699</v>
      </c>
      <c r="H1108" t="inlineStr">
        <is>
          <t>This repository contains backend software components implementing core algorithms. Complexity is O(N), indicating linear time complexity for certain operations. Comments provide detailed explanations of the implementation. Initial codebase commit was made. Total code size is 1000 lines.</t>
        </is>
      </c>
      <c r="I1108" t="n">
        <v>0.0066</v>
      </c>
      <c r="J1108" t="n">
        <v>0.1739</v>
      </c>
      <c r="K1108" t="n">
        <v>0.2896</v>
      </c>
      <c r="L1108" t="inlineStr">
        <is>
          <t>The `PostMultipart` class demonstrates how to upload files using multipart form data via HTTP POST requests with OkHttp. It includes methods to create a request body containing multiple parts, such as text and a file, and sends the request to an endpoint specified by the user. The example uses Imgur's API for demonstration purposes, but can be adapted for any server that accepts multipart uploads.</t>
        </is>
      </c>
      <c r="M1108" t="n">
        <v>0.0028</v>
      </c>
      <c r="N1108" t="n">
        <v>0.027</v>
      </c>
      <c r="O1108" t="n">
        <v>0.073</v>
      </c>
    </row>
    <row r="1109">
      <c r="A1109" t="inlineStr">
        <is>
          <t>okhttp</t>
        </is>
      </c>
      <c r="B1109" t="inlineStr">
        <is>
          <t>samples/guide/src/main/java/okhttp3/recipes/Authenticate.java</t>
        </is>
      </c>
      <c r="C1109">
        <f>HYPERLINK("https://github.com/square/okhttp/blob/master/samples/guide/src/main/java/okhttp3/recipes/Authenticate.java")</f>
        <v/>
      </c>
      <c r="D1109" t="inlineStr">
        <is>
          <t>The provided Java code defines a simple HTTP client that uses OkHttp library to authenticate requests using basic authentication. It includes:
- A `Authenticate` class with a constructor that initializes an `OkHttpClient`.
- An anonymous inner class implementing `Authenticator`, which handles authentication challenges by returning credentials based on the request's URL.
- The main method demonstrates how to create an instance of `Authenticate`, make a</t>
        </is>
      </c>
      <c r="E1109" t="n">
        <v>0</v>
      </c>
      <c r="F1109" t="n">
        <v>0.0282</v>
      </c>
      <c r="G1109" t="n">
        <v>0.073</v>
      </c>
      <c r="H1109" t="inlineStr">
        <is>
          <t>The repository contains backend software components implementing core algorithms. The complexity of these implementations is O(N), indicating linear time complexity relative to input size. The code base has been initialized with basic structure and comments describing its purpose and implementation details.</t>
        </is>
      </c>
      <c r="I1109" t="n">
        <v>0.0059</v>
      </c>
      <c r="J1109" t="n">
        <v>0.16</v>
      </c>
      <c r="K1109" t="n">
        <v>0.177</v>
      </c>
      <c r="L1109" t="inlineStr">
        <is>
          <t>This Java code defines a simple HTTP authentication utility using OkHttp library. It sets up an `OkHttpClient` instance with an authenticator that handles basic authentication based on credentials provided when making requests. The `Authenticate` class provides a constructor to initialize the client and can be used to send authenticated HTTP requests.</t>
        </is>
      </c>
      <c r="M1109" t="n">
        <v>0.0043</v>
      </c>
      <c r="N1109" t="n">
        <v>0.0678</v>
      </c>
      <c r="O1109" t="n">
        <v>0.122</v>
      </c>
    </row>
    <row r="1110">
      <c r="A1110" t="inlineStr">
        <is>
          <t>okhttp</t>
        </is>
      </c>
      <c r="B1110" t="inlineStr">
        <is>
          <t>samples/guide/src/main/java/okhttp3/recipes/HttpsServer.java</t>
        </is>
      </c>
      <c r="C1110">
        <f>HYPERLINK("https://github.com/square/okhttp/blob/master/samples/guide/src/main/java/okhttp3/recipes/HttpsServer.java")</f>
        <v/>
      </c>
      <c r="D1110" t="inlineStr">
        <is>
          <t>The code creates an HTTPS server using OkHttp's MockWebServer library, serving requests over TLS with a self-signed certificate that OkHttp trusts. This setup allows developers to test secure network interactions without needing a real SSL/TLS certificate authority. The example demonstrates how to set up a mock server with custom certificates and handle incoming requests securely.</t>
        </is>
      </c>
      <c r="E1110" t="n">
        <v>0.004</v>
      </c>
      <c r="F1110" t="n">
        <v>0.0606</v>
      </c>
      <c r="G1110" t="n">
        <v>0.1181</v>
      </c>
      <c r="H1110" t="inlineStr">
        <is>
          <t>This repository contains backend software components implementing core algorithms. The complexity is O(N), indicating linear time complexity, which means it scales proportionally with the input size N. The comments describe the implementation details, while the commits indicate the initial creation of the codebase. The total code size is 1000 lines.</t>
        </is>
      </c>
      <c r="I1110" t="n">
        <v>0.0048</v>
      </c>
      <c r="J1110" t="n">
        <v>0.1356</v>
      </c>
      <c r="K1110" t="n">
        <v>0.1639</v>
      </c>
      <c r="L1110" t="inlineStr">
        <is>
          <t>This Java class demonstrates how to set up an HTTPS server using OkHttp's MockWebServer library. The server uses a self-signed SSL/TLS certificate that OkHttp recognizes as trusted, allowing clients to connect securely without validation errors. The example includes creating a mock response, starting the server, making requests, and handling responses.</t>
        </is>
      </c>
      <c r="M1110" t="n">
        <v>0.0044</v>
      </c>
      <c r="N1110" t="n">
        <v>0.06560000000000001</v>
      </c>
      <c r="O1110" t="n">
        <v>0.123</v>
      </c>
    </row>
    <row r="1111">
      <c r="A1111" t="inlineStr">
        <is>
          <t>okhttp</t>
        </is>
      </c>
      <c r="B1111" t="inlineStr">
        <is>
          <t>samples/guide/src/main/java/okhttp3/recipes/UploadProgress.java</t>
        </is>
      </c>
      <c r="C1111">
        <f>HYPERLINK("https://github.com/square/okhttp/blob/master/samples/guide/src/main/java/okhttp3/recipes/UploadProgress.java")</f>
        <v/>
      </c>
      <c r="D1111" t="inlineStr">
        <is>
          <t>The provided code defines a utility class `UploadProgress` within the package `okhttp3.recipes`. It includes methods to upload files using OkHttp library while tracking progress. The class uses custom logic to monitor the size of the uploaded data and update a callback interface whenever progress changes. This implementation leverages OkHttp's ability to handle multipart requests efficiently, allowing for uploading large files without loading them entirely</t>
        </is>
      </c>
      <c r="E1111" t="n">
        <v>0.0034</v>
      </c>
      <c r="F1111" t="n">
        <v>0.0541</v>
      </c>
      <c r="G1111" t="n">
        <v>0.1471</v>
      </c>
      <c r="H1111" t="inlineStr">
        <is>
          <t>The code implements a library for uploading files using OkHttp, including progress tracking. It includes classes such as `UploadProgress` that handle file uploads and track upload progress through a custom sink. The complexity is high due to the implementation of multiple features and data structures.</t>
        </is>
      </c>
      <c r="I1111" t="n">
        <v>0.0049</v>
      </c>
      <c r="J1111" t="n">
        <v>0.0755</v>
      </c>
      <c r="K1111" t="n">
        <v>0.1282</v>
      </c>
      <c r="L1111" t="inlineStr">
        <is>
          <t>The `UploadProgress` class provides a method to upload files to Imgur while tracking progress using OkHttp. It uses a custom `ForwardingSink` to monitor the write progress and updates a callback function accordingly. The class initializes an OkHttpClient instance and defines methods to set up the request body and send the upload.</t>
        </is>
      </c>
      <c r="M1111" t="n">
        <v>0.0036</v>
      </c>
      <c r="N1111" t="n">
        <v>0.0678</v>
      </c>
      <c r="O1111" t="n">
        <v>0.0813</v>
      </c>
    </row>
    <row r="1112">
      <c r="A1112" t="inlineStr">
        <is>
          <t>okhttp</t>
        </is>
      </c>
      <c r="B1112" t="inlineStr">
        <is>
          <t>samples/guide/src/main/java/okhttp3/recipes/CancelCall.java</t>
        </is>
      </c>
      <c r="C1112">
        <f>HYPERLINK("https://github.com/square/okhttp/blob/master/samples/guide/src/main/java/okhttp3/recipes/CancelCall.java")</f>
        <v/>
      </c>
      <c r="D1112" t="inlineStr">
        <is>
          <t>The provided Java code defines a simple HTTP client using OkHttp library that demonstrates how to cancel a network request asynchronously. It uses a `ScheduledExecutorService` to schedule a task that cancels the call after a specified delay. The code includes comments explaining its purpose and usage.</t>
        </is>
      </c>
      <c r="E1112" t="n">
        <v>0.004</v>
      </c>
      <c r="F1112" t="n">
        <v>0.037</v>
      </c>
      <c r="G1112" t="n">
        <v>0.0847</v>
      </c>
      <c r="H1112" t="inlineStr">
        <is>
          <t>This repository contains backend software components implementing core algorithms. The complexity is O(N), indicating linear time complexity. It includes comments explaining the implementation details and commits tracking the initial creation of the codebase. The total size of the codebase is 1000 lines.</t>
        </is>
      </c>
      <c r="I1112" t="n">
        <v>0.0062</v>
      </c>
      <c r="J1112" t="n">
        <v>0.1961</v>
      </c>
      <c r="K1112" t="n">
        <v>0.2193</v>
      </c>
      <c r="L1112" t="inlineStr">
        <is>
          <t>The `CancelCall` class manages asynchronous HTTP requests using OkHttp. It schedules periodic checks to cancel any outstanding calls that have been running longer than a specified duration. The implementation uses a single-threaded scheduled executor service to periodically check call statuses and cancels them if necessary.</t>
        </is>
      </c>
      <c r="M1112" t="n">
        <v>0.0041</v>
      </c>
      <c r="N1112" t="n">
        <v>0.0741</v>
      </c>
      <c r="O1112" t="n">
        <v>0.1282</v>
      </c>
    </row>
    <row r="1113">
      <c r="A1113" t="inlineStr">
        <is>
          <t>okhttp</t>
        </is>
      </c>
      <c r="B1113" t="inlineStr">
        <is>
          <t>samples/guide/src/main/java/okhttp3/recipes/PerCallSettings.java</t>
        </is>
      </c>
      <c r="C1113">
        <f>HYPERLINK("https://github.com/square/okhttp/blob/master/samples/guide/src/main/java/okhttp3/recipes/PerCallSettings.java")</f>
        <v/>
      </c>
      <c r="D1113" t="inlineStr">
        <is>
          <t>The provided Java code defines a simple HTTP client using OkHttp library that sends a GET request to `http://httpbin.org/delay/1` after waiting for one second. The client uses a single instance of `OkHttpClient`, which is configured without any special settings. The method `run()` demonstrates how to make the request asynchronously and handle its response.</t>
        </is>
      </c>
      <c r="E1113" t="n">
        <v>0.0035</v>
      </c>
      <c r="F1113" t="n">
        <v>0.0308</v>
      </c>
      <c r="G1113" t="n">
        <v>0.08</v>
      </c>
      <c r="H1113" t="inlineStr">
        <is>
          <t>This repository contains backend software components implementing core algorithms. The complexity is O(N), indicating linear time complexity. Comments describe the implementation of these algorithms. Initial codebase commit was made. The total size of the codebase is 1000 lines.</t>
        </is>
      </c>
      <c r="I1113" t="n">
        <v>0.0064</v>
      </c>
      <c r="J1113" t="n">
        <v>0.1702</v>
      </c>
      <c r="K1113" t="n">
        <v>0.1818</v>
      </c>
      <c r="L1113" t="inlineStr">
        <is>
          <t>This Java application uses OkHttp to send HTTP requests asynchronously. It creates an instance of `OkHttpClient` and defines a method `run()` that sends a GET request to "http://httpbin.org/delay/1". The response from the server is printed to the console.</t>
        </is>
      </c>
      <c r="M1113" t="n">
        <v>0.0058</v>
      </c>
      <c r="N1113" t="n">
        <v>0.08</v>
      </c>
      <c r="O1113" t="n">
        <v>0.1364</v>
      </c>
    </row>
    <row r="1114">
      <c r="A1114" t="inlineStr">
        <is>
          <t>okhttp</t>
        </is>
      </c>
      <c r="B1114" t="inlineStr">
        <is>
          <t>samples/guide/src/main/java/okhttp3/recipes/RewriteResponseCacheControl.java</t>
        </is>
      </c>
      <c r="C1114">
        <f>HYPERLINK("https://github.com/square/okhttp/blob/master/samples/guide/src/main/java/okhttp3/recipes/RewriteResponseCacheControl.java")</f>
        <v/>
      </c>
      <c r="D1114" t="inlineStr">
        <is>
          <t>The provided Java code defines a `RewriteResponseCacheControl` class within the `okhttp3.recipes` package. This class includes a dangerous interceptor named `REWRITE_CACHE_CONTROL_INTERCEPTOR`. The interceptor modifies the response's Cache-Control header by removing any existing directives related to caching, effectively disabling client-side caching. This can be useful in scenarios where the application needs to ensure fresh data from</t>
        </is>
      </c>
      <c r="E1114" t="n">
        <v>0.0034</v>
      </c>
      <c r="F1114" t="n">
        <v>0.029</v>
      </c>
      <c r="G1114" t="n">
        <v>0.119</v>
      </c>
      <c r="H1114" t="inlineStr">
        <is>
          <t>The repository contains backend software components implementing core algorithms. The complexity is O(N), indicating linear time complexity, which suggests it processes data sequentially. Comments describe the implementation of these algorithms, while the commits indicate the initial creation of the codebase. The total size of the codebase is 1000 lines.</t>
        </is>
      </c>
      <c r="I1114" t="n">
        <v>0.0045</v>
      </c>
      <c r="J1114" t="n">
        <v>0.1034</v>
      </c>
      <c r="K1114" t="n">
        <v>0.124</v>
      </c>
      <c r="L1114" t="inlineStr">
        <is>
          <t>This Java code defines a `RewriteResponseCacheControl` class containing a dangerous interceptor designed to rewrite the server's Cache-Control header in HTTP responses using OkHttp library. The interceptor modifies the response headers before they reach the client, potentially altering caching policies.</t>
        </is>
      </c>
      <c r="M1114" t="n">
        <v>0.0047</v>
      </c>
      <c r="N1114" t="n">
        <v>0.0408</v>
      </c>
      <c r="O1114" t="n">
        <v>0.0901</v>
      </c>
    </row>
    <row r="1115">
      <c r="A1115" t="inlineStr">
        <is>
          <t>okhttp</t>
        </is>
      </c>
      <c r="B1115" t="inlineStr">
        <is>
          <t>samples/guide/src/main/java/okhttp3/recipes/ParseResponseWithMoshi.java</t>
        </is>
      </c>
      <c r="C1115">
        <f>HYPERLINK("https://github.com/square/okhttp/blob/master/samples/guide/src/main/java/okhttp3/recipes/ParseResponseWithMoshi.java")</f>
        <v/>
      </c>
      <c r="D1115" t="inlineStr">
        <is>
          <t>The provided code snippet defines a Java class `ParseResponseWithMoshi` that demonstrates how to parse JSON responses using the Moshi library with OkHttp. The class initializes an instance of `OkHttpClient`, creates a `Moshi` object, and provides methods to send HTTP requests and parse JSON responses into maps. This setup allows developers to easily handle API calls and extract data from JSON responses in their</t>
        </is>
      </c>
      <c r="E1115" t="n">
        <v>0.0034</v>
      </c>
      <c r="F1115" t="n">
        <v>0.0563</v>
      </c>
      <c r="G1115" t="n">
        <v>0.1111</v>
      </c>
      <c r="H1115" t="inlineStr">
        <is>
          <t>This repository contains backend software components that implement core algorithms using various libraries such as OkHttp for HTTP requests and Moshi for JSON parsing. The complexity is high due to the implementation of multiple algorithms, and the code size is large due to the extensive use of these libraries.</t>
        </is>
      </c>
      <c r="I1115" t="n">
        <v>0.0053</v>
      </c>
      <c r="J1115" t="n">
        <v>0.1754</v>
      </c>
      <c r="K1115" t="n">
        <v>0.2479</v>
      </c>
      <c r="L1115" t="inlineStr">
        <is>
          <t>The `ParseResponseWithMoshi` class uses OkHttp to send HTTP requests and Moshi to parse JSON responses into Java objects. It initializes an OkHttpClient and a Moshi instance, then sends a GET request to a specified URL. The response is parsed using Moshi's JsonAdapter, which converts the JSON data into a Map object. This allows for easy access to the data within the application.</t>
        </is>
      </c>
      <c r="M1115" t="n">
        <v>0.0035</v>
      </c>
      <c r="N1115" t="n">
        <v>0.0282</v>
      </c>
      <c r="O1115" t="n">
        <v>0.1119</v>
      </c>
    </row>
    <row r="1116">
      <c r="A1116" t="inlineStr">
        <is>
          <t>okhttp</t>
        </is>
      </c>
      <c r="B1116" t="inlineStr">
        <is>
          <t>samples/guide/src/main/java/okhttp3/recipes/PrintEventsNonConcurrent.java</t>
        </is>
      </c>
      <c r="C1116">
        <f>HYPERLINK("https://github.com/square/okhttp/blob/master/samples/guide/src/main/java/okhttp3/recipes/PrintEventsNonConcurrent.java")</f>
        <v/>
      </c>
      <c r="D1116" t="inlineStr">
        <is>
          <t>The provided Java code snippet defines a class `OkHttpRecipes` within the package `okhttp3.recipes`. It includes several methods that demonstrate various functionalities related to HTTP requests using OkHttp library:
1. **Creating an OkHttpClient**: The constructor initializes an instance of `OkHttpClient`, which is used to send HTTP requests.
2. **Sending a GET Request**: The method `sendGetRequest()`</t>
        </is>
      </c>
      <c r="E1116" t="n">
        <v>0</v>
      </c>
      <c r="F1116" t="n">
        <v>0.0317</v>
      </c>
      <c r="G1116" t="n">
        <v>0.0397</v>
      </c>
      <c r="H1116" t="inlineStr">
        <is>
          <t>This repository contains backend software components that implement core algorithms using OkHttp library. The complexity is O(N), indicating linear time complexity for certain operations. The code size is 1000 lines, making it relatively large but focused on backend functionalities.</t>
        </is>
      </c>
      <c r="I1116" t="n">
        <v>0.0062</v>
      </c>
      <c r="J1116" t="n">
        <v>0.2083</v>
      </c>
      <c r="K1116" t="n">
        <v>0.3351</v>
      </c>
      <c r="L1116" t="inlineStr">
        <is>
          <t>This Java class provides a simple example of how to make HTTP requests using OkHttp, a popular asynchronous HTTP client library. It demonstrates basic usage of OkHttpClient to send GET requests and handle responses. The class includes methods for creating an OkHttpClient instance, setting up proxy settings, making requests, and handling events during the request lifecycle.</t>
        </is>
      </c>
      <c r="M1116" t="n">
        <v>0.0039</v>
      </c>
      <c r="N1116" t="n">
        <v>0.0625</v>
      </c>
      <c r="O1116" t="n">
        <v>0.1172</v>
      </c>
    </row>
    <row r="1117">
      <c r="A1117" t="inlineStr">
        <is>
          <t>okhttp</t>
        </is>
      </c>
      <c r="B1117" t="inlineStr">
        <is>
          <t>samples/guide/src/main/java/okhttp3/recipes/WebSocketEcho.java</t>
        </is>
      </c>
      <c r="C1117">
        <f>HYPERLINK("https://github.com/square/okhttp/blob/master/samples/guide/src/main/java/okhttp3/recipes/WebSocketEcho.java")</f>
        <v/>
      </c>
      <c r="D1117" t="inlineStr">
        <is>
          <t>The provided code is a simple example demonstrating how to use OkHttp library in Java for creating a WebSocket connection that sends messages to and receives responses from a server at `ws://echo.websocket.org`. The main functionalities include:
1. **Creating an OkHttpClient**: Configured with no read timeout to allow the application to handle long-running connections without interruption.
2. **Building a WebSocket Request**: A GET request</t>
        </is>
      </c>
      <c r="E1117" t="n">
        <v>0.0029</v>
      </c>
      <c r="F1117" t="n">
        <v>0.0267</v>
      </c>
      <c r="G1117" t="n">
        <v>0.0741</v>
      </c>
      <c r="H1117" t="inlineStr">
        <is>
          <t>Manages WebSocket connections to echo.websocket.org for sending messages and handling responses.</t>
        </is>
      </c>
      <c r="I1117" t="n">
        <v>0.0189</v>
      </c>
      <c r="J1117" t="n">
        <v>0.09520000000000001</v>
      </c>
      <c r="K1117" t="n">
        <v>0.0602</v>
      </c>
      <c r="L1117" t="inlineStr">
        <is>
          <t>This Java code snippet demonstrates how to establish a WebSocket connection to `ws://echo.websocket.org` using OkHttp library. It sends three messages ("Hello...", "...World!", and a hexadecimal string) to the server and then closes the connection after sending these messages. The code is designed for testing purposes as it echoes back any message received from the server.</t>
        </is>
      </c>
      <c r="M1117" t="n">
        <v>0.004</v>
      </c>
      <c r="N1117" t="n">
        <v>0.0606</v>
      </c>
      <c r="O1117" t="n">
        <v>0.1181</v>
      </c>
    </row>
    <row r="1118">
      <c r="A1118" t="inlineStr">
        <is>
          <t>okhttp</t>
        </is>
      </c>
      <c r="B1118" t="inlineStr">
        <is>
          <t>samples/guide/src/main/java/okhttp3/recipes/PrintEvents.java</t>
        </is>
      </c>
      <c r="C1118">
        <f>HYPERLINK("https://github.com/square/okhttp/blob/master/samples/guide/src/main/java/okhttp3/recipes/PrintEvents.java")</f>
        <v/>
      </c>
      <c r="D1118" t="inlineStr">
        <is>
          <t>The provided Java code defines a class `OkHttpRecipes` within the package `okhttp3.recipes`. It includes methods related to making HTTP requests using OkHttp library, such as sending GET and POST requests, handling callbacks, managing connections, and dealing with proxies. The code also involves atomic operations and network-related classes like `InetAddress`, `Proxy`, and `Connection`. The complexity is O</t>
        </is>
      </c>
      <c r="E1118" t="n">
        <v>0.0033</v>
      </c>
      <c r="F1118" t="n">
        <v>0.0303</v>
      </c>
      <c r="G1118" t="n">
        <v>0.0781</v>
      </c>
      <c r="H1118" t="inlineStr">
        <is>
          <t>This repository contains backend software components implementing core algorithms. The complexity is O(N), indicating that the time taken increases linearly with the size of the input data. The implementation includes classes such as `OkHttpClient`, `Call`, `Callback`, `Connection`, `EventListener`, `Handshake`, `HttpUrl`, etc., which facilitate network operations and handle HTTP requests efficiently.</t>
        </is>
      </c>
      <c r="I1118" t="n">
        <v>0.0052</v>
      </c>
      <c r="J1118" t="n">
        <v>0.1695</v>
      </c>
      <c r="K1118" t="n">
        <v>0.2049</v>
      </c>
      <c r="L1118" t="inlineStr">
        <is>
          <t>This Java code snippet demonstrates how to create an `OkHttpClient` instance that uses a proxy server. It sets up a connection pool with a maximum size of 5 connections per route and includes event listeners for monitoring network events. The client can be used to send HTTP requests through the specified proxy server.</t>
        </is>
      </c>
      <c r="M1118" t="n">
        <v>0.0041</v>
      </c>
      <c r="N1118" t="n">
        <v>0.06560000000000001</v>
      </c>
      <c r="O1118" t="n">
        <v>0.12</v>
      </c>
    </row>
    <row r="1119">
      <c r="A1119" t="inlineStr">
        <is>
          <t>okhttp</t>
        </is>
      </c>
      <c r="B1119" t="inlineStr">
        <is>
          <t>samples/guide/src/main/java/okhttp3/recipes/CheckHandshake.java</t>
        </is>
      </c>
      <c r="C1119">
        <f>HYPERLINK("https://github.com/square/okhttp/blob/master/samples/guide/src/main/java/okhttp3/recipes/CheckHandshake.java")</f>
        <v/>
      </c>
      <c r="D1119" t="inlineStr">
        <is>
          <t>The provided Java code defines a simple HTTP client using OkHttp library that checks if the SSL/TLS handshake was successful and rejects any other trusted certificates. The `CheckHandshake` class uses an interceptor to verify the server's certificate against a set of pinned certificates. If the handshake fails or the certificate does not match the expected ones, it throws an exception. This ensures secure connections based on predefined trust</t>
        </is>
      </c>
      <c r="E1119" t="n">
        <v>0.0032</v>
      </c>
      <c r="F1119" t="n">
        <v>0.0256</v>
      </c>
      <c r="G1119" t="n">
        <v>0.1071</v>
      </c>
      <c r="H1119" t="inlineStr">
        <is>
          <t>This repository contains backend software components that implement core algorithms. The complexity is O(N), indicating linear time complexity for certain operations. Comments describe the implementation details, while commits track the initial creation of the codebase. The total size of the codebase is 1000 lines.</t>
        </is>
      </c>
      <c r="I1119" t="n">
        <v>0.0055</v>
      </c>
      <c r="J1119" t="n">
        <v>0.1509</v>
      </c>
      <c r="K1119" t="n">
        <v>0.1724</v>
      </c>
      <c r="L1119" t="inlineStr">
        <is>
          <t>The `CheckHandshake` class provides a simple example of how to configure an OkHttpClient to reject all trusted certificates during HTTPS handshakes, which can be useful for testing purposes or when dealing with untrusted servers. The class uses a custom CertificatePinner that pins no certificates, effectively disabling certificate verification.</t>
        </is>
      </c>
      <c r="M1119" t="n">
        <v>0</v>
      </c>
      <c r="N1119" t="n">
        <v>0</v>
      </c>
      <c r="O1119" t="n">
        <v>0.0833</v>
      </c>
    </row>
    <row r="1120">
      <c r="A1120" t="inlineStr">
        <is>
          <t>okhttp</t>
        </is>
      </c>
      <c r="B1120" t="inlineStr">
        <is>
          <t>samples/guide/src/main/java/okhttp3/recipes/CustomCipherSuites.java</t>
        </is>
      </c>
      <c r="C1120">
        <f>HYPERLINK("https://github.com/square/okhttp/blob/master/samples/guide/src/main/java/okhttp3/recipes/CustomCipherSuites.java")</f>
        <v/>
      </c>
      <c r="D1120" t="inlineStr">
        <is>
          <t>The provided code snippet appears to be part of a Java project that implements SSL/TLS connections using OkHttp library. It includes classes such as `SSLConnection` which handles secure socket communication over TLS/SSL protocols. The code uses Java's built-in security framework to manage certificates and keys securely. The complexity level is O(N), indicating linear time complexity, but without more context about the specific operations within</t>
        </is>
      </c>
      <c r="E1120" t="n">
        <v>0.0034</v>
      </c>
      <c r="F1120" t="n">
        <v>0.0519</v>
      </c>
      <c r="G1120" t="n">
        <v>0.1103</v>
      </c>
      <c r="H1120" t="inlineStr">
        <is>
          <t>The code implements core algorithms for backend software components. It includes Java classes such as `InetAddress`, `Socket`, `SSLContext`, and others related to network programming and security. The complexity is high due to its extensive implementation of various networking protocols and cryptographic functions.</t>
        </is>
      </c>
      <c r="I1120" t="n">
        <v>0.011</v>
      </c>
      <c r="J1120" t="n">
        <v>0.12</v>
      </c>
      <c r="K1120" t="n">
        <v>0.2769</v>
      </c>
      <c r="L1120" t="inlineStr">
        <is>
          <t>The provided Java code snippet from the OkHttp library initializes SSL context configurations for making secure HTTP requests. It sets up TLS protocols and cipher suites based on predefined lists, ensuring compatibility across different environments. The code handles various exceptions related to SSL configuration, such as `GeneralSecurityException`, `KeyManagementException`, and `NoSuchAlgorithmException`.</t>
        </is>
      </c>
      <c r="M1120" t="n">
        <v>0.0037</v>
      </c>
      <c r="N1120" t="n">
        <v>0.0345</v>
      </c>
      <c r="O1120" t="n">
        <v>0.041</v>
      </c>
    </row>
    <row r="1121">
      <c r="A1121" t="inlineStr">
        <is>
          <t>okhttp</t>
        </is>
      </c>
      <c r="B1121" t="inlineStr">
        <is>
          <t>samples/guide/src/main/java/okhttp3/recipes/CacheResponse.java</t>
        </is>
      </c>
      <c r="C1121">
        <f>HYPERLINK("https://github.com/square/okhttp/blob/master/samples/guide/src/main/java/okhttp3/recipes/CacheResponse.java")</f>
        <v/>
      </c>
      <c r="D1121" t="inlineStr">
        <is>
          <t>The provided code defines a Java class `CacheResponse` that encapsulates functionality related to caching HTTP responses using OkHttp library. The class initializes an `OkHttpClient` instance configured with a cache directory and size, allowing requests to be cached locally. It includes a constructor that takes a `File` object representing the cache directory as input. This setup enables efficient storage and retrieval of previously fetched web pages or</t>
        </is>
      </c>
      <c r="E1121" t="n">
        <v>0.0036</v>
      </c>
      <c r="F1121" t="n">
        <v>0.0541</v>
      </c>
      <c r="G1121" t="n">
        <v>0.1087</v>
      </c>
      <c r="H1121" t="inlineStr">
        <is>
          <t>This repository contains backend software components implementing core algorithms. The complexity is O(N), indicating linear time complexity, which means it scales directly with the size of the input data. The comments describe the implementation of these core algorithms, while the commits indicate that the initial codebase was committed. The total code size is 1000 lines.</t>
        </is>
      </c>
      <c r="I1121" t="n">
        <v>0.0044</v>
      </c>
      <c r="J1121" t="n">
        <v>0.125</v>
      </c>
      <c r="K1121" t="n">
        <v>0.1575</v>
      </c>
      <c r="L1121" t="inlineStr">
        <is>
          <t>This Java code snippet demonstrates how to set up an HTTP client with caching capabilities using OkHttp library. It initializes an `OkHttpClient` instance configured with a disk-based cache located in the specified directory (`cacheDirectory`). The cache size is set to 10 MB, which can be adjusted as needed. The code includes comments explaining the license and usage instructions, making it suitable for integrating into larger projects</t>
        </is>
      </c>
      <c r="M1121" t="n">
        <v>0.0033</v>
      </c>
      <c r="N1121" t="n">
        <v>0.0533</v>
      </c>
      <c r="O1121" t="n">
        <v>0.1087</v>
      </c>
    </row>
    <row r="1122">
      <c r="A1122" t="inlineStr">
        <is>
          <t>okhttp</t>
        </is>
      </c>
      <c r="B1122" t="inlineStr">
        <is>
          <t>samples/guide/src/main/java/okhttp3/recipes/LoggingInterceptors.java</t>
        </is>
      </c>
      <c r="C1122">
        <f>HYPERLINK("https://github.com/square/okhttp/blob/master/samples/guide/src/main/java/okhttp3/recipes/LoggingInterceptors.java")</f>
        <v/>
      </c>
      <c r="D1122" t="inlineStr">
        <is>
          <t>The provided Java code defines a logging interceptor for OkHttp, which logs HTTP requests and responses. It uses Java's `Logger` to output detailed information about each request and response made through the OkHttpClient instance. The interceptor adds headers such as 'User-Agent' and logs the method, URL, status code, and body of both requests and responses. This helps developers debug network issues and understand API interactions more</t>
        </is>
      </c>
      <c r="E1122" t="n">
        <v>0.0033</v>
      </c>
      <c r="F1122" t="n">
        <v>0.0526</v>
      </c>
      <c r="G1122" t="n">
        <v>0.1087</v>
      </c>
      <c r="H1122" t="inlineStr">
        <is>
          <t>The repository contains backend software components that implement core algorithms using Java. The complexity of these implementations is O(N), indicating linear time complexity. The code size is 1000 lines, making it relatively large but focused on providing robust algorithmic solutions.</t>
        </is>
      </c>
      <c r="I1122" t="n">
        <v>0.0055</v>
      </c>
      <c r="J1122" t="n">
        <v>0.1224</v>
      </c>
      <c r="K1122" t="n">
        <v>0.1786</v>
      </c>
      <c r="L1122" t="inlineStr">
        <is>
          <t>This Java code defines a `LoggingInterceptors` class that provides logging capabilities for HTTP requests using OkHttp's interceptor mechanism. It includes a custom `Interceptor` that logs request details before and after each call to the network. The class uses a singleton pattern to ensure only one instance of the `OkHttpClient` is created, which is configured with the logging interceptor. The `Logger` from the JDK</t>
        </is>
      </c>
      <c r="M1122" t="n">
        <v>0.0034</v>
      </c>
      <c r="N1122" t="n">
        <v>0.0556</v>
      </c>
      <c r="O1122" t="n">
        <v>0.1111</v>
      </c>
    </row>
    <row r="1123">
      <c r="A1123" t="inlineStr">
        <is>
          <t>okhttp</t>
        </is>
      </c>
      <c r="B1123" t="inlineStr">
        <is>
          <t>samples/guide/src/main/java/okhttp3/recipes/PreemptiveAuth.java</t>
        </is>
      </c>
      <c r="C1123">
        <f>HYPERLINK("https://github.com/square/okhttp/blob/master/samples/guide/src/main/java/okhttp3/recipes/PreemptiveAuth.java")</f>
        <v/>
      </c>
      <c r="D1123" t="inlineStr">
        <is>
          <t>The provided Java code defines a simple HTTP client that uses preemptive basic authentication. It includes:
- An `OkHttpClient` instance configured with a custom interceptor (`BasicAuthInterceptor`) to handle basic authentication headers automatically before sending requests.
- A constructor that initializes the `OkHttpClient`.
- The `BasicAuthInterceptor` class implements the `Interceptor` interface to add the necessary authorization header to each request.</t>
        </is>
      </c>
      <c r="E1123" t="n">
        <v>0.0031</v>
      </c>
      <c r="F1123" t="n">
        <v>0.0312</v>
      </c>
      <c r="G1123" t="n">
        <v>0.07630000000000001</v>
      </c>
      <c r="H1123" t="inlineStr">
        <is>
          <t>This repository contains backend software components implementing core algorithms. The complexity is O(N), indicating linear time complexity. The comments describe the implementation of these algorithms. There have been multiple commits since the initial codebase was created, suggesting ongoing development. The total size of the codebase is 1000 lines.</t>
        </is>
      </c>
      <c r="I1123" t="n">
        <v>0.005</v>
      </c>
      <c r="J1123" t="n">
        <v>0.1404</v>
      </c>
      <c r="K1123" t="n">
        <v>0.1667</v>
      </c>
      <c r="L1123" t="inlineStr">
        <is>
          <t>The `PreemptiveAuth` class provides a simple implementation of preemptive HTTP authentication using basic credentials. It uses OkHttp's interceptor mechanism to add authorization headers to outgoing requests before they reach the server. The `BasicAuthInterceptor` handles the addition of the necessary header based on the username and password specified during initialization. This setup ensures that the user remains authenticated without needing to send separate login requests for</t>
        </is>
      </c>
      <c r="M1123" t="n">
        <v>0.0033</v>
      </c>
      <c r="N1123" t="n">
        <v>0.0541</v>
      </c>
      <c r="O1123" t="n">
        <v>0.146</v>
      </c>
    </row>
    <row r="1124">
      <c r="A1124" t="inlineStr">
        <is>
          <t>okhttp</t>
        </is>
      </c>
      <c r="B1124" t="inlineStr">
        <is>
          <t>samples/guide/src/main/java/okhttp3/recipes/ConfigureTimeouts.java</t>
        </is>
      </c>
      <c r="C1124">
        <f>HYPERLINK("https://github.com/square/okhttp/blob/master/samples/guide/src/main/java/okhttp3/recipes/ConfigureTimeouts.java")</f>
        <v/>
      </c>
      <c r="D1124" t="inlineStr">
        <is>
          <t>The provided Java code defines a class `ConfigureTimeouts` that configures timeouts for an HTTP client using OkHttp library. The constructor initializes an instance of `OkHttpClient` with custom connection and write timeouts set to 5 seconds each. This setup helps manage network operations more efficiently by limiting how long requests can take before timing out.</t>
        </is>
      </c>
      <c r="E1124" t="n">
        <v>0.004</v>
      </c>
      <c r="F1124" t="n">
        <v>0.0323</v>
      </c>
      <c r="G1124" t="n">
        <v>0.119</v>
      </c>
      <c r="H1124" t="inlineStr">
        <is>
          <t>Manages HTTP requests with configurable timeouts using OkHttp library.</t>
        </is>
      </c>
      <c r="I1124" t="n">
        <v>0</v>
      </c>
      <c r="J1124" t="n">
        <v>0</v>
      </c>
      <c r="K1124" t="n">
        <v>0.0617</v>
      </c>
      <c r="L1124" t="inlineStr">
        <is>
          <t>This Java code snippet demonstrates how to configure timeouts for HTTP requests using OkHttp library. It sets both connection and write timeouts to 5 seconds each, ensuring that network operations do not hang indefinitely if there's no response from the server within these limits. The `ConfigureTimeouts` class initializes an instance of `OkHttpClient` with specified timeout settings, which can be used to make HTTP requests with defined</t>
        </is>
      </c>
      <c r="M1124" t="n">
        <v>0.0033</v>
      </c>
      <c r="N1124" t="n">
        <v>0.0533</v>
      </c>
      <c r="O1124" t="n">
        <v>0.1087</v>
      </c>
    </row>
    <row r="1125">
      <c r="A1125" t="inlineStr">
        <is>
          <t>okhttp</t>
        </is>
      </c>
      <c r="B1125" t="inlineStr">
        <is>
          <t>samples/guide/src/main/java/okhttp3/recipes/kt/AsynchronousGet.kt</t>
        </is>
      </c>
      <c r="C1125">
        <f>HYPERLINK("https://github.com/square/okhttp/blob/master/samples/guide/src/main/java/okhttp3/recipes/kt/AsynchronousGet.kt")</f>
        <v/>
      </c>
      <c r="D1125" t="inlineStr">
        <is>
          <t>The provided Kotlin code defines a class `AsynchronousGet` that uses OkHttp to make an asynchronous GET request to a specified URL ("http://publicobject.com/helloworld.txt"). The class initializes an instance of `OkHttpClient`, constructs a `Request` object targeting the given URL, and then creates a new call using the client's `newCall()` method. This call is executed asynchronously, and</t>
        </is>
      </c>
      <c r="E1125" t="n">
        <v>0.004</v>
      </c>
      <c r="F1125" t="n">
        <v>0.0597</v>
      </c>
      <c r="G1125" t="n">
        <v>0.119</v>
      </c>
      <c r="H1125" t="inlineStr">
        <is>
          <t>This repository contains backend software components that implement core algorithms. The complexity of these implementations is O(N), indicating linear time complexity relative to input size. The comments describe the implementation as focusing on core algorithms, while the commits indicate it was initially created. The total code size is 1000 lines.</t>
        </is>
      </c>
      <c r="I1125" t="n">
        <v>0.0048</v>
      </c>
      <c r="J1125" t="n">
        <v>0.1356</v>
      </c>
      <c r="K1125" t="n">
        <v>0.1639</v>
      </c>
      <c r="L1125" t="inlineStr">
        <is>
          <t>This Kotlin class demonstrates how to perform an asynchronous HTTP GET request using OkHttp. It initializes an `OkHttpClient`, constructs a `Request` object targeting a public URL, and then uses the client's `newCall()` method to execute the request asynchronously. The response is handled through a callback interface that processes the result or any potential errors.</t>
        </is>
      </c>
      <c r="M1125" t="n">
        <v>0.004</v>
      </c>
      <c r="N1125" t="n">
        <v>0.0635</v>
      </c>
      <c r="O1125" t="n">
        <v>0.119</v>
      </c>
    </row>
    <row r="1126">
      <c r="A1126" t="inlineStr">
        <is>
          <t>okhttp</t>
        </is>
      </c>
      <c r="B1126" t="inlineStr">
        <is>
          <t>samples/guide/src/main/java/okhttp3/recipes/kt/CertificatePinning.kt</t>
        </is>
      </c>
      <c r="C1126">
        <f>HYPERLINK("https://github.com/square/okhttp/blob/master/samples/guide/src/main/java/okhttp3/recipes/kt/CertificatePinning.kt")</f>
        <v/>
      </c>
      <c r="D1126" t="inlineStr">
        <is>
          <t>The code defines a class `CertificatePinning` that sets up an HTTP client using OkHttp with certificate pinning enabled. It pins certificates from "publicobject.com" to ensure secure connections. The complexity is O(1), as it involves adding one pinned certificate.</t>
        </is>
      </c>
      <c r="E1126" t="n">
        <v>0</v>
      </c>
      <c r="F1126" t="n">
        <v>0</v>
      </c>
      <c r="G1126" t="n">
        <v>0.0455</v>
      </c>
      <c r="H1126" t="inlineStr">
        <is>
          <t>The code implements a class `CertificatePinning` that configures an `OkHttpClient` instance with certificate pinning using the OkHttp library. It adds a single pinned certificate for the domain "publicobject.com". The complexity is O(N), where N represents the number of certificates being added, but since there's only one here, it simplifies to O(1). The comments describe its purpose</t>
        </is>
      </c>
      <c r="I1126" t="n">
        <v>0.0033</v>
      </c>
      <c r="J1126" t="n">
        <v>0.0294</v>
      </c>
      <c r="K1126" t="n">
        <v>0.0781</v>
      </c>
      <c r="L1126" t="inlineStr">
        <is>
          <t>This Kotlin class initializes an `OkHttpClient` configured with certificate pinning using the specified public object domain and SHA-256 hash. The client is used to send HTTPS requests securely by verifying that the server's SSL/TLS certificates match the pinned ones.</t>
        </is>
      </c>
      <c r="M1126" t="n">
        <v>0.0056</v>
      </c>
      <c r="N1126" t="n">
        <v>0.08</v>
      </c>
      <c r="O1126" t="n">
        <v>0.1351</v>
      </c>
    </row>
    <row r="1127">
      <c r="A1127" t="inlineStr">
        <is>
          <t>okhttp</t>
        </is>
      </c>
      <c r="B1127" t="inlineStr">
        <is>
          <t>samples/guide/src/main/java/okhttp3/recipes/kt/PostStreaming.kt</t>
        </is>
      </c>
      <c r="C1127">
        <f>HYPERLINK("https://github.com/square/okhttp/blob/master/samples/guide/src/main/java/okhttp3/recipes/kt/PostStreaming.kt")</f>
        <v/>
      </c>
      <c r="D1127" t="inlineStr">
        <is>
          <t>The provided Kotlin code defines a class `PostStreaming` that demonstrates how to perform a POST request using OkHttp library to send data as a stream. The class initializes an instance of `OkHttpClient`, which is used to create and execute HTTP requests. It includes a method `run()` where it constructs a custom `RequestBody` implementation that writes data directly to a `BufferedSink`. This allows sending</t>
        </is>
      </c>
      <c r="E1127" t="n">
        <v>0.0034</v>
      </c>
      <c r="F1127" t="n">
        <v>0.0282</v>
      </c>
      <c r="G1127" t="n">
        <v>0.1481</v>
      </c>
      <c r="H1127" t="inlineStr">
        <is>
          <t>This repository contains backend software components that implement core algorithms. The complexity of the implementation is O(N), indicating linear time complexity. The comments provide details about the algorithmic approach used. The commits include an initial codebase commit. The total size of the codebase is 1000 lines.</t>
        </is>
      </c>
      <c r="I1127" t="n">
        <v>0.0053</v>
      </c>
      <c r="J1127" t="n">
        <v>0.1455</v>
      </c>
      <c r="K1127" t="n">
        <v>0.1695</v>
      </c>
      <c r="L1127" t="inlineStr">
        <is>
          <t>This Kotlin class `PostStreaming` uses OkHttp to send a POST request with streaming data. It initializes an `OkHttpClient`, defines a custom `RequestBody` that writes data to a `BufferedSink`, and sends the request using the `client`. The method `run()` demonstrates how to set up and execute the streaming post operation.</t>
        </is>
      </c>
      <c r="M1127" t="n">
        <v>0.0045</v>
      </c>
      <c r="N1127" t="n">
        <v>0.0702</v>
      </c>
      <c r="O1127" t="n">
        <v>0.124</v>
      </c>
    </row>
    <row r="1128">
      <c r="A1128" t="inlineStr">
        <is>
          <t>okhttp</t>
        </is>
      </c>
      <c r="B1128" t="inlineStr">
        <is>
          <t>samples/guide/src/main/java/okhttp3/recipes/kt/PostFile.kt</t>
        </is>
      </c>
      <c r="C1128">
        <f>HYPERLINK("https://github.com/square/okhttp/blob/master/samples/guide/src/main/java/okhttp3/recipes/kt/PostFile.kt")</f>
        <v/>
      </c>
      <c r="D1128" t="inlineStr">
        <is>
          <t>The provided Kotlin code defines a class `PostFile` that uses OkHttp to send a POST request containing a file to a specified URL. The method `run()` takes a local file named "README.md", converts it into a RequestBody, and constructs a Request object with the appropriate headers and body. It then sends the request using the OkHttpClient instance and handles any potential IOExceptions during the process.</t>
        </is>
      </c>
      <c r="E1128" t="n">
        <v>0.0028</v>
      </c>
      <c r="F1128" t="n">
        <v>0.027</v>
      </c>
      <c r="G1128" t="n">
        <v>0.073</v>
      </c>
      <c r="H1128" t="inlineStr">
        <is>
          <t>The provided code defines a class `PostFile` that uses OkHttp library to send a POST request containing a file named "README.md". It includes methods to initialize an OkHttpClient instance and execute the HTTP request. The README states that this repository contains backend software components and provides details about its complexity, comments, commits, and size.</t>
        </is>
      </c>
      <c r="I1128" t="n">
        <v>0.004</v>
      </c>
      <c r="J1128" t="n">
        <v>0.09520000000000001</v>
      </c>
      <c r="K1128" t="n">
        <v>0.1587</v>
      </c>
      <c r="L1128" t="inlineStr">
        <is>
          <t>The `PostFile` class uses OkHttp to send a POST request containing the contents of a local Markdown file (`README.md`) to a specified URL. The method `run()` initializes an `OkHttpClient`, reads the content of the file into a byte array, creates a `RequestBody` from that byte array, constructs a `Request` object specifying the HTTP method as POST, and sends the request</t>
        </is>
      </c>
      <c r="M1128" t="n">
        <v>0.003</v>
      </c>
      <c r="N1128" t="n">
        <v>0.029</v>
      </c>
      <c r="O1128" t="n">
        <v>0.07580000000000001</v>
      </c>
    </row>
    <row r="1129">
      <c r="A1129" t="inlineStr">
        <is>
          <t>okhttp</t>
        </is>
      </c>
      <c r="B1129" t="inlineStr">
        <is>
          <t>samples/guide/src/main/java/okhttp3/recipes/kt/AccessHeaders.kt</t>
        </is>
      </c>
      <c r="C1129">
        <f>HYPERLINK("https://github.com/square/okhttp/blob/master/samples/guide/src/main/java/okhttp3/recipes/kt/AccessHeaders.kt")</f>
        <v/>
      </c>
      <c r="D1129" t="inlineStr">
        <is>
          <t>The provided Kotlin code defines a class `AccessHeaders` that uses OkHttp to make HTTP requests to GitHub's API. It sets up an instance of `OkHttpClient`, constructs a GET request to fetch issues from the specified URL, adds custom headers such as "User-Agent" and "Accept", and then executes the request. The response can be handled using callbacks or directly within the method. This example</t>
        </is>
      </c>
      <c r="E1129" t="n">
        <v>0.0034</v>
      </c>
      <c r="F1129" t="n">
        <v>0.0274</v>
      </c>
      <c r="G1129" t="n">
        <v>0.1111</v>
      </c>
      <c r="H1129" t="inlineStr">
        <is>
          <t>This repository contains backend software components implementing core algorithms. The complexity is O(N), indicating linear time operations, and it includes comments explaining the implementation. The code size is 1000 lines, making it a significant project.</t>
        </is>
      </c>
      <c r="I1129" t="n">
        <v>0.0075</v>
      </c>
      <c r="J1129" t="n">
        <v>0.2273</v>
      </c>
      <c r="K1129" t="n">
        <v>0.3477</v>
      </c>
      <c r="L1129" t="inlineStr">
        <is>
          <t>The `AccessHeaders` class uses OkHttp to send a GET request to the GitHub API endpoint for issues in the OkHttp repository. It sets custom headers such as User-Agent and Accept, then executes the request and prints the response body. The method runs once when called.</t>
        </is>
      </c>
      <c r="M1129" t="n">
        <v>0.0041</v>
      </c>
      <c r="N1129" t="n">
        <v>0.037</v>
      </c>
      <c r="O1129" t="n">
        <v>0.08550000000000001</v>
      </c>
    </row>
    <row r="1130">
      <c r="A1130" t="inlineStr">
        <is>
          <t>okhttp</t>
        </is>
      </c>
      <c r="B1130" t="inlineStr">
        <is>
          <t>samples/guide/src/main/java/okhttp3/recipes/kt/UploadProgress.kt</t>
        </is>
      </c>
      <c r="C1130">
        <f>HYPERLINK("https://github.com/square/okhttp/blob/master/samples/guide/src/main/java/okhttp3/recipes/kt/UploadProgress.kt")</f>
        <v/>
      </c>
      <c r="D1130" t="inlineStr">
        <is>
          <t>The provided Kotlin code defines a class `UploadProgress` that encapsulates logic for uploading files using OkHttp library while tracking upload progress. The class includes methods for creating a request body from a file, handling progress updates during uploads, and managing buffered sinks for efficient data transfer. It also uses Java's `File`, `IOException`, and OkHttp libraries for file operations and network requests.</t>
        </is>
      </c>
      <c r="E1130" t="n">
        <v>0.003</v>
      </c>
      <c r="F1130" t="n">
        <v>0.0286</v>
      </c>
      <c r="G1130" t="n">
        <v>0.0752</v>
      </c>
      <c r="H1130" t="inlineStr">
        <is>
          <t>This repository contains backend software components that implement core algorithms. The complexity is O(N), indicating linear time complexity, which means the performance increases proportionally with the size of the input data. The comments describe the implementation of these algorithms, while the commits indicate the initial creation of the codebase. The total code size is 1000 lines.</t>
        </is>
      </c>
      <c r="I1130" t="n">
        <v>0.0043</v>
      </c>
      <c r="J1130" t="n">
        <v>0.1231</v>
      </c>
      <c r="K1130" t="n">
        <v>0.1563</v>
      </c>
      <c r="L1130" t="inlineStr">
        <is>
          <t>The `UploadProgress` class provides a utility to track upload progress when using OkHttp to send files over HTTP. It uses a custom sink that wraps around the original sink to monitor how much data has been written during the upload process. The class includes methods to create a request body with progress tracking and to handle the response from the server.</t>
        </is>
      </c>
      <c r="M1130" t="n">
        <v>0.003</v>
      </c>
      <c r="N1130" t="n">
        <v>0.029</v>
      </c>
      <c r="O1130" t="n">
        <v>0.0752</v>
      </c>
    </row>
    <row r="1131">
      <c r="A1131" t="inlineStr">
        <is>
          <t>okhttp</t>
        </is>
      </c>
      <c r="B1131" t="inlineStr">
        <is>
          <t>samples/guide/src/main/java/okhttp3/recipes/kt/ConfigureTimeouts.kt</t>
        </is>
      </c>
      <c r="C1131">
        <f>HYPERLINK("https://github.com/square/okhttp/blob/master/samples/guide/src/main/java/okhttp3/recipes/kt/ConfigureTimeouts.kt")</f>
        <v/>
      </c>
      <c r="D1131" t="inlineStr">
        <is>
          <t>The provided Kotlin code defines a class `ConfigureTimeouts` that configures timeouts for HTTP requests using OkHttp library. It sets connection timeout to 5 seconds, write timeout to 5 seconds, read timeout to 5 seconds, and call timeout to 10 seconds. The configuration is applied through an instance of `OkHttpClient`. This setup helps manage network operations efficiently by limiting how long each</t>
        </is>
      </c>
      <c r="E1131" t="n">
        <v>0.0036</v>
      </c>
      <c r="F1131" t="n">
        <v>0.029</v>
      </c>
      <c r="G1131" t="n">
        <v>0.1128</v>
      </c>
      <c r="H1131" t="inlineStr">
        <is>
          <t>This repository contains backend software components that implement core algorithms. The complexity of the implementation is O(N), indicating linear time complexity relative to the size of the input data.</t>
        </is>
      </c>
      <c r="I1131" t="n">
        <v>0.008500000000000001</v>
      </c>
      <c r="J1131" t="n">
        <v>0.2105</v>
      </c>
      <c r="K1131" t="n">
        <v>0.198</v>
      </c>
      <c r="L1131" t="inlineStr">
        <is>
          <t>The `ConfigureTimeouts` class initializes an `OkHttpClient` instance with custom timeouts set for connection, write, read, and call durations. The default timeout values are 5 seconds each.</t>
        </is>
      </c>
      <c r="M1131" t="n">
        <v>0.0073</v>
      </c>
      <c r="N1131" t="n">
        <v>0.0588</v>
      </c>
      <c r="O1131" t="n">
        <v>0.051</v>
      </c>
    </row>
    <row r="1132">
      <c r="A1132" t="inlineStr">
        <is>
          <t>okhttp</t>
        </is>
      </c>
      <c r="B1132" t="inlineStr">
        <is>
          <t>samples/guide/src/main/java/okhttp3/recipes/kt/YubikeyClientAuth.kt</t>
        </is>
      </c>
      <c r="C1132">
        <f>HYPERLINK("https://github.com/square/okhttp/blob/master/samples/guide/src/main/java/okhttp3/recipes/kt/YubikeyClientAuth.kt")</f>
        <v/>
      </c>
      <c r="D1132" t="inlineStr">
        <is>
          <t>The provided Kotlin code snippet defines a class `KotlinSSLRecipe` that sets up SSL/TLS context using Java's Secure Socket Layer (SSL). It includes methods to load key material from a keystore and configure SSL context parameters such as ciphers and protocols. The code uses deprecated features due to its age, but it serves as a reference implementation for setting up secure connections.</t>
        </is>
      </c>
      <c r="E1132" t="n">
        <v>0.003</v>
      </c>
      <c r="F1132" t="n">
        <v>0.0282</v>
      </c>
      <c r="G1132" t="n">
        <v>0.1128</v>
      </c>
      <c r="H1132" t="inlineStr">
        <is>
          <t>This repository contains backend software components implementing core algorithms. The complexity is O(N), indicating that the time taken grows linearly with the input size N.</t>
        </is>
      </c>
      <c r="I1132" t="n">
        <v>0.01</v>
      </c>
      <c r="J1132" t="n">
        <v>0.2353</v>
      </c>
      <c r="K1132" t="n">
        <v>0.3254</v>
      </c>
      <c r="L1132" t="inlineStr">
        <is>
          <t>This Kotlin code snippet initializes SSL/TLS context using Java's `SSLContext` class, which is essential for secure communication over HTTPs. It sets up a custom `X509ExtendedKeyManager` to manage client certificates and loads them from a specified keystore. The code handles potential exceptions such as `IOException`, `SecurityException`, and `NoSuchAlgorithmException`.</t>
        </is>
      </c>
      <c r="M1132" t="n">
        <v>0.0046</v>
      </c>
      <c r="N1132" t="n">
        <v>0.0702</v>
      </c>
      <c r="O1132" t="n">
        <v>0.1261</v>
      </c>
    </row>
    <row r="1133">
      <c r="A1133" t="inlineStr">
        <is>
          <t>okhttp</t>
        </is>
      </c>
      <c r="B1133" t="inlineStr">
        <is>
          <t>samples/guide/src/main/java/okhttp3/recipes/kt/CacheResponse.kt</t>
        </is>
      </c>
      <c r="C1133">
        <f>HYPERLINK("https://github.com/square/okhttp/blob/master/samples/guide/src/main/java/okhttp3/recipes/kt/CacheResponse.kt")</f>
        <v/>
      </c>
      <c r="D1133" t="inlineStr">
        <is>
          <t>The provided Kotlin code defines a class `CacheResponse` that encapsulates functionality related to caching HTTP responses using OkHttp library. The class initializes an `OkHttpClient` instance configured with a specified cache directory and maximum size. It provides methods to make network requests and retrieve cached responses based on request URLs. The complexity of the implementation is O(1), as it involves basic operations like creating and configuring an</t>
        </is>
      </c>
      <c r="E1133" t="n">
        <v>0.0033</v>
      </c>
      <c r="F1133" t="n">
        <v>0.0533</v>
      </c>
      <c r="G1133" t="n">
        <v>0.1087</v>
      </c>
      <c r="H1133" t="inlineStr">
        <is>
          <t>This repository contains backend software components implementing core algorithms. The complexity is O(N), indicating linear time complexity. Comments describe the implementation details. Initial codebase commit was made. The total size of the code is 1000 lines.</t>
        </is>
      </c>
      <c r="I1133" t="n">
        <v>0.0068</v>
      </c>
      <c r="J1133" t="n">
        <v>0.1778</v>
      </c>
      <c r="K1133" t="n">
        <v>0.1852</v>
      </c>
      <c r="L1133" t="inlineStr">
        <is>
          <t>This Kotlin class `CacheResponse` initializes an HTTP client configured with a disk-based cache. The cache stores responses from network requests up to 1 MB in size, allowing efficient retrieval of previously fetched data when needed.</t>
        </is>
      </c>
      <c r="M1133" t="n">
        <v>0.0053</v>
      </c>
      <c r="N1133" t="n">
        <v>0.0455</v>
      </c>
      <c r="O1133" t="n">
        <v>0.0467</v>
      </c>
    </row>
    <row r="1134">
      <c r="A1134" t="inlineStr">
        <is>
          <t>okhttp</t>
        </is>
      </c>
      <c r="B1134" t="inlineStr">
        <is>
          <t>samples/guide/src/main/java/okhttp3/recipes/kt/PostString.kt</t>
        </is>
      </c>
      <c r="C1134">
        <f>HYPERLINK("https://github.com/square/okhttp/blob/master/samples/guide/src/main/java/okhttp3/recipes/kt/PostString.kt")</f>
        <v/>
      </c>
      <c r="D1134" t="inlineStr">
        <is>
          <t>The provided Kotlin code defines a class `PostString` that demonstrates how to send a POST request with a string body using OkHttp library. The main method initializes an instance of `OkHttpClient`, constructs a JSON-formatted string representing release information, creates a `Request.Builder` to set the URL and HTTP method, adds the request body as a JSON object, and then executes the request asynchronously. The</t>
        </is>
      </c>
      <c r="E1134" t="n">
        <v>0.0029</v>
      </c>
      <c r="F1134" t="n">
        <v>0.0274</v>
      </c>
      <c r="G1134" t="n">
        <v>0.0741</v>
      </c>
      <c r="H1134" t="inlineStr">
        <is>
          <t>This Kotlin class uses OkHttp to send a POST request containing a string body to a specified URL. The complexity is O(N), where N is the length of the input string.</t>
        </is>
      </c>
      <c r="I1134" t="n">
        <v>0.006</v>
      </c>
      <c r="J1134" t="n">
        <v>0.05</v>
      </c>
      <c r="K1134" t="n">
        <v>0.09710000000000001</v>
      </c>
      <c r="L1134" t="inlineStr">
        <is>
          <t>This Kotlin class `PostString` uses OkHttp to send a POST request containing a string body to a specified URL. It initializes an instance of `OkHttpClient`, constructs a JSON-formatted string as the request body, and sends it using a `Request`. The method `run()` encapsulates these operations, making it easy to execute the HTTP POST request programmatically.</t>
        </is>
      </c>
      <c r="M1134" t="n">
        <v>0.004</v>
      </c>
      <c r="N1134" t="n">
        <v>0.0625</v>
      </c>
      <c r="O1134" t="n">
        <v>0.1181</v>
      </c>
    </row>
    <row r="1135">
      <c r="A1135" t="inlineStr">
        <is>
          <t>okhttp</t>
        </is>
      </c>
      <c r="B1135" t="inlineStr">
        <is>
          <t>samples/guide/src/main/java/okhttp3/recipes/kt/CancelCall.kt</t>
        </is>
      </c>
      <c r="C1135">
        <f>HYPERLINK("https://github.com/square/okhttp/blob/master/samples/guide/src/main/java/okhttp3/recipes/kt/CancelCall.kt")</f>
        <v/>
      </c>
      <c r="D1135" t="inlineStr">
        <is>
          <t>The provided Kotlin code defines a class `CancelCall` that demonstrates how to cancel an HTTP call using OkHttp library. It creates an `OkHttpClient`, sets up a scheduled thread pool, and constructs a simple GET request to "http://httpbin.org/". The main method runs this request asynchronously and schedules it to be canceled after 5 seconds. This example illustrates basic asynchronous operations and cancellation mechanisms</t>
        </is>
      </c>
      <c r="E1135" t="n">
        <v>0.0035</v>
      </c>
      <c r="F1135" t="n">
        <v>0.0556</v>
      </c>
      <c r="G1135" t="n">
        <v>0.1119</v>
      </c>
      <c r="H1135" t="inlineStr">
        <is>
          <t>This repository contains backend software components that implement core algorithms. The complexity is O(N), indicating linear time complexity. The comments describe the implementation of these algorithms. The commits include an initial codebase commit. The total size of the codebase is 1000 lines.</t>
        </is>
      </c>
      <c r="I1135" t="n">
        <v>0.0058</v>
      </c>
      <c r="J1135" t="n">
        <v>0.1569</v>
      </c>
      <c r="K1135" t="n">
        <v>0.1754</v>
      </c>
      <c r="L1135" t="inlineStr">
        <is>
          <t>This Kotlin class demonstrates how to cancel an HTTP call using OkHttp's `OkHttpClient`. It sets up a scheduled thread pool to execute requests and cancels them after a specified duration. The class includes methods to build and send a GET request, as well as a method to schedule the cancellation of that request.</t>
        </is>
      </c>
      <c r="M1135" t="n">
        <v>0.0041</v>
      </c>
      <c r="N1135" t="n">
        <v>0.0645</v>
      </c>
      <c r="O1135" t="n">
        <v>0.12</v>
      </c>
    </row>
    <row r="1136">
      <c r="A1136" t="inlineStr">
        <is>
          <t>okhttp</t>
        </is>
      </c>
      <c r="B1136" t="inlineStr">
        <is>
          <t>samples/guide/src/main/java/okhttp3/recipes/kt/PostForm.kt</t>
        </is>
      </c>
      <c r="C1136">
        <f>HYPERLINK("https://github.com/square/okhttp/blob/master/samples/guide/src/main/java/okhttp3/recipes/kt/PostForm.kt")</f>
        <v/>
      </c>
      <c r="D1136" t="inlineStr">
        <is>
          <t>The provided Kotlin code defines a class `PostForm` that demonstrates how to send a POST request with a form body using OkHttp library. The class initializes an instance of `OkHttpClient`, constructs a `FormBody` containing key-value pairs, and then creates a `Request` object specifying the URL. Finally, it sends the request asynchronously using the client's `enqueue()` method. This example illustrates</t>
        </is>
      </c>
      <c r="E1136" t="n">
        <v>0.0037</v>
      </c>
      <c r="F1136" t="n">
        <v>0.029</v>
      </c>
      <c r="G1136" t="n">
        <v>0.1145</v>
      </c>
      <c r="H1136" t="inlineStr">
        <is>
          <t>This repository contains backend software components that implement core algorithms. The complexity of the implementation is O(N), indicating linear time complexity. The comments describe the purpose of the code as implementing core algorithms. The commits indicate the initial creation of the codebase. The total size of the code is 1000 lines.</t>
        </is>
      </c>
      <c r="I1136" t="n">
        <v>0.0047</v>
      </c>
      <c r="J1136" t="n">
        <v>0.1333</v>
      </c>
      <c r="K1136" t="n">
        <v>0.2566</v>
      </c>
      <c r="L1136" t="inlineStr">
        <is>
          <t>This Kotlin class `PostForm` uses OkHttp to send a POST request with a form body containing search parameters. It initializes an OkHttpClient instance and constructs a FormBody with a single field named "search". The `run` method then creates a Request object using the constructed URL and sends it through the OkHttpClient.</t>
        </is>
      </c>
      <c r="M1136" t="n">
        <v>0.0043</v>
      </c>
      <c r="N1136" t="n">
        <v>0.0678</v>
      </c>
      <c r="O1136" t="n">
        <v>0.122</v>
      </c>
    </row>
    <row r="1137">
      <c r="A1137" t="inlineStr">
        <is>
          <t>okhttp</t>
        </is>
      </c>
      <c r="B1137" t="inlineStr">
        <is>
          <t>samples/guide/src/main/java/okhttp3/recipes/kt/CustomTrust.kt</t>
        </is>
      </c>
      <c r="C1137">
        <f>HYPERLINK("https://github.com/square/okhttp/blob/master/samples/guide/src/main/java/okhttp3/recipes/kt/CustomTrust.kt")</f>
        <v/>
      </c>
      <c r="D1137" t="inlineStr">
        <is>
          <t>The provided Kotlin code defines a class `CustomTrust` that sets up custom trust management using SSL/TLS certificates. It includes methods to load certificate chains from PEM files and configure them into an `OkHttpClient`. The code uses the OkHttp library to handle HTTP requests securely.</t>
        </is>
      </c>
      <c r="E1137" t="n">
        <v>0.0042</v>
      </c>
      <c r="F1137" t="n">
        <v>0.0377</v>
      </c>
      <c r="G1137" t="n">
        <v>0.0862</v>
      </c>
      <c r="H1137" t="inlineStr">
        <is>
          <t>The repository contains backend software components implementing core algorithms. Complexity is O(N), indicating linear time complexity. The README provides information about the project's purpose and structure.</t>
        </is>
      </c>
      <c r="I1137" t="n">
        <v>0.009599999999999999</v>
      </c>
      <c r="J1137" t="n">
        <v>0.2222</v>
      </c>
      <c r="K1137" t="n">
        <v>0.3221</v>
      </c>
      <c r="L1137" t="inlineStr">
        <is>
          <t>The `CustomTrust` class provides a way to configure an OkHttpClient to trust custom X.509 certificates using PEM-encoded strings. It includes methods to load these certificates into a HandshakeCertificates object, which can then be used to create an OkHttpClient instance that trusts the specified certificates. The class is part of a larger set of backend software components and is designed to enhance security by allowing clients to connect</t>
        </is>
      </c>
      <c r="M1137" t="n">
        <v>0.0032</v>
      </c>
      <c r="N1137" t="n">
        <v>0.0519</v>
      </c>
      <c r="O1137" t="n">
        <v>0.1079</v>
      </c>
    </row>
    <row r="1138">
      <c r="A1138" t="inlineStr">
        <is>
          <t>okhttp</t>
        </is>
      </c>
      <c r="B1138" t="inlineStr">
        <is>
          <t>samples/guide/src/main/java/okhttp3/recipes/kt/PostMultipart.kt</t>
        </is>
      </c>
      <c r="C1138">
        <f>HYPERLINK("https://github.com/square/okhttp/blob/master/samples/guide/src/main/java/okhttp3/recipes/kt/PostMultipart.kt")</f>
        <v/>
      </c>
      <c r="D1138" t="inlineStr">
        <is>
          <t>The provided Kotlin code defines a class `PostMultipart` that demonstrates how to perform a multipart HTTP POST request using OkHttp library. The class initializes an instance of `OkHttpClient`, which is used to send requests. The `run` method constructs a multipart body containing a file and sends it to an Imgur image upload endpoint specified in the comments. This example illustrates basic usage of OkHttp's</t>
        </is>
      </c>
      <c r="E1138" t="n">
        <v>0.0034</v>
      </c>
      <c r="F1138" t="n">
        <v>0.0274</v>
      </c>
      <c r="G1138" t="n">
        <v>0.1103</v>
      </c>
      <c r="H1138" t="inlineStr">
        <is>
          <t>This repository contains backend software components implementing core algorithms. The complexity is O(N), indicating linear time complexity relative to input size N. The comments describe the implementation of these algorithms. The commits include an initial codebase commit. The total code size is 1000 lines.</t>
        </is>
      </c>
      <c r="I1138" t="n">
        <v>0.0055</v>
      </c>
      <c r="J1138" t="n">
        <v>0.1509</v>
      </c>
      <c r="K1138" t="n">
        <v>0.1724</v>
      </c>
      <c r="L1138" t="inlineStr">
        <is>
          <t>This Kotlin class `PostMultipart` uses OkHttp to send a multipart request to the Imgur image upload API. It constructs a MultipartBody containing an image file and sends it via POST to the specified URL. The method `run()` encapsulates this process, making it reusable for uploading images using the Imgur API.</t>
        </is>
      </c>
      <c r="M1138" t="n">
        <v>0.0044</v>
      </c>
      <c r="N1138" t="n">
        <v>0.06900000000000001</v>
      </c>
      <c r="O1138" t="n">
        <v>0.123</v>
      </c>
    </row>
    <row r="1139">
      <c r="A1139" t="inlineStr">
        <is>
          <t>okhttp</t>
        </is>
      </c>
      <c r="B1139" t="inlineStr">
        <is>
          <t>samples/guide/src/main/java/okhttp3/recipes/kt/DevServer.kt</t>
        </is>
      </c>
      <c r="C1139">
        <f>HYPERLINK("https://github.com/square/okhttp/blob/master/samples/guide/src/main/java/okhttp3/recipes/kt/DevServer.kt")</f>
        <v/>
      </c>
      <c r="D1139" t="inlineStr">
        <is>
          <t>The provided Kotlin code defines a class `DevServer` that sets up a mock HTTP server using OkHttp and MockWebServer libraries. It includes methods to start and stop the server, as well as handle requests and responses. The server uses TLS certificates generated from localhost for secure connections. This setup is useful for testing purposes where a local development environment needs to simulate network interactions without relying on external servers.</t>
        </is>
      </c>
      <c r="E1139" t="n">
        <v>0.0031</v>
      </c>
      <c r="F1139" t="n">
        <v>0.026</v>
      </c>
      <c r="G1139" t="n">
        <v>0.1064</v>
      </c>
      <c r="H1139" t="inlineStr">
        <is>
          <t>The code implements a `DevServer` class that sets up a mock web server using OkHttp and MockWebServer libraries. It uses TLS certificates from localhost for secure connections. The complexity is O(N), where N represents the number of operations performed during setup and operation.</t>
        </is>
      </c>
      <c r="I1139" t="n">
        <v>0.0051</v>
      </c>
      <c r="J1139" t="n">
        <v>0.0769</v>
      </c>
      <c r="K1139" t="n">
        <v>0.1304</v>
      </c>
      <c r="L1139" t="inlineStr">
        <is>
          <t>The `DevServer` class provides a simple HTTP server using OkHttp that can be used for testing purposes. It sets up a mock web server with TLS certificates generated from localhost, allowing developers to test network requests without needing a live server. The class includes methods to start and stop the server, as well as handle incoming requests and responses.</t>
        </is>
      </c>
      <c r="M1139" t="n">
        <v>0.0031</v>
      </c>
      <c r="N1139" t="n">
        <v>0.0299</v>
      </c>
      <c r="O1139" t="n">
        <v>0.07630000000000001</v>
      </c>
    </row>
    <row r="1140">
      <c r="A1140" t="inlineStr">
        <is>
          <t>okhttp</t>
        </is>
      </c>
      <c r="B1140" t="inlineStr">
        <is>
          <t>samples/guide/src/main/java/okhttp3/recipes/kt/PerCallSettings.kt</t>
        </is>
      </c>
      <c r="C1140">
        <f>HYPERLINK("https://github.com/square/okhttp/blob/master/samples/guide/src/main/java/okhttp3/recipes/kt/PerCallSettings.kt")</f>
        <v/>
      </c>
      <c r="D1140" t="inlineStr">
        <is>
          <t>The provided Kotlin code defines a class `PerCallSettings` that demonstrates how to make HTTP requests using OkHttp library. The main method creates an instance of `OkHttpClient`, constructs a GET request to "http://httpbin.org/delay/1", which delays the response by one second, and then executes the request. The result is printed to the console.</t>
        </is>
      </c>
      <c r="E1140" t="n">
        <v>0.0036</v>
      </c>
      <c r="F1140" t="n">
        <v>0.0317</v>
      </c>
      <c r="G1140" t="n">
        <v>0.0813</v>
      </c>
      <c r="H1140" t="inlineStr">
        <is>
          <t>This repository contains backend software components that implement core algorithms. The complexity of the implementation is O(N), indicating linear time complexity relative to the input size. The comments provide details about the algorithm's purpose and usage. The commits include an initial codebase commit. The total code size is 1000 lines.</t>
        </is>
      </c>
      <c r="I1140" t="n">
        <v>0.0052</v>
      </c>
      <c r="J1140" t="n">
        <v>0.1667</v>
      </c>
      <c r="K1140" t="n">
        <v>0.2049</v>
      </c>
      <c r="L1140" t="inlineStr">
        <is>
          <t>This Kotlin class demonstrates how to configure and execute HTTP requests using OkHttp, setting up per-call settings such as timeouts. It creates an `OkHttpClient` instance and defines a method `run` that constructs a GET request to a specified URL with a one-second delay. The request is then executed asynchronously, showcasing basic usage of OkHttp's asynchronous capabilities.</t>
        </is>
      </c>
      <c r="M1140" t="n">
        <v>0.0039</v>
      </c>
      <c r="N1140" t="n">
        <v>0.0597</v>
      </c>
      <c r="O1140" t="n">
        <v>0.1172</v>
      </c>
    </row>
    <row r="1141">
      <c r="A1141" t="inlineStr">
        <is>
          <t>okhttp</t>
        </is>
      </c>
      <c r="B1141" t="inlineStr">
        <is>
          <t>samples/guide/src/main/java/okhttp3/recipes/kt/ParseResponseWithMoshi.kt</t>
        </is>
      </c>
      <c r="C1141">
        <f>HYPERLINK("https://github.com/square/okhttp/blob/master/samples/guide/src/main/java/okhttp3/recipes/kt/ParseResponseWithMoshi.kt")</f>
        <v/>
      </c>
      <c r="D1141" t="inlineStr">
        <is>
          <t>The provided Kotlin code defines a class `ParseResponseWithMoshi` that demonstrates how to parse JSON responses using the Moshi library with OkHttp. The class initializes an `OkHttpClient`, a `Moshi` instance, and a Gson adapter for parsing Gists. It includes a method `run()` which constructs a request, sends it over the network, reads the response, and parses it into</t>
        </is>
      </c>
      <c r="E1141" t="n">
        <v>0.0032</v>
      </c>
      <c r="F1141" t="n">
        <v>0.0308</v>
      </c>
      <c r="G1141" t="n">
        <v>0.0775</v>
      </c>
      <c r="H1141" t="inlineStr">
        <is>
          <t>This repository contains backend software components that implement core algorithms. The complexity of these implementations is O(N), indicating linear time complexity relative to the size of the input data. The comments provide details about the implementation process, while the commits document the initial creation of the codebase. The total code size is 1000 lines.</t>
        </is>
      </c>
      <c r="I1141" t="n">
        <v>0.0045</v>
      </c>
      <c r="J1141" t="n">
        <v>0.127</v>
      </c>
      <c r="K1141" t="n">
        <v>0.1587</v>
      </c>
      <c r="L1141" t="inlineStr">
        <is>
          <t>This Kotlin class uses OkHttp to fetch data from a GitHub Gist API endpoint and parses the JSON response using Moshi. It initializes an OkHttpClient instance, creates a Moshi builder with Gson as the adapter, and defines a Gist model class annotated with JsonClass. The `run` method constructs a GET request to the specified URL, sends it using the OkHttpClient, reads the response body, and</t>
        </is>
      </c>
      <c r="M1141" t="n">
        <v>0.0033</v>
      </c>
      <c r="N1141" t="n">
        <v>0.0548</v>
      </c>
      <c r="O1141" t="n">
        <v>0.146</v>
      </c>
    </row>
    <row r="1142">
      <c r="A1142" t="inlineStr">
        <is>
          <t>okhttp</t>
        </is>
      </c>
      <c r="B1142" t="inlineStr">
        <is>
          <t>samples/guide/src/main/java/okhttp3/recipes/kt/WiresharkExample.kt</t>
        </is>
      </c>
      <c r="C1142">
        <f>HYPERLINK("https://github.com/square/okhttp/blob/master/samples/guide/src/main/java/okhttp3/recipes/kt/WiresharkExample.kt")</f>
        <v/>
      </c>
      <c r="D1142" t="inlineStr">
        <is>
          <t>The provided Kotlin code snippet appears to be part of a larger project that handles SSL/TLS connections using OkHttp library. It includes logging configurations and custom handling for SSL sessions. The code does not contain any executable logic but rather sets up basic infrastructure for secure communication over HTTPS.</t>
        </is>
      </c>
      <c r="E1142" t="n">
        <v>0.0037</v>
      </c>
      <c r="F1142" t="n">
        <v>0.06900000000000001</v>
      </c>
      <c r="G1142" t="n">
        <v>0.08260000000000001</v>
      </c>
      <c r="H1142" t="inlineStr">
        <is>
          <t>The code implements core algorithms for a backend software component, using Java libraries such as `java.io`, `javax.net.ssl`, and `okhttp`. The complexity is high due to its extensive implementation of various algorithms.</t>
        </is>
      </c>
      <c r="I1142" t="n">
        <v>0.0152</v>
      </c>
      <c r="J1142" t="n">
        <v>0.1429</v>
      </c>
      <c r="K1142" t="n">
        <v>0.3612</v>
      </c>
      <c r="L1142" t="inlineStr">
        <is>
          <t>The code provides a Java-based implementation that utilizes OkHttp library to make HTTP requests and handle SSL connections securely. It includes methods for executing shell commands using ProcessBuilder, handling logging through custom handlers, managing SSL sessions, and making secure network calls. The code also demonstrates basic cryptographic operations involving SecretKeys.</t>
        </is>
      </c>
      <c r="M1142" t="n">
        <v>0.0037</v>
      </c>
      <c r="N1142" t="n">
        <v>0.0678</v>
      </c>
      <c r="O1142" t="n">
        <v>0.123</v>
      </c>
    </row>
    <row r="1143">
      <c r="A1143" t="inlineStr">
        <is>
          <t>okhttp</t>
        </is>
      </c>
      <c r="B1143" t="inlineStr">
        <is>
          <t>samples/guide/src/main/java/okhttp3/recipes/kt/Authenticate.kt</t>
        </is>
      </c>
      <c r="C1143">
        <f>HYPERLINK("https://github.com/square/okhttp/blob/master/samples/guide/src/main/java/okhttp3/recipes/kt/Authenticate.kt")</f>
        <v/>
      </c>
      <c r="D1143" t="inlineStr">
        <is>
          <t>The provided Kotlin code defines a class `Authenticate` that sets up an HTTP client using OkHttp. The client includes an authenticator that handles authentication challenges based on credentials stored as strings. This setup allows the application to authenticate requests when necessary, enhancing security by ensuring authorized access to resources.</t>
        </is>
      </c>
      <c r="E1143" t="n">
        <v>0.0037</v>
      </c>
      <c r="F1143" t="n">
        <v>0.0351</v>
      </c>
      <c r="G1143" t="n">
        <v>0.08260000000000001</v>
      </c>
      <c r="H1143" t="inlineStr">
        <is>
          <t>The repository contains backend software components implementing core algorithms. The complexity of these implementations is O(N), indicating they scale linearly with input size.</t>
        </is>
      </c>
      <c r="I1143" t="n">
        <v>0.0098</v>
      </c>
      <c r="J1143" t="n">
        <v>0.1875</v>
      </c>
      <c r="K1143" t="n">
        <v>0.1579</v>
      </c>
      <c r="L1143" t="inlineStr">
        <is>
          <t>This Kotlin class `Authenticate` uses OkHttp to create an authenticated HTTP client that handles basic authentication based on user credentials stored locally. It sets up an authenticator within an OkHttpClient builder, which intercepts requests and applies the necessary headers if the request requires authentication. The class provides a simple way to manage user credentials and handle authentication challenges during network requests.</t>
        </is>
      </c>
      <c r="M1143" t="n">
        <v>0.0036</v>
      </c>
      <c r="N1143" t="n">
        <v>0.058</v>
      </c>
      <c r="O1143" t="n">
        <v>0.1128</v>
      </c>
    </row>
    <row r="1144">
      <c r="A1144" t="inlineStr">
        <is>
          <t>okhttp</t>
        </is>
      </c>
      <c r="B1144" t="inlineStr">
        <is>
          <t>samples/guide/src/main/java/okhttp3/recipes/kt/SynchronousGet.kt</t>
        </is>
      </c>
      <c r="C1144">
        <f>HYPERLINK("https://github.com/square/okhttp/blob/master/samples/guide/src/main/java/okhttp3/recipes/kt/SynchronousGet.kt")</f>
        <v/>
      </c>
      <c r="D1144" t="inlineStr">
        <is>
          <t>The provided Kotlin code defines a class `SynchronousGet` that uses OkHttp to make a synchronous GET request to a specified URL ("https://publicobject.com/helloworld.txt") and prints the response body. The code includes basic error handling using try-catch blocks.</t>
        </is>
      </c>
      <c r="E1144" t="n">
        <v>0.0052</v>
      </c>
      <c r="F1144" t="n">
        <v>0.0408</v>
      </c>
      <c r="G1144" t="n">
        <v>0.0926</v>
      </c>
      <c r="H1144" t="inlineStr">
        <is>
          <t>The code provides a class `SynchronousGet` that uses OkHttp to make a synchronous GET request to a specified URL and prints the response body. The complexity is O(N), where N is the length of the response body.</t>
        </is>
      </c>
      <c r="I1144" t="n">
        <v>0.005</v>
      </c>
      <c r="J1144" t="n">
        <v>0.0435</v>
      </c>
      <c r="K1144" t="n">
        <v>0.0917</v>
      </c>
      <c r="L1144" t="inlineStr">
        <is>
          <t>This Kotlin class `SynchronousGet` uses OkHttp to perform a synchronous GET request to fetch the content from a specified URL ("https://publicobject.com/helloworld.txt"). The method initializes an instance of `OkHttpClient`, constructs a `Request.Builder` object with the desired URL, builds the request, sends it using `client.newCall(request).execute()`, and then processes the response. If</t>
        </is>
      </c>
      <c r="M1144" t="n">
        <v>0.0045</v>
      </c>
      <c r="N1144" t="n">
        <v>0.0615</v>
      </c>
      <c r="O1144" t="n">
        <v>0.124</v>
      </c>
    </row>
    <row r="1145">
      <c r="A1145" t="inlineStr">
        <is>
          <t>okhttp</t>
        </is>
      </c>
      <c r="B1145" t="inlineStr">
        <is>
          <t>samples/guide/src/main/java/okhttp3/recipes/kt/PostPath.kt</t>
        </is>
      </c>
      <c r="C1145">
        <f>HYPERLINK("https://github.com/square/okhttp/blob/master/samples/guide/src/main/java/okhttp3/recipes/kt/PostPath.kt")</f>
        <v/>
      </c>
      <c r="D1145" t="inlineStr">
        <is>
          <t>The provided Kotlin code defines a class `PostPath` that uses OkHttp to send a POST request with a file path as the body. It utilizes a fake filesystem from the OkIO library to simulate file operations during testing. The class initializes an `OkHttpClient` and a `FakeFileSystem`, then constructs a `Request` object with the specified media type and sends it using the client. This setup</t>
        </is>
      </c>
      <c r="E1145" t="n">
        <v>0.0034</v>
      </c>
      <c r="F1145" t="n">
        <v>0.0278</v>
      </c>
      <c r="G1145" t="n">
        <v>0.1103</v>
      </c>
      <c r="H1145" t="inlineStr">
        <is>
          <t>Implements core algorithms using OkHttp library for HTTP requests and FakeFileSystem for testing purposes.</t>
        </is>
      </c>
      <c r="I1145" t="n">
        <v>0.017</v>
      </c>
      <c r="J1145" t="n">
        <v>0.2727</v>
      </c>
      <c r="K1145" t="n">
        <v>0.367</v>
      </c>
      <c r="L1145" t="inlineStr">
        <is>
          <t>This Kotlin class `PostPath` uses OkHttp to send a POST request with a file path as the body. It initializes an `OkHttpClient` and a `FakeFileSystem`. The method likely reads a file from the specified path using the `fileSystem`, converts it to a `RequestBody`, and sends it in a POST request to a server endpoint.</t>
        </is>
      </c>
      <c r="M1145" t="n">
        <v>0.004</v>
      </c>
      <c r="N1145" t="n">
        <v>0.0645</v>
      </c>
      <c r="O1145" t="n">
        <v>0.119</v>
      </c>
    </row>
    <row r="1146">
      <c r="A1146" t="inlineStr">
        <is>
          <t>okhttp</t>
        </is>
      </c>
      <c r="B1146" t="inlineStr">
        <is>
          <t>samples/guide/src/test/kotlin/okhttp3/AllMainsTest.kt</t>
        </is>
      </c>
      <c r="C1146">
        <f>HYPERLINK("https://github.com/square/okhttp/blob/master/samples/guide/src/test/kotlin/okhttp3/AllMainsTest.kt")</f>
        <v/>
      </c>
      <c r="D1146" t="inlineStr">
        <is>
          <t>The provided code appears to be part of an open-source project that includes backend software components. It uses Java and Kotlin, and it seems to have been developed using JUnit Jupiter as its testing framework. The code defines a package `okhttp3` and includes several utility functions such as `mainFiles()` which returns a list of files from a specified directory. There are also some commented-out lines indicating</t>
        </is>
      </c>
      <c r="E1146" t="n">
        <v>0.0033</v>
      </c>
      <c r="F1146" t="n">
        <v>0.0526</v>
      </c>
      <c r="G1146" t="n">
        <v>0.1087</v>
      </c>
      <c r="H1146" t="inlineStr">
        <is>
          <t>This repository contains backend software components that implement core algorithms. The complexity of the implementation is O(N), indicating linear time complexity relative to the input size. The comments describe the purpose and functionality of each component, while the commits record the initial creation of the codebase. The total code size is 1000 lines.</t>
        </is>
      </c>
      <c r="I1146" t="n">
        <v>0.0052</v>
      </c>
      <c r="J1146" t="n">
        <v>0.1613</v>
      </c>
      <c r="K1146" t="n">
        <v>0.24</v>
      </c>
      <c r="L1146" t="inlineStr">
        <is>
          <t>The code appears to be part of an OkHttp library's test suite, specifically focusing on testing HTTP requests using JUnit Jupiter. It includes various test cases that verify different aspects of request handling, such as timeouts, redirects, and error responses. The tests utilize parameterized data sources to provide multiple scenarios for each test case.</t>
        </is>
      </c>
      <c r="M1146" t="n">
        <v>0.0034</v>
      </c>
      <c r="N1146" t="n">
        <v>0.0317</v>
      </c>
      <c r="O1146" t="n">
        <v>0.0794</v>
      </c>
    </row>
    <row r="1147">
      <c r="A1147" t="inlineStr">
        <is>
          <t>okhttp</t>
        </is>
      </c>
      <c r="B1147" t="inlineStr">
        <is>
          <t>samples/unixdomainsockets/src/main/java/okhttp3/unixdomainsockets/UnixDomainServerSocketFactory.java</t>
        </is>
      </c>
      <c r="C1147">
        <f>HYPERLINK("https://github.com/square/okhttp/blob/master/samples/unixdomainsockets/src/main/java/okhttp3/unixdomainsockets/UnixDomainServerSocketFactory.java")</f>
        <v/>
      </c>
      <c r="D1147" t="inlineStr">
        <is>
          <t>The provided Java code defines a Unix domain socket server using JNR's `UnixServerSocketChannel`. It includes methods for creating a server socket, binding it to a specified path, listening for incoming connections, accepting them, and closing the server. The complexity is O(1) as it involves basic operations like opening and closing channels.</t>
        </is>
      </c>
      <c r="E1147" t="n">
        <v>0.0036</v>
      </c>
      <c r="F1147" t="n">
        <v>0.0328</v>
      </c>
      <c r="G1147" t="n">
        <v>0.0813</v>
      </c>
      <c r="H1147" t="inlineStr">
        <is>
          <t>Implements core algorithms for backend software components using JNR UnixSocket library. Complexity is O(N).</t>
        </is>
      </c>
      <c r="I1147" t="n">
        <v>0.017</v>
      </c>
      <c r="J1147" t="n">
        <v>0.1739</v>
      </c>
      <c r="K1147" t="n">
        <v>0.367</v>
      </c>
      <c r="L1147" t="inlineStr">
        <is>
          <t>This Java package provides Unix domain socket server implementation using JNR-UnixSocket library. It includes methods to create a server socket bound to a specified path, accept incoming connections, and handle them appropriately. The class uses `UnixServerSocketChannel` from JNR-UnixSocket to manage the underlying socket channel, allowing for efficient communication over Unix domain sockets.</t>
        </is>
      </c>
      <c r="M1147" t="n">
        <v>0.0042</v>
      </c>
      <c r="N1147" t="n">
        <v>0.0968</v>
      </c>
      <c r="O1147" t="n">
        <v>0.1613</v>
      </c>
    </row>
    <row r="1148">
      <c r="A1148" t="inlineStr">
        <is>
          <t>okhttp</t>
        </is>
      </c>
      <c r="B1148" t="inlineStr">
        <is>
          <t>samples/unixdomainsockets/src/main/java/okhttp3/unixdomainsockets/UnixDomainSocketFactory.java</t>
        </is>
      </c>
      <c r="C1148">
        <f>HYPERLINK("https://github.com/square/okhttp/blob/master/samples/unixdomainsockets/src/main/java/okhttp3/unixdomainsockets/UnixDomainSocketFactory.java")</f>
        <v/>
      </c>
      <c r="D1148" t="inlineStr">
        <is>
          <t>The `UnixDomainSocketFactory` class provides a way to create socket connections using UNIX domain sockets instead of traditional TCP/IP sockets. It implements the `SocketFactory` interface from Java's networking API, allowing developers to easily establish network connections through UNIX domain sockets. The factory uses JNR-UNIXSocket library to handle the underlying communication protocol. This implementation allows applications to connect to services running on the same</t>
        </is>
      </c>
      <c r="E1148" t="n">
        <v>0.0035</v>
      </c>
      <c r="F1148" t="n">
        <v>0.0548</v>
      </c>
      <c r="G1148" t="n">
        <v>0.1119</v>
      </c>
      <c r="H1148" t="inlineStr">
        <is>
          <t>The repository contains backend software components that implement core algorithms. The complexity is O(N), indicating linear time complexity, which suggests the algorithm processes each element once. The comments describe the implementation of these core algorithms. The commits indicate the initial creation of the codebase. The total size of the code is 1000 lines.</t>
        </is>
      </c>
      <c r="I1148" t="n">
        <v>0.0041</v>
      </c>
      <c r="J1148" t="n">
        <v>0.0968</v>
      </c>
      <c r="K1148" t="n">
        <v>0.12</v>
      </c>
      <c r="L1148" t="inlineStr">
        <is>
          <t>This Java class `UnixDomainSocketFactory` provides a way to create socket connections using UNIX domain sockets instead of traditional TCP/IP sockets. It implements the `SocketFactory` interface, allowing developers to easily establish secure connections through UNIX domain sockets. The factory uses JNR's `unixsocket` library to handle the underlying communication protocol, providing similar functionality to standard TCP socket factories while leveraging the efficiency and security</t>
        </is>
      </c>
      <c r="M1148" t="n">
        <v>0.0042</v>
      </c>
      <c r="N1148" t="n">
        <v>0.1111</v>
      </c>
      <c r="O1148" t="n">
        <v>0.1493</v>
      </c>
    </row>
    <row r="1149">
      <c r="A1149" t="inlineStr">
        <is>
          <t>okhttp</t>
        </is>
      </c>
      <c r="B1149" t="inlineStr">
        <is>
          <t>samples/unixdomainsockets/src/main/java/okhttp3/unixdomainsockets/TunnelingUnixSocket.java</t>
        </is>
      </c>
      <c r="C1149">
        <f>HYPERLINK("https://github.com/square/okhttp/blob/master/samples/unixdomainsockets/src/main/java/okhttp3/unixdomainsockets/TunnelingUnixSocket.java")</f>
        <v/>
      </c>
      <c r="D1149" t="inlineStr">
        <is>
          <t>The provided Java code defines a class `UnixDomainSockets` that extends `java.net.Socket`. It uses the JNR Unix Socket library to create and manage Unix domain sockets, which provide a high-level API for working with Unix domain sockets in Java. The class provides methods to connect to Unix domain sockets using both absolute paths and relative paths, as well as to send and receive data over these connections</t>
        </is>
      </c>
      <c r="E1149" t="n">
        <v>0.0028</v>
      </c>
      <c r="F1149" t="n">
        <v>0.026</v>
      </c>
      <c r="G1149" t="n">
        <v>0.0725</v>
      </c>
      <c r="H1149" t="inlineStr">
        <is>
          <t>This repository contains backend software components that implement core algorithms using Java and JNR Unix Socket library. The complexity is high due to the implementation of multiple algorithms and features.</t>
        </is>
      </c>
      <c r="I1149" t="n">
        <v>0.008800000000000001</v>
      </c>
      <c r="J1149" t="n">
        <v>0.2632</v>
      </c>
      <c r="K1149" t="n">
        <v>0.2941</v>
      </c>
      <c r="L1149" t="inlineStr">
        <is>
          <t>This Java class provides a Unix domain socket implementation that mimics the behavior of TCP sockets, allowing for high-fidelity communication over Unix domain paths. It uses the JNR library to handle Unix socket interactions, providing methods for connecting, sending data, receiving data, and closing the connection. The class includes support for both blocking and non-blocking I/O operations through `UnixSocket` and `UnixSocketChannel</t>
        </is>
      </c>
      <c r="M1149" t="n">
        <v>0.0036</v>
      </c>
      <c r="N1149" t="n">
        <v>0.0833</v>
      </c>
      <c r="O1149" t="n">
        <v>0.1504</v>
      </c>
    </row>
    <row r="1150">
      <c r="A1150" t="inlineStr">
        <is>
          <t>okhttp</t>
        </is>
      </c>
      <c r="B1150" t="inlineStr">
        <is>
          <t>samples/unixdomainsockets/src/main/java/okhttp3/unixdomainsockets/ClientAndServer.java</t>
        </is>
      </c>
      <c r="C1150">
        <f>HYPERLINK("https://github.com/square/okhttp/blob/master/samples/unixdomainsockets/src/main/java/okhttp3/unixdomainsockets/ClientAndServer.java")</f>
        <v/>
      </c>
      <c r="D1150" t="inlineStr">
        <is>
          <t>The provided code snippet defines a test class `UnixDomainSocketTest` within the package `okhttp3.unixdomainsockets`. This class uses `MockWebServer` and `OkHttpClient` to create and configure Unix domain socket connections between them. The purpose of this setup is likely to facilitate testing scenarios involving HTTP requests over Unix domain sockets without relying on network connectivity. The comments indicate that the implementation</t>
        </is>
      </c>
      <c r="E1150" t="n">
        <v>0.0037</v>
      </c>
      <c r="F1150" t="n">
        <v>0.0597</v>
      </c>
      <c r="G1150" t="n">
        <v>0.1538</v>
      </c>
      <c r="H1150" t="inlineStr">
        <is>
          <t>This repository contains backend software components implementing core algorithms. The complexity is O(N), indicating linear time complexity. The comments describe the implementation of these algorithms. There have been several commits since the initial codebase creation. The total size of the codebase is 1000 lines.</t>
        </is>
      </c>
      <c r="I1150" t="n">
        <v>0.0055</v>
      </c>
      <c r="J1150" t="n">
        <v>0.1509</v>
      </c>
      <c r="K1150" t="n">
        <v>0.1724</v>
      </c>
      <c r="L1150" t="inlineStr">
        <is>
          <t>This Java code provides utilities for creating Unix domain sockets for `MockWebServer` and `OkHttp`, allowing them to communicate securely over local filesystem paths. The code includes methods to set up mock responses, configure protocols, and establish connections between these sockets. It leverages existing comments and implementation details from previous commits to ensure clarity and maintainability.</t>
        </is>
      </c>
      <c r="M1150" t="n">
        <v>0.004</v>
      </c>
      <c r="N1150" t="n">
        <v>0.09520000000000001</v>
      </c>
      <c r="O1150" t="n">
        <v>0.1181</v>
      </c>
    </row>
    <row r="1151">
      <c r="A1151" t="inlineStr">
        <is>
          <t>okhttp</t>
        </is>
      </c>
      <c r="B1151" t="inlineStr">
        <is>
          <t>samples/tlssurvey/src/main/kotlin/okhttp3/survey/Iana.kt</t>
        </is>
      </c>
      <c r="C1151">
        <f>HYPERLINK("https://github.com/square/okhttp/blob/master/samples/tlssurvey/src/main/kotlin/okhttp3/survey/Iana.kt")</f>
        <v/>
      </c>
      <c r="D1151" t="inlineStr">
        <is>
          <t>The code defines a Kotlin class `Survey` within the package `okhttp3.survey`. It includes a constant pattern `IANA_CSV_PATTERN` that matches strings representing TLS cipher suites in a specific format. The class does not contain any methods or logic; it serves as a placeholder for potential survey-related functionalities. The complexity is O(N), where N represents the number of characters processed during matching operations</t>
        </is>
      </c>
      <c r="E1151" t="n">
        <v>0</v>
      </c>
      <c r="F1151" t="n">
        <v>0.027</v>
      </c>
      <c r="G1151" t="n">
        <v>0</v>
      </c>
      <c r="H1151" t="inlineStr">
        <is>
          <t>This repository contains backend software components that implement core algorithms. The complexity is O(N).</t>
        </is>
      </c>
      <c r="I1151" t="n">
        <v>0.0188</v>
      </c>
      <c r="J1151" t="n">
        <v>0.3478</v>
      </c>
      <c r="K1151" t="n">
        <v>0.367</v>
      </c>
      <c r="L1151" t="inlineStr">
        <is>
          <t>This code defines constants and patterns used in the OkHttp library's survey module, specifically related to TLS cipher suites and their corresponding identifiers. It includes a regular expression pattern `IANA_CSV_PATTERN` that matches lines from a CSV file containing details about TLS cipher suites, including their hexadecimal IDs, names, exportability status, and RFC references. The code also provides utility functions like `executeAsync` for</t>
        </is>
      </c>
      <c r="M1151" t="n">
        <v>0.0035</v>
      </c>
      <c r="N1151" t="n">
        <v>0.0822</v>
      </c>
      <c r="O1151" t="n">
        <v>0.1119</v>
      </c>
    </row>
    <row r="1152">
      <c r="A1152" t="inlineStr">
        <is>
          <t>okhttp</t>
        </is>
      </c>
      <c r="B1152" t="inlineStr">
        <is>
          <t>samples/tlssurvey/src/main/kotlin/okhttp3/survey/RunSurvey.kt</t>
        </is>
      </c>
      <c r="C1152">
        <f>HYPERLINK("https://github.com/square/okhttp/blob/master/samples/tlssurvey/src/main/kotlin/okhttp3/survey/RunSurvey.kt")</f>
        <v/>
      </c>
      <c r="D1152" t="inlineStr">
        <is>
          <t>The provided Kotlin code defines a function `main` that initializes and runs a survey tool using OkHttp client and SSL Labs API. It includes setting up Conscrypt as an alternative TLS provider if specified. The complexity is O(N), where N represents the number of operations performed during initialization and execution.</t>
        </is>
      </c>
      <c r="E1152" t="n">
        <v>0.0037</v>
      </c>
      <c r="F1152" t="n">
        <v>0.0678</v>
      </c>
      <c r="G1152" t="n">
        <v>0.082</v>
      </c>
      <c r="H1152" t="inlineStr">
        <is>
          <t>This repository contains backend software components implementing core algorithms. The complexity is O(N), indicating that the time taken grows linearly with the input size N. The code includes Conscrypt support and uses OkHttp for network operations.</t>
        </is>
      </c>
      <c r="I1152" t="n">
        <v>0.0073</v>
      </c>
      <c r="J1152" t="n">
        <v>0.2222</v>
      </c>
      <c r="K1152" t="n">
        <v>0.3948</v>
      </c>
      <c r="L1152" t="inlineStr">
        <is>
          <t>The code initializes an SSL Labs client using Conscrypt as the security provider, sets up an OkHttpClient with caching enabled, and then performs a survey of SSL/TLS suites available on the server. The survey results are printed to the console.</t>
        </is>
      </c>
      <c r="M1152" t="n">
        <v>0.0046</v>
      </c>
      <c r="N1152" t="n">
        <v>0.0408</v>
      </c>
      <c r="O1152" t="n">
        <v>0.0893</v>
      </c>
    </row>
    <row r="1153">
      <c r="A1153" t="inlineStr">
        <is>
          <t>okhttp</t>
        </is>
      </c>
      <c r="B1153" t="inlineStr">
        <is>
          <t>samples/tlssurvey/src/main/kotlin/okhttp3/survey/Clients.kt</t>
        </is>
      </c>
      <c r="C1153">
        <f>HYPERLINK("https://github.com/square/okhttp/blob/master/samples/tlssurvey/src/main/kotlin/okhttp3/survey/Clients.kt")</f>
        <v/>
      </c>
      <c r="D1153" t="inlineStr">
        <is>
          <t>The provided code defines a function `currentOkHttp` that creates an instance of the `Client` class from the `okhttp3.survey` package using the Conscrypt SSL socket factory. The function takes an `IanaSuites` object as input and returns a `Client` object configured with the specified user agent and suite ID. This setup allows for secure communication over TLS/SSL</t>
        </is>
      </c>
      <c r="E1153" t="n">
        <v>0.004</v>
      </c>
      <c r="F1153" t="n">
        <v>0.0615</v>
      </c>
      <c r="G1153" t="n">
        <v>0.1181</v>
      </c>
      <c r="H1153" t="inlineStr">
        <is>
          <t>This repository contains backend software components implementing core algorithms. The complexity is O(N), indicating that the time complexity increases linearly with the size of the input data.</t>
        </is>
      </c>
      <c r="I1153" t="n">
        <v>0.0092</v>
      </c>
      <c r="J1153" t="n">
        <v>0.2222</v>
      </c>
      <c r="K1153" t="n">
        <v>0.3188</v>
      </c>
      <c r="L1153" t="inlineStr">
        <is>
          <t>The provided code defines a function `currentOkHttp` that returns an instance of `Client`. The function takes an `IanaSuites` object as input and uses it to configure SSL/TLS settings for OkHttp's connection spec. It initializes an OkHttpClient with default settings and sets up TLS suites based on the provided IANA suite IDs. The function then creates and returns a `Client` object</t>
        </is>
      </c>
      <c r="M1153" t="n">
        <v>0.003</v>
      </c>
      <c r="N1153" t="n">
        <v>0.0571</v>
      </c>
      <c r="O1153" t="n">
        <v>0.07580000000000001</v>
      </c>
    </row>
    <row r="1154">
      <c r="A1154" t="inlineStr">
        <is>
          <t>okhttp</t>
        </is>
      </c>
      <c r="B1154" t="inlineStr">
        <is>
          <t>samples/tlssurvey/src/main/kotlin/okhttp3/survey/CipherSuiteSurvey.kt</t>
        </is>
      </c>
      <c r="C1154">
        <f>HYPERLINK("https://github.com/square/okhttp/blob/master/samples/tlssurvey/src/main/kotlin/okhttp3/survey/CipherSuiteSurvey.kt")</f>
        <v/>
      </c>
      <c r="D1154" t="inlineStr">
        <is>
          <t>The `CipherSuiteSurvey` class organizes information about SSL cipher suites for different client types based on their inclusion and precedence as specified in a Google Sheets document. It includes lists of clients and IANA cipher suites, along with a list of sorting criteria. The complexity of the implementation is O(N), where N represents the number of elements involved.</t>
        </is>
      </c>
      <c r="E1154" t="n">
        <v>0.0032</v>
      </c>
      <c r="F1154" t="n">
        <v>0.0303</v>
      </c>
      <c r="G1154" t="n">
        <v>0.0775</v>
      </c>
      <c r="H1154" t="inlineStr">
        <is>
          <t>This repository contains backend software components that implement core algorithms. The complexity of these implementations is O(N), where N represents the size of the input data being processed.</t>
        </is>
      </c>
      <c r="I1154" t="n">
        <v>0.008800000000000001</v>
      </c>
      <c r="J1154" t="n">
        <v>0.2162</v>
      </c>
      <c r="K1154" t="n">
        <v>0.2</v>
      </c>
      <c r="L1154" t="inlineStr">
        <is>
          <t>The `CipherSuiteSurvey` class organizes SSL cipher suite inclusion and precedence data based on client preferences and IANA standards, providing insights into which suites are included in different spreadsheets. It takes lists of clients and their preferred cipher suites, as well as IANA standard cipher suites, and sorts them according to specified criteria. The class helps developers understand how various clients prioritize and support SSL ciphers.</t>
        </is>
      </c>
      <c r="M1154" t="n">
        <v>0.0028</v>
      </c>
      <c r="N1154" t="n">
        <v>0.0274</v>
      </c>
      <c r="O1154" t="n">
        <v>0.0365</v>
      </c>
    </row>
    <row r="1155">
      <c r="A1155" t="inlineStr">
        <is>
          <t>okhttp</t>
        </is>
      </c>
      <c r="B1155" t="inlineStr">
        <is>
          <t>samples/tlssurvey/src/main/kotlin/okhttp3/survey/types/Client.kt</t>
        </is>
      </c>
      <c r="C1155">
        <f>HYPERLINK("https://github.com/square/okhttp/blob/master/samples/tlssurvey/src/main/kotlin/okhttp3/survey/types/Client.kt")</f>
        <v/>
      </c>
      <c r="D1155" t="inlineStr">
        <is>
          <t>The code defines a `Client` data class that represents client information such as user agent, version, platform, enabled suites, and supported suites. It includes a computed property `nameAndVersion` that concatenates the user agent and version strings. The complexity of the implementation is O(1), as it involves simple operations like string concatenation.</t>
        </is>
      </c>
      <c r="E1155" t="n">
        <v>0.0036</v>
      </c>
      <c r="F1155" t="n">
        <v>0.0333</v>
      </c>
      <c r="G1155" t="n">
        <v>0.0813</v>
      </c>
      <c r="H1155" t="inlineStr">
        <is>
          <t>The provided Kotlin data class `Client` represents client information with properties such as user agent, version, platform, enabled suites, and supported suites. It includes a computed property `nameAndVersion` that concatenates the user agent and version strings. The README describes it as part of a backend software component with complexity O(N), indicating potential operations based on list sizes.</t>
        </is>
      </c>
      <c r="I1155" t="n">
        <v>0.0038</v>
      </c>
      <c r="J1155" t="n">
        <v>0.0303</v>
      </c>
      <c r="K1155" t="n">
        <v>0.1163</v>
      </c>
      <c r="L1155" t="inlineStr">
        <is>
          <t>The `Client` data class represents client metadata including user agent, version, optional platform, enabled suites, and supported suites. It provides a computed property `nameAndVersion` that concatenates the user agent and version strings.</t>
        </is>
      </c>
      <c r="M1155" t="n">
        <v>0.0058</v>
      </c>
      <c r="N1155" t="n">
        <v>0.05</v>
      </c>
      <c r="O1155" t="n">
        <v>0.0481</v>
      </c>
    </row>
    <row r="1156">
      <c r="A1156" t="inlineStr">
        <is>
          <t>okhttp</t>
        </is>
      </c>
      <c r="B1156" t="inlineStr">
        <is>
          <t>samples/tlssurvey/src/main/kotlin/okhttp3/survey/types/SuiteId.kt</t>
        </is>
      </c>
      <c r="C1156">
        <f>HYPERLINK("https://github.com/square/okhttp/blob/master/samples/tlssurvey/src/main/kotlin/okhttp3/survey/types/SuiteId.kt")</f>
        <v/>
      </c>
      <c r="D1156" t="inlineStr">
        <is>
          <t>The `SuiteId` data class represents a unique identifier for a test suite, consisting of an optional byte string ID and a human-readable name. It includes a method `matches` that checks if two `SuiteId` instances match based on their IDs or names after removing the first four characters. The complexity of this implementation is O(1).</t>
        </is>
      </c>
      <c r="E1156" t="n">
        <v>0.0034</v>
      </c>
      <c r="F1156" t="n">
        <v>0.0625</v>
      </c>
      <c r="G1156" t="n">
        <v>0.119</v>
      </c>
      <c r="H1156" t="inlineStr">
        <is>
          <t>This repository contains backend software components that implement core algorithms using Kotlin data classes and OkHttp libraries. The complexity of these implementations is O(N), indicating linear time complexity. The code size is 834 lines, making it relatively large but focused on providing robust backend functionalities.</t>
        </is>
      </c>
      <c r="I1156" t="n">
        <v>0.0058</v>
      </c>
      <c r="J1156" t="n">
        <v>0.1852</v>
      </c>
      <c r="K1156" t="n">
        <v>0.2564</v>
      </c>
      <c r="L1156" t="inlineStr">
        <is>
          <t>The `SuiteId` data class represents identifiers for survey suites, including both a binary ID (`id`) and a human-readable string (`name`). It provides a method `matches` that checks if two `SuiteId` instances match based on their IDs or names after removing common prefixes. The implementation complexity is O(1), making it efficient for comparison purposes.</t>
        </is>
      </c>
      <c r="M1156" t="n">
        <v>0.0035</v>
      </c>
      <c r="N1156" t="n">
        <v>0.0317</v>
      </c>
      <c r="O1156" t="n">
        <v>0.08</v>
      </c>
    </row>
    <row r="1157">
      <c r="A1157" t="inlineStr">
        <is>
          <t>okhttp</t>
        </is>
      </c>
      <c r="B1157" t="inlineStr">
        <is>
          <t>samples/tlssurvey/src/main/kotlin/okhttp3/survey/ssllabs/SslLabsApi.kt</t>
        </is>
      </c>
      <c r="C1157">
        <f>HYPERLINK("https://github.com/square/okhttp/blob/master/samples/tlssurvey/src/main/kotlin/okhttp3/survey/ssllabs/SslLabsApi.kt")</f>
        <v/>
      </c>
      <c r="D1157" t="inlineStr">
        <is>
          <t>The provided code defines a Retrofit interface `SslLabsApi` that provides endpoints for interacting with SSL Labs' API. The `clients()` method retrieves information about available user agent capabilities from the API. The class includes a companion object with a constant `BASE_URL` specifying the base URL for the API. This setup allows developers to make HTTP requests to retrieve data related to SSL Labs services using Retrofit</t>
        </is>
      </c>
      <c r="E1157" t="n">
        <v>0.0028</v>
      </c>
      <c r="F1157" t="n">
        <v>0.027</v>
      </c>
      <c r="G1157" t="n">
        <v>0.073</v>
      </c>
      <c r="H1157" t="inlineStr">
        <is>
          <t>This repository contains backend software components that implement core algorithms using Retrofit for API calls to SSL Labs' server survey service. The complexity is O(N), indicating linear time operations based on input size.</t>
        </is>
      </c>
      <c r="I1157" t="n">
        <v>0.0074</v>
      </c>
      <c r="J1157" t="n">
        <v>0.1905</v>
      </c>
      <c r="K1157" t="n">
        <v>0.3543</v>
      </c>
      <c r="L1157" t="inlineStr">
        <is>
          <t>The provided code defines an interface `SslLabsApi` using Retrofit 2 to interact with the SSL Labs API. It includes two endpoints: `/getClients`, which returns a list of user agent capabilities, and a constant `BASE_URL` specifying the base URL for the API. The implementation focuses on retrieving client data from the SSL Labs service.</t>
        </is>
      </c>
      <c r="M1157" t="n">
        <v>0.0035</v>
      </c>
      <c r="N1157" t="n">
        <v>0.0323</v>
      </c>
      <c r="O1157" t="n">
        <v>0.12</v>
      </c>
    </row>
    <row r="1158">
      <c r="A1158" t="inlineStr">
        <is>
          <t>okhttp</t>
        </is>
      </c>
      <c r="B1158" t="inlineStr">
        <is>
          <t>samples/tlssurvey/src/main/kotlin/okhttp3/survey/ssllabs/SslLabsClient.kt</t>
        </is>
      </c>
      <c r="C1158">
        <f>HYPERLINK("https://github.com/square/okhttp/blob/master/samples/tlssurvey/src/main/kotlin/okhttp3/survey/ssllabs/SslLabsClient.kt")</f>
        <v/>
      </c>
      <c r="D1158" t="inlineStr">
        <is>
          <t>The `SslLabsClient` class provides an interface to interact with SSL Labs' API using Retrofit and Moshi libraries. It allows fetching information about SSL/TLS suites supported by various clients, including their strengths and weaknesses. The client uses an OkHttpClient as its underlying HTTP client factory and configures it with a Moshi converter factory to handle JSON serialization/deserialization. This setup enables easy integration</t>
        </is>
      </c>
      <c r="E1158" t="n">
        <v>0.0036</v>
      </c>
      <c r="F1158" t="n">
        <v>0.0282</v>
      </c>
      <c r="G1158" t="n">
        <v>0.1128</v>
      </c>
      <c r="H1158" t="inlineStr">
        <is>
          <t>This repository contains backend software components that implement core algorithms. The complexity of these implementations is O(N), indicating linear time complexity relative to the input size. The comments describe the implementation as focusing on core algorithms, while the commits indicate it's the initial codebase commit. The total code size is 1000 lines.</t>
        </is>
      </c>
      <c r="I1158" t="n">
        <v>0.0046</v>
      </c>
      <c r="J1158" t="n">
        <v>0.129</v>
      </c>
      <c r="K1158" t="n">
        <v>0.1613</v>
      </c>
      <c r="L1158" t="inlineStr">
        <is>
          <t>This class provides an interface to interact with SSL Labs' API using Retrofit and Moshi libraries. It allows users to perform various SSL/TLS tests on servers by sending HTTP requests through an OkHttp client. The class initializes a Moshi instance for JSON parsing and uses Retrofit to create a service that can be used to send test requests to SSL Labs' endpoints.</t>
        </is>
      </c>
      <c r="M1158" t="n">
        <v>0.0035</v>
      </c>
      <c r="N1158" t="n">
        <v>0.0563</v>
      </c>
      <c r="O1158" t="n">
        <v>0.1119</v>
      </c>
    </row>
    <row r="1159">
      <c r="A1159" t="inlineStr">
        <is>
          <t>okhttp</t>
        </is>
      </c>
      <c r="B1159" t="inlineStr">
        <is>
          <t>samples/tlssurvey/src/main/kotlin/okhttp3/survey/ssllabs/UserAgentCapabilities.kt</t>
        </is>
      </c>
      <c r="C1159">
        <f>HYPERLINK("https://github.com/square/okhttp/blob/master/samples/tlssurvey/src/main/kotlin/okhttp3/survey/ssllabs/UserAgentCapabilities.kt")</f>
        <v/>
      </c>
      <c r="D1159" t="inlineStr">
        <is>
          <t>The `UserAgentCapabilities` class represents user agent capabilities used in SSL Labs surveys. It includes fields such as whether it aborts on unrecognized names, supported ALPN protocols, elliptic curves, handshake format, hexadecimal handshake bytes, protocol ranges, ID, grade level, and minimum protocol version. The class uses Moshi JSON serialization for data exchange.</t>
        </is>
      </c>
      <c r="E1159" t="n">
        <v>0.0036</v>
      </c>
      <c r="F1159" t="n">
        <v>0.0339</v>
      </c>
      <c r="G1159" t="n">
        <v>0.0813</v>
      </c>
      <c r="H1159" t="inlineStr">
        <is>
          <t>This repository contains backend software components that implement core algorithms. The complexity of these implementations is O(N), indicating they scale linearly with input size.</t>
        </is>
      </c>
      <c r="I1159" t="n">
        <v>0.0104</v>
      </c>
      <c r="J1159" t="n">
        <v>0.2424</v>
      </c>
      <c r="K1159" t="n">
        <v>0.2083</v>
      </c>
      <c r="L1159" t="inlineStr">
        <is>
          <t>The `UserAgentCapabilities` class encapsulates various SSL/TLS capabilities reported by user agents during SSL Labs' server scan tests. It includes fields such as whether the agent aborts when encountering unrecognized names, supported ALPN protocols, elliptic curves, handshake format, hexadecimal representation of the handshake bytes, protocol versions, unique identifier, grade level, and minimum supported protocol version. The class uses Moshi</t>
        </is>
      </c>
      <c r="M1159" t="n">
        <v>0.0031</v>
      </c>
      <c r="N1159" t="n">
        <v>0.0299</v>
      </c>
      <c r="O1159" t="n">
        <v>0.0769</v>
      </c>
    </row>
    <row r="1160">
      <c r="A1160" t="inlineStr">
        <is>
          <t>okhttp</t>
        </is>
      </c>
      <c r="B1160" t="inlineStr">
        <is>
          <t>samples/crawler/src/main/java/okhttp3/sample/Crawler.java</t>
        </is>
      </c>
      <c r="C1160">
        <f>HYPERLINK("https://github.com/square/okhttp/blob/master/samples/crawler/src/main/java/okhttp3/sample/Crawler.java")</f>
        <v/>
      </c>
      <c r="D1160" t="inlineStr">
        <is>
          <t>The provided Java code defines a class `OkHttpSample` within the package `okhttp3.sample`. It includes several utility methods for handling files, queues, and concurrent operations using Java's concurrency utilities such as `ExecutorService`, `LinkedBlockingQueue`, and `ConcurrentHashMap`.
Key functionalities include:
1. **File Handling**: Methods like `copyFile` and `deleteDirectory` allow copying</t>
        </is>
      </c>
      <c r="E1160" t="n">
        <v>0.0039</v>
      </c>
      <c r="F1160" t="n">
        <v>0.0702</v>
      </c>
      <c r="G1160" t="n">
        <v>0.08400000000000001</v>
      </c>
      <c r="H1160" t="inlineStr">
        <is>
          <t>Manages a collection of files using concurrent data structures and provides methods for adding, removing, and retrieving files.</t>
        </is>
      </c>
      <c r="I1160" t="n">
        <v>0.0108</v>
      </c>
      <c r="J1160" t="n">
        <v>0.0769</v>
      </c>
      <c r="K1160" t="n">
        <v>0.1111</v>
      </c>
      <c r="L1160" t="inlineStr">
        <is>
          <t>The provided Java code implements a simple HTTP client using OkHttp library. It includes methods for making GET requests, handling responses, and managing concurrent execution. The code uses blocking queues and thread pools to handle multiple requests efficiently.</t>
        </is>
      </c>
      <c r="M1160" t="n">
        <v>0.0058</v>
      </c>
      <c r="N1160" t="n">
        <v>0.08699999999999999</v>
      </c>
      <c r="O1160" t="n">
        <v>0.1364</v>
      </c>
    </row>
    <row r="1161">
      <c r="A1161" t="inlineStr">
        <is>
          <t>okhttp</t>
        </is>
      </c>
      <c r="B1161" t="inlineStr">
        <is>
          <t>samples/static-server/src/main/java/okhttp3/sample/SampleServer.java</t>
        </is>
      </c>
      <c r="C1161">
        <f>HYPERLINK("https://github.com/square/okhttp/blob/master/samples/static-server/src/main/java/okhttp3/sample/SampleServer.java")</f>
        <v/>
      </c>
      <c r="D1161" t="inlineStr">
        <is>
          <t>The provided code snippet appears to be part of a Java application that sets up SSL/TLS using KeyStore and TrustManagerFactory from the OkHttp library. It initializes an SSL context based on a keystore containing private keys and certificates, which can then be used to secure network connections. The complexity of the implementation is O(1), as it involves a fixed number of operations regardless of input size.</t>
        </is>
      </c>
      <c r="E1161" t="n">
        <v>0.0028</v>
      </c>
      <c r="F1161" t="n">
        <v>0.0263</v>
      </c>
      <c r="G1161" t="n">
        <v>0.1087</v>
      </c>
      <c r="H1161" t="inlineStr">
        <is>
          <t>Implements core algorithms for backend software components. Complexity depends on the implementation details but generally involves handling security keys, SSL contexts, and other cryptographic operations.</t>
        </is>
      </c>
      <c r="I1161" t="n">
        <v>0.01</v>
      </c>
      <c r="J1161" t="n">
        <v>0.1818</v>
      </c>
      <c r="K1161" t="n">
        <v>0.3254</v>
      </c>
      <c r="L1161" t="inlineStr">
        <is>
          <t>This Java code snippet demonstrates how to configure SSL/TLS settings using KeyStore and TrustManagerFactory from the OkHttp library. It sets up secure connections by loading keys and certificates into a custom SSL context, which can be used to create HTTPS clients. The code handles various exceptions related to file reading and security configurations, ensuring robustness against potential errors during setup.</t>
        </is>
      </c>
      <c r="M1161" t="n">
        <v>0.0036</v>
      </c>
      <c r="N1161" t="n">
        <v>0.058</v>
      </c>
      <c r="O1161" t="n">
        <v>0.1136</v>
      </c>
    </row>
    <row r="1162">
      <c r="A1162" t="inlineStr">
        <is>
          <t>okhttp</t>
        </is>
      </c>
      <c r="B1162" t="inlineStr">
        <is>
          <t>samples/compare/src/test/kotlin/okhttp3/compare/JavaHttpClientTest.kt</t>
        </is>
      </c>
      <c r="C1162">
        <f>HYPERLINK("https://github.com/square/okhttp/blob/master/samples/compare/src/test/kotlin/okhttp3/compare/JavaHttpClientTest.kt")</f>
        <v/>
      </c>
      <c r="D1162" t="inlineStr">
        <is>
          <t>The provided code defines a test suite for comparing HTTP responses using OkHttp and MockWebServer libraries. It includes assertions to verify that the response body matches expected values, handles redirects correctly, and checks for null responses appropriately. The complexity is O(N), where N represents the number of tests executed.</t>
        </is>
      </c>
      <c r="E1162" t="n">
        <v>0.0037</v>
      </c>
      <c r="F1162" t="n">
        <v>0.0345</v>
      </c>
      <c r="G1162" t="n">
        <v>0.08260000000000001</v>
      </c>
      <c r="H1162" t="inlineStr">
        <is>
          <t>This repository contains backend software components that implement core algorithms using Java's `java.net.http` package. The complexity is high due to the implementation of multiple algorithms within the codebase.</t>
        </is>
      </c>
      <c r="I1162" t="n">
        <v>0.008800000000000001</v>
      </c>
      <c r="J1162" t="n">
        <v>0.2051</v>
      </c>
      <c r="K1162" t="n">
        <v>0.25</v>
      </c>
      <c r="L1162" t="inlineStr">
        <is>
          <t>This Java package `okhttp3.compare` includes tests that verify the correctness of HTTP client implementations using OkHttp library. The tests utilize MockWebServer for simulating server responses and AssertK assertions for verifying expected outcomes. The code size is 1000 lines, focusing on implementing core algorithms related to HTTP request handling and response verification.</t>
        </is>
      </c>
      <c r="M1162" t="n">
        <v>0.0047</v>
      </c>
      <c r="N1162" t="n">
        <v>0.1333</v>
      </c>
      <c r="O1162" t="n">
        <v>0.3024</v>
      </c>
    </row>
    <row r="1163">
      <c r="A1163" t="inlineStr">
        <is>
          <t>okhttp</t>
        </is>
      </c>
      <c r="B1163" t="inlineStr">
        <is>
          <t>samples/compare/src/test/kotlin/okhttp3/compare/JettyHttpClientTest.kt</t>
        </is>
      </c>
      <c r="C1163">
        <f>HYPERLINK("https://github.com/square/okhttp/blob/master/samples/compare/src/test/kotlin/okhttp3/compare/JettyHttpClientTest.kt")</f>
        <v/>
      </c>
      <c r="D1163" t="inlineStr">
        <is>
          <t>The code appears to be part of a project that includes tests for comparing HTTP responses using OkHttp and MockWebServer. It uses AssertK assertions to verify the correctness of the responses. The complexity is O(N), indicating linear time complexity, which suggests it processes data sequentially. The comments indicate that the implementation focuses on core algorithms related to HTTP response comparison.</t>
        </is>
      </c>
      <c r="E1163" t="n">
        <v>0.0036</v>
      </c>
      <c r="F1163" t="n">
        <v>0.058</v>
      </c>
      <c r="G1163" t="n">
        <v>0.1515</v>
      </c>
      <c r="H1163" t="inlineStr">
        <is>
          <t>The repository contains backend software components implementing core algorithms. The complexity is O(N), indicating linear time complexity. The README provides information about the repository's content and structure.</t>
        </is>
      </c>
      <c r="I1163" t="n">
        <v>0.0092</v>
      </c>
      <c r="J1163" t="n">
        <v>0.2162</v>
      </c>
      <c r="K1163" t="n">
        <v>0.3188</v>
      </c>
      <c r="L1163" t="inlineStr">
        <is>
          <t>This Java code snippet from the `okhttp3.compare` package demonstrates how to test HTTP requests using MockWebServer and AssertK assertions. It sets up a MockWebServer instance, sends a GET request, and verifies that the response matches expected criteria such as status code, headers, and body content. The tests utilize JUnit 5 annotations for setup and teardown, ensuring proper resource management during testing</t>
        </is>
      </c>
      <c r="M1163" t="n">
        <v>0.0036</v>
      </c>
      <c r="N1163" t="n">
        <v>0.0571</v>
      </c>
      <c r="O1163" t="n">
        <v>0.1128</v>
      </c>
    </row>
    <row r="1164">
      <c r="A1164" t="inlineStr">
        <is>
          <t>okhttp</t>
        </is>
      </c>
      <c r="B1164" t="inlineStr">
        <is>
          <t>samples/compare/src/test/kotlin/okhttp3/compare/OkHttpClientTest.kt</t>
        </is>
      </c>
      <c r="C1164">
        <f>HYPERLINK("https://github.com/square/okhttp/blob/master/samples/compare/src/test/kotlin/okhttp3/compare/OkHttpClientTest.kt")</f>
        <v/>
      </c>
      <c r="D1164" t="inlineStr">
        <is>
          <t>The code provides unit tests for OkHttp using MockWebServer. It includes assertions to verify that responses from mocked HTTP requests match expected values. The complexity is O(N), where N represents the number of test cases.</t>
        </is>
      </c>
      <c r="E1164" t="n">
        <v>0</v>
      </c>
      <c r="F1164" t="n">
        <v>0</v>
      </c>
      <c r="G1164" t="n">
        <v>0.0467</v>
      </c>
      <c r="H1164" t="inlineStr">
        <is>
          <t>Contains backend software components implementing core algorithms. Complexity is O(N). Comments describe implementation details. Initial codebase commit. Code size is 1000 lines.</t>
        </is>
      </c>
      <c r="I1164" t="n">
        <v>0.0103</v>
      </c>
      <c r="J1164" t="n">
        <v>0.1935</v>
      </c>
      <c r="K1164" t="n">
        <v>0.1596</v>
      </c>
      <c r="L1164" t="inlineStr">
        <is>
          <t>The code provides tests for the `OkHttp` library using the `MockWebServer`. It includes assertions to verify that responses from mocked HTTP requests match expected values, ensuring the correctness of the client's interactions with servers. The tests utilize the `assertk` assertion library for fluent testing and the `mockwebserver3` framework for simulating server responses during unit testing.</t>
        </is>
      </c>
      <c r="M1164" t="n">
        <v>0.0033</v>
      </c>
      <c r="N1164" t="n">
        <v>0.0312</v>
      </c>
      <c r="O1164" t="n">
        <v>0.07870000000000001</v>
      </c>
    </row>
    <row r="1165">
      <c r="A1165" t="inlineStr">
        <is>
          <t>okhttp</t>
        </is>
      </c>
      <c r="B1165" t="inlineStr">
        <is>
          <t>samples/compare/src/test/kotlin/okhttp3/compare/ApacheHttpClientTest.kt</t>
        </is>
      </c>
      <c r="C1165">
        <f>HYPERLINK("https://github.com/square/okhttp/blob/master/samples/compare/src/test/kotlin/okhttp3/compare/ApacheHttpClientTest.kt")</f>
        <v/>
      </c>
      <c r="D1165" t="inlineStr">
        <is>
          <t>The provided code is part of a project that includes backend software components. It uses MockWebServer from mockwebserver3 to simulate HTTP requests and responses, along with Apache HttpClient to make actual HTTP requests. The code also utilizes assertions from assertk to verify the correctness of the simulated and real HTTP interactions. The complexity of the implementation is O(N), indicating linear time complexity based on some input size N</t>
        </is>
      </c>
      <c r="E1165" t="n">
        <v>0.0032</v>
      </c>
      <c r="F1165" t="n">
        <v>0.0519</v>
      </c>
      <c r="G1165" t="n">
        <v>0.1429</v>
      </c>
      <c r="H1165" t="inlineStr">
        <is>
          <t>This repository contains backend software components that implement core algorithms using Apache HttpClient. The README provides information about the project's license, package structure, and includes examples of how to use the library through unit tests. Complexity is rated as O(N), indicating linear time complexity for certain operations within the implementation.</t>
        </is>
      </c>
      <c r="I1165" t="n">
        <v>0.0052</v>
      </c>
      <c r="J1165" t="n">
        <v>0.1667</v>
      </c>
      <c r="K1165" t="n">
        <v>0.3495</v>
      </c>
      <c r="L1165" t="inlineStr">
        <is>
          <t>The code provides a set of unit tests using AssertK assertions to verify the correctness of HTTP GET requests made via OkHttp client against a MockWebServer instance. The tests check if responses contain expected headers and body content.</t>
        </is>
      </c>
      <c r="M1165" t="n">
        <v>0.0049</v>
      </c>
      <c r="N1165" t="n">
        <v>0.0435</v>
      </c>
      <c r="O1165" t="n">
        <v>0.09089999999999999</v>
      </c>
    </row>
    <row r="1166">
      <c r="A1166" t="inlineStr">
        <is>
          <t>okhttp</t>
        </is>
      </c>
      <c r="B1166" t="inlineStr">
        <is>
          <t>samples/simple-client/src/main/java/okhttp3/sample/OkHttpContributors.java</t>
        </is>
      </c>
      <c r="C1166">
        <f>HYPERLINK("https://github.com/square/okhttp/blob/master/samples/simple-client/src/main/java/okhttp3/sample/OkHttpContributors.java")</f>
        <v/>
      </c>
      <c r="D1166" t="inlineStr">
        <is>
          <t>The provided Java code defines a utility class `OkHttpContributors` that uses the OkHttp library to fetch contributors from a GitHub repository using the REST API. The class makes an HTTP GET request to the specified endpoint (`https://api.github.com/repos/square/okhttp/contributors`) and parses the JSON response into a list of contributor objects using Moshi, a modern JSON parsing library.</t>
        </is>
      </c>
      <c r="E1166" t="n">
        <v>0.0033</v>
      </c>
      <c r="F1166" t="n">
        <v>0.0286</v>
      </c>
      <c r="G1166" t="n">
        <v>0.07870000000000001</v>
      </c>
      <c r="H1166" t="inlineStr">
        <is>
          <t>This repository contains backend software components that implement core algorithms using Java and libraries such as OkHttp for HTTP requests and Moshi for JSON parsing. The complexity of the implementation is O(N), indicating it scales linearly with input size.</t>
        </is>
      </c>
      <c r="I1166" t="n">
        <v>0.0067</v>
      </c>
      <c r="J1166" t="n">
        <v>0.2083</v>
      </c>
      <c r="K1166" t="n">
        <v>0.2703</v>
      </c>
      <c r="L1166" t="inlineStr">
        <is>
          <t>This Java application uses OkHttp to fetch contributors from GitHub repositories using their API endpoint. It utilizes Moshi for JSON parsing and handles HTTP requests and responses efficiently. The code processes the response data to extract contributor details such as login names, avatar URLs, and contribution counts.</t>
        </is>
      </c>
      <c r="M1166" t="n">
        <v>0.0046</v>
      </c>
      <c r="N1166" t="n">
        <v>0.0727</v>
      </c>
      <c r="O1166" t="n">
        <v>0.1261</v>
      </c>
    </row>
    <row r="1167">
      <c r="A1167" t="inlineStr">
        <is>
          <t>okhttp</t>
        </is>
      </c>
      <c r="B1167" t="inlineStr">
        <is>
          <t>samples/slack/src/main/java/okhttp3/slack/SlackClient.java</t>
        </is>
      </c>
      <c r="C1167">
        <f>HYPERLINK("https://github.com/square/okhttp/blob/master/samples/slack/src/main/java/okhttp3/slack/SlackClient.java")</f>
        <v/>
      </c>
      <c r="D1167" t="inlineStr">
        <is>
          <t>The `SlackClient` class provides a connection to Slack as a single user using the `SlackApi`. It manages authentication sessions through an `OAuthSessionFactory`, which handles token management and refreshing. The class includes methods for making HTTP requests to Slack's API endpoints while ensuring proper handling of timeouts and interruptions.</t>
        </is>
      </c>
      <c r="E1167" t="n">
        <v>0.0038</v>
      </c>
      <c r="F1167" t="n">
        <v>0.0351</v>
      </c>
      <c r="G1167" t="n">
        <v>0.0833</v>
      </c>
      <c r="H1167" t="inlineStr">
        <is>
          <t>The provided code defines a `SlackClient` class that represents a connection to Slack as a single user. It includes methods for interacting with the Slack API using OAuth sessions. The complexity is high due to its implementation of core algorithms, and it has been committed multiple times since its initial creation. The total size of the codebase is large, indicating extensive development work.</t>
        </is>
      </c>
      <c r="I1167" t="n">
        <v>0.0034</v>
      </c>
      <c r="J1167" t="n">
        <v>0.08450000000000001</v>
      </c>
      <c r="K1167" t="n">
        <v>0.1481</v>
      </c>
      <c r="L1167" t="inlineStr">
        <is>
          <t>The `SlackClient` class provides a connection to Slack as a single user using OAuth authentication. It initializes with a `SlackApi`, manages sessions through an `OAuthSessionFactory`, and ensures thread safety around session management. The client handles HTTP requests via the `HttpUrl` and uses timeouts defined by the `Timeout` object.</t>
        </is>
      </c>
      <c r="M1167" t="n">
        <v>0.0038</v>
      </c>
      <c r="N1167" t="n">
        <v>0.0357</v>
      </c>
      <c r="O1167" t="n">
        <v>0.0833</v>
      </c>
    </row>
    <row r="1168">
      <c r="A1168" t="inlineStr">
        <is>
          <t>openmicroscopy</t>
        </is>
      </c>
      <c r="B1168" t="inlineStr">
        <is>
          <t>build.py</t>
        </is>
      </c>
      <c r="C1168">
        <f>HYPERLINK("https://github.com/ome/openmicroscopy/blob/master/build.py")</f>
        <v/>
      </c>
      <c r="D1168" t="inlineStr">
        <is>
          <t>The provided Python script defines functions for executing commands using `subprocess`, handling notifications with Growl on non-Windows platforms, and managing environment variables. It also includes a placeholder comment indicating that it implements core algorithms. The script does not provide specific details about its functionality beyond these basic operations.</t>
        </is>
      </c>
      <c r="E1168" t="n">
        <v>0.009599999999999999</v>
      </c>
      <c r="F1168" t="n">
        <v>0.1053</v>
      </c>
      <c r="G1168" t="n">
        <v>0.263</v>
      </c>
      <c r="H1168" t="inlineStr">
        <is>
          <t>Manages backend software components with core algorithm implementations.</t>
        </is>
      </c>
      <c r="I1168" t="n">
        <v>0.033</v>
      </c>
      <c r="J1168" t="n">
        <v>0.25</v>
      </c>
      <c r="K1168" t="n">
        <v>0.125</v>
      </c>
      <c r="L1168" t="inlineStr">
        <is>
          <t>This Python script provides utility functions for executing commands using `subprocess` and handling notifications through GrowlNotify on non-Windows platforms. It includes a function to open processes and another to wait for them to complete, exiting with the process's exit code if it fails. The `notification` function displays messages via GrowlNotify unless the environment variable `OMERO_QUIET` is set or the</t>
        </is>
      </c>
      <c r="M1168" t="n">
        <v>0.0037</v>
      </c>
      <c r="N1168" t="n">
        <v>0.0857</v>
      </c>
      <c r="O1168" t="n">
        <v>0.1145</v>
      </c>
    </row>
    <row r="1169">
      <c r="A1169" t="inlineStr">
        <is>
          <t>openmicroscopy</t>
        </is>
      </c>
      <c r="B1169" t="inlineStr">
        <is>
          <t>sql/psql/OMERO4.2__0/t/OMERO4.1__0.py</t>
        </is>
      </c>
      <c r="C1169">
        <f>HYPERLINK("https://github.com/ome/openmicroscopy/blob/master/sql/psql/OMERO4.2__0/t/OMERO4.1__0.py")</f>
        <v/>
      </c>
      <c r="D1169" t="inlineStr">
        <is>
          <t>The Python script connects to an OME server running on localhost using the `omero` library. It creates a session with the username "root" and password "ome". The script then retrieves or creates users named "owner", "nonOwner", and a group named "group". If any user or group does not exist, it initializes them with default names. Finally, it sets the group ownership</t>
        </is>
      </c>
      <c r="E1169" t="n">
        <v>0.003</v>
      </c>
      <c r="F1169" t="n">
        <v>0.029</v>
      </c>
      <c r="G1169" t="n">
        <v>0.0752</v>
      </c>
      <c r="H1169" t="inlineStr">
        <is>
          <t>Manages user and group creation in an OMERO server using Python.</t>
        </is>
      </c>
      <c r="I1169" t="n">
        <v>0.0189</v>
      </c>
      <c r="J1169" t="n">
        <v>0.1053</v>
      </c>
      <c r="K1169" t="n">
        <v>0.1205</v>
      </c>
      <c r="L1169" t="inlineStr">
        <is>
          <t>This Python script uses the OMERO API to manage users and groups within an Open Microscopy Environment (OME). It creates a session with the server at localhost using credentials for the root user. The script then retrieves existing users named 'owner' and 'nonOwner', creating new ones if they don't exist. A group named 'group' is also created if it doesn't already exist, and the</t>
        </is>
      </c>
      <c r="M1169" t="n">
        <v>0.0034</v>
      </c>
      <c r="N1169" t="n">
        <v>0.0541</v>
      </c>
      <c r="O1169" t="n">
        <v>0.1103</v>
      </c>
    </row>
    <row r="1170">
      <c r="A1170" t="inlineStr">
        <is>
          <t>openmicroscopy</t>
        </is>
      </c>
      <c r="B1170" t="inlineStr">
        <is>
          <t>sql/misc/enums.py</t>
        </is>
      </c>
      <c r="C1170">
        <f>HYPERLINK("https://github.com/ome/openmicroscopy/blob/master/sql/misc/enums.py")</f>
        <v/>
      </c>
      <c r="D1170" t="inlineStr">
        <is>
          <t>The provided Python script is designed to manage database connections using PostgreSQL and retrieve information about tables in the public schema that match specified patterns. It includes:
1. **Enum Definitions**: A predefined list of enums (`ENUMS`) which are sorted alphabetically.
2. **Database Connection Function**: `connect` function establishes a connection to a PostgreSQL database with given credentials.
3. **Table Listing Function**: `</t>
        </is>
      </c>
      <c r="E1170" t="n">
        <v>0.003</v>
      </c>
      <c r="F1170" t="n">
        <v>0.0294</v>
      </c>
      <c r="G1170" t="n">
        <v>0.0752</v>
      </c>
      <c r="H1170" t="inlineStr">
        <is>
          <t>This repository contains backend software components with implementations of core algorithms. The README provides information about the project's structure and complexity, while the comments describe the implementation details.</t>
        </is>
      </c>
      <c r="I1170" t="n">
        <v>0.0095</v>
      </c>
      <c r="J1170" t="n">
        <v>0.2703</v>
      </c>
      <c r="K1170" t="n">
        <v>0.25</v>
      </c>
      <c r="L1170" t="inlineStr">
        <is>
          <t>This Python script defines functions for connecting to a PostgreSQL database and listing tables within a specified schema that match a given pattern. It uses regular expressions to extract table names from SQL files containing enums and sorts them alphabetically. The `connect` function establishes a connection using the provided credentials, while the `list` function retrieves all public tables whose names contain the specified substring.</t>
        </is>
      </c>
      <c r="M1170" t="n">
        <v>0.0034</v>
      </c>
      <c r="N1170" t="n">
        <v>0.0833</v>
      </c>
      <c r="O1170" t="n">
        <v>0.1103</v>
      </c>
    </row>
    <row r="1171">
      <c r="A1171" t="inlineStr">
        <is>
          <t>openmicroscopy</t>
        </is>
      </c>
      <c r="B1171" t="inlineStr">
        <is>
          <t>lib/IVY1016/EclipseClasspath.java</t>
        </is>
      </c>
      <c r="C1171">
        <f>HYPERLINK("https://github.com/ome/openmicroscopy/blob/master/lib/IVY1016/EclipseClasspath.java")</f>
        <v/>
      </c>
      <c r="D1171" t="inlineStr">
        <is>
          <t>The provided code appears to be part of a Java project that implements core algorithms within the `IVY1016` package. It includes methods for handling files, such as reading from and writing to them using `FileWriter`. The complexity of the implementation is O(N), indicating linear time complexity relative to the size of the input data. The comments suggest that this code forms the foundation for implementing</t>
        </is>
      </c>
      <c r="E1171" t="n">
        <v>0.0066</v>
      </c>
      <c r="F1171" t="n">
        <v>0.08110000000000001</v>
      </c>
      <c r="G1171" t="n">
        <v>0.2715</v>
      </c>
      <c r="H1171" t="inlineStr">
        <is>
          <t>The repository contains backend software components implementing core algorithms. Complexity is O(N), indicating linear time complexity. Comments describe the implementation of these algorithms. Initial codebase commit was made. Code size is 1000 lines.</t>
        </is>
      </c>
      <c r="I1171" t="n">
        <v>0.0067</v>
      </c>
      <c r="J1171" t="n">
        <v>0.1429</v>
      </c>
      <c r="K1171" t="n">
        <v>0.1429</v>
      </c>
      <c r="L1171" t="inlineStr">
        <is>
          <t>This Java package contains backend software components that implement core algorithms using a HashMap data structure to manage key-value pairs efficiently. It includes methods for reading from and writing to files, as well as iterating over collections of data. The code complexity is O(N), and existing comments provide implementation details.</t>
        </is>
      </c>
      <c r="M1171" t="n">
        <v>0.0052</v>
      </c>
      <c r="N1171" t="n">
        <v>0.1667</v>
      </c>
      <c r="O1171" t="n">
        <v>0.2459</v>
      </c>
    </row>
    <row r="1172">
      <c r="A1172" t="inlineStr">
        <is>
          <t>openmicroscopy</t>
        </is>
      </c>
      <c r="B1172" t="inlineStr">
        <is>
          <t>lib/repository/omero.java</t>
        </is>
      </c>
      <c r="C1172">
        <f>HYPERLINK("https://github.com/ome/openmicroscopy/blob/master/lib/repository/omero.java")</f>
        <v/>
      </c>
      <c r="D1172" t="inlineStr">
        <is>
          <t>The provided Java code defines a build tool that launches Apache Ant with a specific environment setup. It sets up necessary system properties, locates required libraries including those from the JDK tools, and configures the classpath for running Ant. The implementation differs from the standard Ant Launcher due to knowledge about deployment and runtime specifics.</t>
        </is>
      </c>
      <c r="E1172" t="n">
        <v>0.0033</v>
      </c>
      <c r="F1172" t="n">
        <v>0.0635</v>
      </c>
      <c r="G1172" t="n">
        <v>0.1181</v>
      </c>
      <c r="H1172" t="inlineStr">
        <is>
          <t>The repository contains backend software components implementing core algorithms. Complexity is O(N). Comments describe the implementation of core algorithms. Initial codebase commit. Code size is 1000 lines.</t>
        </is>
      </c>
      <c r="I1172" t="n">
        <v>0.0083</v>
      </c>
      <c r="J1172" t="n">
        <v>0.1667</v>
      </c>
      <c r="K1172" t="n">
        <v>0.1515</v>
      </c>
      <c r="L1172" t="inlineStr">
        <is>
          <t>The `BuildTool` class launches Apache Ant with a customized environment tailored for deployment and execution within a specific setup. It sets up necessary system properties, locates required libraries including those from the Java Development Kit (JDK), and configures the classpath accordingly. The workflow closely follows that of the standard Ant Launcher while optimizing for the unique deployment context.</t>
        </is>
      </c>
      <c r="M1172" t="n">
        <v>0.0031</v>
      </c>
      <c r="N1172" t="n">
        <v>0.0303</v>
      </c>
      <c r="O1172" t="n">
        <v>0.0385</v>
      </c>
    </row>
    <row r="1173">
      <c r="A1173" t="inlineStr">
        <is>
          <t>openmicroscopy</t>
        </is>
      </c>
      <c r="B1173" t="inlineStr">
        <is>
          <t>docs/styles/CodeTemplate.java</t>
        </is>
      </c>
      <c r="C1173">
        <f>HYPERLINK("https://github.com/ome/openmicroscopy/blob/master/docs/styles/CodeTemplate.java")</f>
        <v/>
      </c>
      <c r="D1173" t="inlineStr">
        <is>
          <t>The provided Java code defines a package named `org.openmicroscopy.package.ClassName` which appears to contain class definitions related to some unspecified object or system. The code includes comments indicating its copyright notice, license information, and purpose. It also mentions that the implementation involves complex algorithms and has been committed initially. However, due to incomplete import statements (`imp`) at the end, the full functionality cannot be</t>
        </is>
      </c>
      <c r="E1173" t="n">
        <v>0.0034</v>
      </c>
      <c r="F1173" t="n">
        <v>0.0541</v>
      </c>
      <c r="G1173" t="n">
        <v>0.1111</v>
      </c>
      <c r="H1173" t="inlineStr">
        <is>
          <t>The provided code implements core algorithms for a backend software component, using Java reflection for dynamic class manipulation. The complexity is O(N), indicating linear time complexity based on input size N. The comments describe the implementation of core algorithms, while the README provides information about the repository containing backend software components.</t>
        </is>
      </c>
      <c r="I1173" t="n">
        <v>0.008399999999999999</v>
      </c>
      <c r="J1173" t="n">
        <v>0.1</v>
      </c>
      <c r="K1173" t="n">
        <v>0.1626</v>
      </c>
      <c r="L1173" t="inlineStr">
        <is>
          <t>This Java class provides core algorithm implementations within the `org.openmicroscopy.package` package. It includes methods for handling various data processing tasks efficiently, leveraging reflection for dynamic method invocation where necessary. The implementation complexity is O(N), indicating linear time complexity, which is suitable for typical use cases involving large datasets.</t>
        </is>
      </c>
      <c r="M1173" t="n">
        <v>0.0045</v>
      </c>
      <c r="N1173" t="n">
        <v>0.0678</v>
      </c>
      <c r="O1173" t="n">
        <v>0.1667</v>
      </c>
    </row>
    <row r="1174">
      <c r="A1174" t="inlineStr">
        <is>
          <t>openmicroscopy</t>
        </is>
      </c>
      <c r="B1174" t="inlineStr">
        <is>
          <t>docs/sphinx-api/conf.py</t>
        </is>
      </c>
      <c r="C1174">
        <f>HYPERLINK("https://github.com/ome/openmicroscopy/blob/master/docs/sphinx-api/conf.py")</f>
        <v/>
      </c>
      <c r="D1174" t="inlineStr">
        <is>
          <t>The provided code is a Sphinx configuration file for building the documentation of the OMERO.py API. It sets up the environment to include paths for the OMERO library and Django settings module, defines the author as "The Open Microscopy Environment," and specifies the complexity of the implementation as O(N). The README indicates that this repository contains backend software components, while the comments describe the implementation of core algorithms.</t>
        </is>
      </c>
      <c r="E1174" t="n">
        <v>0.0035</v>
      </c>
      <c r="F1174" t="n">
        <v>0.1026</v>
      </c>
      <c r="G1174" t="n">
        <v>0.1786</v>
      </c>
      <c r="H1174" t="inlineStr">
        <is>
          <t>Manages backend software components for the Open Microscopy Environment. Complexity involves implementing core algorithms. Initial codebase commit.</t>
        </is>
      </c>
      <c r="I1174" t="n">
        <v>0.0137</v>
      </c>
      <c r="J1174" t="n">
        <v>0.24</v>
      </c>
      <c r="K1174" t="n">
        <v>0.2871</v>
      </c>
      <c r="L1174" t="inlineStr">
        <is>
          <t>This Python script sets up the environment for building Sphinx documentation for the OMERO web application. It includes paths to necessary libraries and Django settings, preparing the system for generating comprehensive documentation from the project's source files.</t>
        </is>
      </c>
      <c r="M1174" t="n">
        <v>0.006</v>
      </c>
      <c r="N1174" t="n">
        <v>0.08699999999999999</v>
      </c>
      <c r="O1174" t="n">
        <v>0.0917</v>
      </c>
    </row>
    <row r="1175">
      <c r="A1175" t="inlineStr">
        <is>
          <t>openmicroscopy</t>
        </is>
      </c>
      <c r="B1175" t="inlineStr">
        <is>
          <t>examples/Delete/Subclass.py</t>
        </is>
      </c>
      <c r="C1175">
        <f>HYPERLINK("https://github.com/ome/openmicroscopy/blob/master/examples/Delete/Subclass.py")</f>
        <v/>
      </c>
      <c r="D1175" t="inlineStr">
        <is>
          <t>The script uses the OME Bio-Formats library to process image files stored in an OMERO server. It connects to the OMERO server using the `client` class from the `omeropy` module, creates a session with it, and then queues a deletion command for a specific image ID. The deletion is handled by a custom callback class that prints progress updates and error details once the operation completes</t>
        </is>
      </c>
      <c r="E1175" t="n">
        <v>0.0028</v>
      </c>
      <c r="F1175" t="n">
        <v>0.0533</v>
      </c>
      <c r="G1175" t="n">
        <v>0.0725</v>
      </c>
      <c r="H1175" t="inlineStr">
        <is>
          <t>The code is a Python script that uses the Open Microscopy Environment (OME) API to perform image deletion operations. It sets up a connection to the server, defines a subclass of `DeleteCallbackI` to handle deletion results, queues a delete command for an image with ID 1, and then loops to wait for the operation to complete before printing the results or any errors encountered during the process.</t>
        </is>
      </c>
      <c r="I1175" t="n">
        <v>0.0027</v>
      </c>
      <c r="J1175" t="n">
        <v>0.0267</v>
      </c>
      <c r="K1175" t="n">
        <v>0.07190000000000001</v>
      </c>
      <c r="L1175" t="inlineStr">
        <is>
          <t>This Python script uses the OMERO API to initiate a deletion process for images from an OMERO server. It sets up a session, defines a subclass of `DeleteCallbackI` to handle callback events during the deletion process, queues a delete command for a specific image ID, and then enters a loop to wait for the deletion to complete before printing out any error messages or report details. The script is</t>
        </is>
      </c>
      <c r="M1175" t="n">
        <v>0.0031</v>
      </c>
      <c r="N1175" t="n">
        <v>0.0519</v>
      </c>
      <c r="O1175" t="n">
        <v>0.1064</v>
      </c>
    </row>
    <row r="1176">
      <c r="A1176" t="inlineStr">
        <is>
          <t>openmicroscopy</t>
        </is>
      </c>
      <c r="B1176" t="inlineStr">
        <is>
          <t>examples/Delete/Subclass.java</t>
        </is>
      </c>
      <c r="C1176">
        <f>HYPERLINK("https://github.com/ome/openmicroscopy/blob/master/examples/Delete/Subclass.java")</f>
        <v/>
      </c>
      <c r="D1176" t="inlineStr">
        <is>
          <t>The provided Java code is part of an OME (Open Microscopy Environment) application that handles deletion operations in a grid environment using Ice, a middleware for distributed computing. The `Subclass` extends `DeleteCallbackI`, which is responsible for processing the results of delete commands executed by other services. It overrides the `finished` method to print out the number of errors encountered during the deletion process and</t>
        </is>
      </c>
      <c r="E1176" t="n">
        <v>0.0028</v>
      </c>
      <c r="F1176" t="n">
        <v>0.0278</v>
      </c>
      <c r="G1176" t="n">
        <v>0.0735</v>
      </c>
      <c r="H1176" t="inlineStr">
        <is>
          <t>This repository contains backend software components that implement core algorithms. The complexity is O(N), indicating linear time complexity in relation to input size N. The comments describe the implementation as core algorithms. The commits indicate this is the initial codebase commit. The total code size is 1000 lines.</t>
        </is>
      </c>
      <c r="I1176" t="n">
        <v>0.005</v>
      </c>
      <c r="J1176" t="n">
        <v>0.1404</v>
      </c>
      <c r="K1176" t="n">
        <v>0.1667</v>
      </c>
      <c r="L1176" t="inlineStr">
        <is>
          <t>This subclass of `DeleteCallbackI` handles the completion of delete operations by printing error counts and reporting details such as errors, warnings, and actual deletions from the specified handle. It inherits from the superclass constructor and overrides the `finished` method to provide additional logging after the operation completes.</t>
        </is>
      </c>
      <c r="M1176" t="n">
        <v>0.0046</v>
      </c>
      <c r="N1176" t="n">
        <v>0.0727</v>
      </c>
      <c r="O1176" t="n">
        <v>0.08400000000000001</v>
      </c>
    </row>
    <row r="1177">
      <c r="A1177" t="inlineStr">
        <is>
          <t>openmicroscopy</t>
        </is>
      </c>
      <c r="B1177" t="inlineStr">
        <is>
          <t>examples/Delete/Options.py</t>
        </is>
      </c>
      <c r="C1177">
        <f>HYPERLINK("https://github.com/ome/openmicroscopy/blob/master/examples/Delete/Options.py")</f>
        <v/>
      </c>
      <c r="D1177" t="inlineStr">
        <is>
          <t>The Python script uses the OME (Open Microscopy Environment) API to perform a batch deletion operation on annotations associated with images in an OMERO server. It sets up a connection to the server, creates a session, retrieves the delete service, constructs a `DeleteCommand` object specifying that all annotations should be kept ("KEEP"), queues the delete request, waits for it to complete using a callback,</t>
        </is>
      </c>
      <c r="E1177" t="n">
        <v>0</v>
      </c>
      <c r="F1177" t="n">
        <v>0</v>
      </c>
      <c r="G1177" t="n">
        <v>0.0368</v>
      </c>
      <c r="H1177" t="inlineStr">
        <is>
          <t>The provided Python script sets up an OMERO client session to manage image annotations. It deletes images while keeping their associated annotations by specifying the deletion command with the "/Annotation" key set to "KEEP". The script uses callbacks to monitor the progress of the delete operation and handles potential lock timeouts.</t>
        </is>
      </c>
      <c r="I1177" t="n">
        <v>0.0036</v>
      </c>
      <c r="J1177" t="n">
        <v>0.0339</v>
      </c>
      <c r="K1177" t="n">
        <v>0.0813</v>
      </c>
      <c r="L1177" t="inlineStr">
        <is>
          <t>The Python script uses the OMERO library to interact with an Open Microscopy Environment (OME) server. It deletes annotations from images by specifying that they should be kept ("KEEP"). The script establishes a connection to the server, creates a session, retrieves the delete service, constructs a deletion command for specific paths, queues the deletion, waits for completion, and handles any errors that may occur during the process</t>
        </is>
      </c>
      <c r="M1177" t="n">
        <v>0.0027</v>
      </c>
      <c r="N1177" t="n">
        <v>0.0267</v>
      </c>
      <c r="O1177" t="n">
        <v>0.07190000000000001</v>
      </c>
    </row>
    <row r="1178">
      <c r="A1178" t="inlineStr">
        <is>
          <t>openmicroscopy</t>
        </is>
      </c>
      <c r="B1178" t="inlineStr">
        <is>
          <t>examples/Delete/Options.java</t>
        </is>
      </c>
      <c r="C1178">
        <f>HYPERLINK("https://github.com/ome/openmicroscopy/blob/master/examples/Delete/Options.java")</f>
        <v/>
      </c>
      <c r="D1178" t="inlineStr">
        <is>
          <t>The provided Java code defines a class `Options` with a `main` method that initializes an OME (Open Microscopy Environment) client session and uses it to create a service factory proxy. It then attempts to retrieve a delete service from this factory and passes a non-empty options map to specify that all annotations should be kept during deletion operations. This setup allows for controlling how annotations are handled when deleting</t>
        </is>
      </c>
      <c r="E1178" t="n">
        <v>0.0031</v>
      </c>
      <c r="F1178" t="n">
        <v>0.0513</v>
      </c>
      <c r="G1178" t="n">
        <v>0.1064</v>
      </c>
      <c r="H1178" t="inlineStr">
        <is>
          <t>This repository contains backend software components implementing core algorithms with a complexity of O(N). It includes comments explaining the implementation and has been initialized with an initial codebase commit. The total size of the codebase is 1000 lines.</t>
        </is>
      </c>
      <c r="I1178" t="n">
        <v>0.0069</v>
      </c>
      <c r="J1178" t="n">
        <v>0.2128</v>
      </c>
      <c r="K1178" t="n">
        <v>0.2273</v>
      </c>
      <c r="L1178" t="inlineStr">
        <is>
          <t>The `Options` class provides a method to pass a non-empty options map to an OMERO service to keep all annotations. It initializes an OME client session, retrieves the delete service proxy, and sets up options for annotation deletion.</t>
        </is>
      </c>
      <c r="M1178" t="n">
        <v>0.0049</v>
      </c>
      <c r="N1178" t="n">
        <v>0.0426</v>
      </c>
      <c r="O1178" t="n">
        <v>0.09089999999999999</v>
      </c>
    </row>
    <row r="1179">
      <c r="A1179" t="inlineStr">
        <is>
          <t>openmicroscopy</t>
        </is>
      </c>
      <c r="B1179" t="inlineStr">
        <is>
          <t>examples/Delete/Callback.py</t>
        </is>
      </c>
      <c r="C1179">
        <f>HYPERLINK("https://github.com/ome/openmicroscopy/blob/master/examples/Delete/Callback.py")</f>
        <v/>
      </c>
      <c r="D1179" t="inlineStr">
        <is>
          <t>The Python script uses the OME Remote Object Manager (OMERO) API to initiate a deletion process for an image with ID 1 from an OMERO server. It sets up a callback to monitor the progress of the deletion operation and prints out the results once it completes or times out after 5 seconds. The script handles exceptions such as lock timeouts and ensures that resources are properly closed at the end</t>
        </is>
      </c>
      <c r="E1179" t="n">
        <v>0.0026</v>
      </c>
      <c r="F1179" t="n">
        <v>0.0253</v>
      </c>
      <c r="G1179" t="n">
        <v>0.0699</v>
      </c>
      <c r="H1179" t="inlineStr">
        <is>
          <t>This Python script uses the OMERO API to queue a deletion request for an image with ID 1 from the server. It sets up a callback to monitor the progress of the deletion process and prints out error messages, warnings, and the number of images deleted once the operation is complete or times out after 5 seconds. The script handles exceptions related to lock timeouts and ensures that resources are properly closed at</t>
        </is>
      </c>
      <c r="I1179" t="n">
        <v>0.003</v>
      </c>
      <c r="J1179" t="n">
        <v>0.0494</v>
      </c>
      <c r="K1179" t="n">
        <v>0.1034</v>
      </c>
      <c r="L1179" t="inlineStr">
        <is>
          <t>This Python script uses the OMERO API to initiate a deletion process for images by queuing a delete command and monitoring its progress using a callback mechanism. The script connects to an OMERO server, retrieves the delete service, creates a delete command for a specific image ID, queues the deletion, sets up a callback to monitor the operation's status, waits for completion, and then prints the results. Finally</t>
        </is>
      </c>
      <c r="M1179" t="n">
        <v>0.0032</v>
      </c>
      <c r="N1179" t="n">
        <v>0.0519</v>
      </c>
      <c r="O1179" t="n">
        <v>0.1071</v>
      </c>
    </row>
    <row r="1180">
      <c r="A1180" t="inlineStr">
        <is>
          <t>openmicroscopy</t>
        </is>
      </c>
      <c r="B1180" t="inlineStr">
        <is>
          <t>examples/Delete/FileAnnotationDelete.java</t>
        </is>
      </c>
      <c r="C1180">
        <f>HYPERLINK("https://github.com/ome/openmicroscopy/blob/master/examples/Delete/FileAnnotationDelete.java")</f>
        <v/>
      </c>
      <c r="D1180" t="inlineStr">
        <is>
          <t>The provided Java code is part of a system for managing image data in an Open Microscopy Environment (OME). It defines a class `FileAnnotationDelete` that uses the OME API to delete a file annotation from an OME server. The class performs the following steps:
1. Establishes a connection to the OME server using the `ServiceFactory`.
2. Creates a dataset named "File</t>
        </is>
      </c>
      <c r="E1180" t="n">
        <v>0</v>
      </c>
      <c r="F1180" t="n">
        <v>0</v>
      </c>
      <c r="G1180" t="n">
        <v>0.0376</v>
      </c>
      <c r="H1180" t="inlineStr">
        <is>
          <t>Manages backend software components implementing core algorithms. Complexity is O(N), indicating linear time complexity in relation to input size N. Comments describe implementation details, while commits track initial creation of the codebase. The total code size is 1000 lines.</t>
        </is>
      </c>
      <c r="I1180" t="n">
        <v>0.0056</v>
      </c>
      <c r="J1180" t="n">
        <v>0.125</v>
      </c>
      <c r="K1180" t="n">
        <v>0.1351</v>
      </c>
      <c r="L1180" t="inlineStr">
        <is>
          <t>This Java class `FileAnnotationDelete` uses the OMERO API to delete a `FileAnnotation` from an image dataset. It constructs a `Dataset` object, creates a session using the OMERO client, and then sends a `Delete2` command to remove the specified `FileAnnotation`, along with its associated original file and all related annotations. The method handles exceptions such as session creation errors,</t>
        </is>
      </c>
      <c r="M1180" t="n">
        <v>0.0037</v>
      </c>
      <c r="N1180" t="n">
        <v>0.0606</v>
      </c>
      <c r="O1180" t="n">
        <v>0.1154</v>
      </c>
    </row>
    <row r="1181">
      <c r="A1181" t="inlineStr">
        <is>
          <t>openmicroscopy</t>
        </is>
      </c>
      <c r="B1181" t="inlineStr">
        <is>
          <t>examples/Delete/FileAnnotationDelete.py</t>
        </is>
      </c>
      <c r="C1181">
        <f>HYPERLINK("https://github.com/ome/openmicroscopy/blob/master/examples/Delete/FileAnnotationDelete.py")</f>
        <v/>
      </c>
      <c r="D1181" t="inlineStr">
        <is>
          <t>The Python script uses the OMERO client library to create a dataset, upload a file, associate it with a file annotation, and then delete both the file annotation and its associated original file using the `omero.cmd.Delete2` command. The script handles session creation, object saving, and deletion processes in the OMERO server environment.</t>
        </is>
      </c>
      <c r="E1181" t="n">
        <v>0.0035</v>
      </c>
      <c r="F1181" t="n">
        <v>0.0323</v>
      </c>
      <c r="G1181" t="n">
        <v>0.0806</v>
      </c>
      <c r="H1181" t="inlineStr">
        <is>
          <t>The repository contains backend software components that implement core algorithms for processing data using the OMERO platform. The complexity is high due to the extensive number of lines in the code (1000). The comments provide information about the implementation details, while the commits indicate the initial creation of the codebase.</t>
        </is>
      </c>
      <c r="I1181" t="n">
        <v>0.0044</v>
      </c>
      <c r="J1181" t="n">
        <v>0.1034</v>
      </c>
      <c r="K1181" t="n">
        <v>0.1639</v>
      </c>
      <c r="L1181" t="inlineStr">
        <is>
          <t>This Python script uses the OMERO client library to delete a `FileAnnotation` from an OMERO server, including its associated `OriginalFile` and all related annotations. The script uploads a file, creates a dataset, adds the file as a `FileAnnotation`, establishes a link between the dataset and the annotation, submits a deletion command for both the annotation and its linked objects.</t>
        </is>
      </c>
      <c r="M1181" t="n">
        <v>0.0037</v>
      </c>
      <c r="N1181" t="n">
        <v>0.0597</v>
      </c>
      <c r="O1181" t="n">
        <v>0.1145</v>
      </c>
    </row>
    <row r="1182">
      <c r="A1182" t="inlineStr">
        <is>
          <t>openmicroscopy</t>
        </is>
      </c>
      <c r="B1182" t="inlineStr">
        <is>
          <t>examples/Delete/Callback.java</t>
        </is>
      </c>
      <c r="C1182">
        <f>HYPERLINK("https://github.com/ome/openmicroscopy/blob/master/examples/Delete/Callback.java")</f>
        <v/>
      </c>
      <c r="D1182" t="inlineStr">
        <is>
          <t>The provided Java code is part of a system that interacts with an OME (Open Microscopy Environment) server to perform image deletion operations asynchronously. It uses the Ice framework for communication over the network. The `Callback` class demonstrates how to queue a delete operation on images using the `DeleteService`, monitor its progress through callbacks, and retrieve results once the operation completes. The `DeleteCallbackI`</t>
        </is>
      </c>
      <c r="E1182" t="n">
        <v>0.0029</v>
      </c>
      <c r="F1182" t="n">
        <v>0.0282</v>
      </c>
      <c r="G1182" t="n">
        <v>0.0741</v>
      </c>
      <c r="H1182" t="inlineStr">
        <is>
          <t>The repository contains backend software components implementing core algorithms. Complexity is O(N), with comments indicating implementation details. The code size is 1000 lines.</t>
        </is>
      </c>
      <c r="I1182" t="n">
        <v>0.0098</v>
      </c>
      <c r="J1182" t="n">
        <v>0.1875</v>
      </c>
      <c r="K1182" t="n">
        <v>0.1579</v>
      </c>
      <c r="L1182" t="inlineStr">
        <is>
          <t>The `Callback` class uses the default `DeleteCallbackI` instance to manage image deletion requests through the OMERO server API. It establishes a connection to the server, queues a delete command for an image ID, sets up a callback loop to monitor progress, and retrieves the results once the operation completes. The code handles exceptions related to session creation, permission denial, and server errors during the process.</t>
        </is>
      </c>
      <c r="M1182" t="n">
        <v>0.0028</v>
      </c>
      <c r="N1182" t="n">
        <v>0.0274</v>
      </c>
      <c r="O1182" t="n">
        <v>0.073</v>
      </c>
    </row>
    <row r="1183">
      <c r="A1183" t="inlineStr">
        <is>
          <t>openmicroscopy</t>
        </is>
      </c>
      <c r="B1183" t="inlineStr">
        <is>
          <t>examples/ScreenPlateWell/imagesperwell.py</t>
        </is>
      </c>
      <c r="C1183">
        <f>HYPERLINK("https://github.com/ome/openmicroscopy/blob/master/examples/ScreenPlateWell/imagesperwell.py")</f>
        <v/>
      </c>
      <c r="D1183" t="inlineStr">
        <is>
          <t>The Python script connects to an OME server using the OMERO client library. It retrieves all plates and selects one at random. Then, it uses pagination to load and display up to 12 wells per plate, starting with offset 0. The script handles cases where no plates are found by printing an error message and exiting.</t>
        </is>
      </c>
      <c r="E1183" t="n">
        <v>0.0033</v>
      </c>
      <c r="F1183" t="n">
        <v>0.0312</v>
      </c>
      <c r="G1183" t="n">
        <v>0.0781</v>
      </c>
      <c r="H1183" t="inlineStr">
        <is>
          <t>This repository contains backend software components that implement core algorithms using Python with the OMERO library. The complexity is O(N), indicating linear time operations based on input size. The code includes fetching data related to plates and their wells, demonstrating efficient handling of large datasets through pagination.</t>
        </is>
      </c>
      <c r="I1183" t="n">
        <v>0.0055</v>
      </c>
      <c r="J1183" t="n">
        <v>0.1786</v>
      </c>
      <c r="K1183" t="n">
        <v>0.3583</v>
      </c>
      <c r="L1183" t="inlineStr">
        <is>
          <t>The script connects to an OMERO server using the `omero` library and retrieves all plates. It then selects a random plate and loads up to 12 wells at a time, allowing for pagination through large datasets efficiently. The script uses parameterized queries to handle pagination and joins multiple entities to retrieve detailed well data.</t>
        </is>
      </c>
      <c r="M1183" t="n">
        <v>0.0034</v>
      </c>
      <c r="N1183" t="n">
        <v>0.0323</v>
      </c>
      <c r="O1183" t="n">
        <v>0.0794</v>
      </c>
    </row>
    <row r="1184">
      <c r="A1184" t="inlineStr">
        <is>
          <t>openmicroscopy</t>
        </is>
      </c>
      <c r="B1184" t="inlineStr">
        <is>
          <t>examples/ScreenPlateWell/listplates.py</t>
        </is>
      </c>
      <c r="C1184">
        <f>HYPERLINK("https://github.com/ome/openmicroscopy/blob/master/examples/ScreenPlateWell/listplates.py")</f>
        <v/>
      </c>
      <c r="D1184" t="inlineStr">
        <is>
          <t>The Python script connects to an OMERO server using the OME API, retrieves all plates from the database, and prints their names along with the IDs of each well sample within them. The script uses SQLAlchemy-like ORM features to handle the query and data retrieval efficiently.</t>
        </is>
      </c>
      <c r="E1184" t="n">
        <v>0.004</v>
      </c>
      <c r="F1184" t="n">
        <v>0.0364</v>
      </c>
      <c r="G1184" t="n">
        <v>0.0847</v>
      </c>
      <c r="H1184" t="inlineStr">
        <is>
          <t>The code retrieves information about plates and their associated wells using the OMERO imaging system API. It prints out the names of each plate along with the columns of wells within them. The complexity is O(N), where N is the number of plates retrieved.</t>
        </is>
      </c>
      <c r="I1184" t="n">
        <v>0.0042</v>
      </c>
      <c r="J1184" t="n">
        <v>0.0377</v>
      </c>
      <c r="K1184" t="n">
        <v>0.0862</v>
      </c>
      <c r="L1184" t="inlineStr">
        <is>
          <t>This Python script uses the OMERO imaging system to retrieve and display detailed information about plates stored in an OMERO server. It connects to the server, queries all plates, and prints their names along with the columns of each well within them. The script utilizes OMERO's query service to execute SQL-like queries against the database.</t>
        </is>
      </c>
      <c r="M1184" t="n">
        <v>0.004</v>
      </c>
      <c r="N1184" t="n">
        <v>0.0615</v>
      </c>
      <c r="O1184" t="n">
        <v>0.1181</v>
      </c>
    </row>
    <row r="1185">
      <c r="A1185" t="inlineStr">
        <is>
          <t>openmicroscopy</t>
        </is>
      </c>
      <c r="B1185" t="inlineStr">
        <is>
          <t>examples/ScreenPlateWell/platecodebyimage.py</t>
        </is>
      </c>
      <c r="C1185">
        <f>HYPERLINK("https://github.com/ome/openmicroscopy/blob/master/examples/ScreenPlateWell/platecodebyimage.py")</f>
        <v/>
      </c>
      <c r="D1185" t="inlineStr">
        <is>
          <t>The script connects to an OME server using the OMERO Python client library. It retrieves all images that have associated wells and plates, limiting the results to 100 images starting from offset 0. For each retrieved image, it finds the corresponding plate by querying the database again with the image's ID. The script prints out the number of found images and for each image, its ID along</t>
        </is>
      </c>
      <c r="E1185" t="n">
        <v>0.0027</v>
      </c>
      <c r="F1185" t="n">
        <v>0.0263</v>
      </c>
      <c r="G1185" t="n">
        <v>0.07190000000000001</v>
      </c>
      <c r="H1185" t="inlineStr">
        <is>
          <t>The code retrieves all images associated with their respective wells and plates using OMERO's query service. It then prints out each image ID along with its corresponding plate information. The complexity is O(N), where N is the number of images found.</t>
        </is>
      </c>
      <c r="I1185" t="n">
        <v>0.0045</v>
      </c>
      <c r="J1185" t="n">
        <v>0.0392</v>
      </c>
      <c r="K1185" t="n">
        <v>0.0885</v>
      </c>
      <c r="L1185" t="inlineStr">
        <is>
          <t>This Python script connects to an OMERO server using the `omero` library to retrieve all images that belong to specific plates. It uses SQL queries to find images associated with wells and then retrieves the corresponding plates for each image. The results are printed out, showing which images belong to which plates.</t>
        </is>
      </c>
      <c r="M1185" t="n">
        <v>0.0042</v>
      </c>
      <c r="N1185" t="n">
        <v>0.0667</v>
      </c>
      <c r="O1185" t="n">
        <v>0.121</v>
      </c>
    </row>
    <row r="1186">
      <c r="A1186" t="inlineStr">
        <is>
          <t>openmicroscopy</t>
        </is>
      </c>
      <c r="B1186" t="inlineStr">
        <is>
          <t>examples/OmeroClients/constants.py</t>
        </is>
      </c>
      <c r="C1186">
        <f>HYPERLINK("https://github.com/ome/openmicroscopy/blob/master/examples/OmeroClients/constants.py")</f>
        <v/>
      </c>
      <c r="D1186" t="inlineStr">
        <is>
          <t>The script prints out the maximum message size allowed in kilobytes and the default timeout for creating a session in milliseconds from the OME library constants. The complexity is linear with respect to the number of lines in the code, which is 3. There are no comments or commits mentioned in the README file.</t>
        </is>
      </c>
      <c r="E1186" t="n">
        <v>0.0034</v>
      </c>
      <c r="F1186" t="n">
        <v>0.0323</v>
      </c>
      <c r="G1186" t="n">
        <v>0.0397</v>
      </c>
      <c r="H1186" t="inlineStr">
        <is>
          <t>Prints the maximum message size allowed in kilobytes and the default connect timeout in milliseconds from the `omero` library.</t>
        </is>
      </c>
      <c r="I1186" t="n">
        <v>0.0102</v>
      </c>
      <c r="J1186" t="n">
        <v>0.0741</v>
      </c>
      <c r="K1186" t="n">
        <v>0.0549</v>
      </c>
      <c r="L1186" t="inlineStr">
        <is>
          <t>This Python script prints out the maximum message size allowed by the OMERO library and the default timeout duration for establishing a session. It uses constants from the `omero.constants` module to display these values.</t>
        </is>
      </c>
      <c r="M1186" t="n">
        <v>0.0072</v>
      </c>
      <c r="N1186" t="n">
        <v>0.093</v>
      </c>
      <c r="O1186" t="n">
        <v>0.1887</v>
      </c>
    </row>
    <row r="1187">
      <c r="A1187" t="inlineStr">
        <is>
          <t>openmicroscopy</t>
        </is>
      </c>
      <c r="B1187" t="inlineStr">
        <is>
          <t>examples/OmeroClients/rcollection.java</t>
        </is>
      </c>
      <c r="C1187">
        <f>HYPERLINK("https://github.com/ome/openmicroscopy/blob/master/examples/OmeroClients/rcollection.java")</f>
        <v/>
      </c>
      <c r="D1187" t="inlineStr">
        <is>
          <t>The provided Java code defines a simple program that initializes two data structures: a `RList` (an ordered collection) and a `RSet` (a collection without duplicates). The `RList` is populated with strings "a" and "b", while the `RSet` is initialized with integers 1 and 2 using the RTypes from the OMERO library. This setup appears</t>
        </is>
      </c>
      <c r="E1187" t="n">
        <v>0.004</v>
      </c>
      <c r="F1187" t="n">
        <v>0.0323</v>
      </c>
      <c r="G1187" t="n">
        <v>0.119</v>
      </c>
      <c r="H1187" t="inlineStr">
        <is>
          <t>The code defines a Java class `rcollection` with a `main` method that initializes a `RList` containing strings "a" and "b", and a `RSet` containing integers 1 and 2 using the Open Microscopy Environment (OME) R types library. The README provides information about the repository's purpose as backend software components, mentions the implementation of core algorithms, and</t>
        </is>
      </c>
      <c r="I1187" t="n">
        <v>0.0043</v>
      </c>
      <c r="J1187" t="n">
        <v>0.1231</v>
      </c>
      <c r="K1187" t="n">
        <v>0.1953</v>
      </c>
      <c r="L1187" t="inlineStr">
        <is>
          <t>The `rcollection` class provides methods for creating and manipulating lists and sets using the OMERO RTypes library. The `main` method demonstrates how to create an instance of `RList` containing two strings ("a" and "b") and an instance of `RSet` containing two integers (1 and 2).</t>
        </is>
      </c>
      <c r="M1187" t="n">
        <v>0.0041</v>
      </c>
      <c r="N1187" t="n">
        <v>0.0377</v>
      </c>
      <c r="O1187" t="n">
        <v>0.08550000000000001</v>
      </c>
    </row>
    <row r="1188">
      <c r="A1188" t="inlineStr">
        <is>
          <t>openmicroscopy</t>
        </is>
      </c>
      <c r="B1188" t="inlineStr">
        <is>
          <t>examples/OmeroClients/collectionmethods.py</t>
        </is>
      </c>
      <c r="C1188">
        <f>HYPERLINK("https://github.com/ome/openmicroscopy/blob/master/examples/OmeroClients/collectionmethods.py")</f>
        <v/>
      </c>
      <c r="D1188" t="inlineStr">
        <is>
          <t>The Python script demonstrates how to manage dataset links for images in an OMERO (Open Microscopy Environment) database using the OMEpy library. It shows creating an image, linking it to a dataset, copying its dataset links, unloading them, and handling exceptions when accessing unloaded collections.</t>
        </is>
      </c>
      <c r="E1188" t="n">
        <v>0.0041</v>
      </c>
      <c r="F1188" t="n">
        <v>0.0377</v>
      </c>
      <c r="G1188" t="n">
        <v>0.08550000000000001</v>
      </c>
      <c r="H1188" t="inlineStr">
        <is>
          <t>Manages dataset links for images in an OMERO environment by adding and removing datasets, handling collection operations, and ensuring data persistence.</t>
        </is>
      </c>
      <c r="I1188" t="n">
        <v>0.0091</v>
      </c>
      <c r="J1188" t="n">
        <v>0.06900000000000001</v>
      </c>
      <c r="K1188" t="n">
        <v>0.0538</v>
      </c>
      <c r="L1188" t="inlineStr">
        <is>
          <t>This Python script uses the OMERO imaging library to manage dataset links for images in an OMERO server. It demonstrates creating, adding, copying, unloading, and reloading dataset links for an image object. The script includes assertions to verify the state of the dataset link collection before and after operations.</t>
        </is>
      </c>
      <c r="M1188" t="n">
        <v>0.0045</v>
      </c>
      <c r="N1188" t="n">
        <v>0.0702</v>
      </c>
      <c r="O1188" t="n">
        <v>0.124</v>
      </c>
    </row>
    <row r="1189">
      <c r="A1189" t="inlineStr">
        <is>
          <t>openmicroscopy</t>
        </is>
      </c>
      <c r="B1189" t="inlineStr">
        <is>
          <t>examples/OmeroClients/constructors.java</t>
        </is>
      </c>
      <c r="C1189">
        <f>HYPERLINK("https://github.com/ome/openmicroscopy/blob/master/examples/OmeroClients/constructors.java")</f>
        <v/>
      </c>
      <c r="D1189" t="inlineStr">
        <is>
          <t>The code defines a simple Java program that creates instances of `Image` and `Dataset` classes from the OME-NGR (Open Microscopy Environment - New Generation Registry) library. It then links these two objects together using the `linkDataset` method on the `Image` instance. The complexity is O(1), as it involves creating and linking only two objects.</t>
        </is>
      </c>
      <c r="E1189" t="n">
        <v>0.0034</v>
      </c>
      <c r="F1189" t="n">
        <v>0.0317</v>
      </c>
      <c r="G1189" t="n">
        <v>0.0794</v>
      </c>
      <c r="H1189" t="inlineStr">
        <is>
          <t>Constructs instances of `Image` and `Dataset`, linking them together in an OMERO environment.</t>
        </is>
      </c>
      <c r="I1189" t="n">
        <v>0.0155</v>
      </c>
      <c r="J1189" t="n">
        <v>0.09520000000000001</v>
      </c>
      <c r="K1189" t="n">
        <v>0.0588</v>
      </c>
      <c r="L1189" t="inlineStr">
        <is>
          <t>This Java code defines a simple constructor for creating an `Image` object linked to a specific `Dataset`. The `main` method initializes a new `ImageI` instance and links it to an existing `DatasetI` by setting its ID.</t>
        </is>
      </c>
      <c r="M1189" t="n">
        <v>0.0061</v>
      </c>
      <c r="N1189" t="n">
        <v>0.09089999999999999</v>
      </c>
      <c r="O1189" t="n">
        <v>0.0926</v>
      </c>
    </row>
    <row r="1190">
      <c r="A1190" t="inlineStr">
        <is>
          <t>openmicroscopy</t>
        </is>
      </c>
      <c r="B1190" t="inlineStr">
        <is>
          <t>examples/OmeroClients/enumerations.py</t>
        </is>
      </c>
      <c r="C1190">
        <f>HYPERLINK("https://github.com/ome/openmicroscopy/blob/master/examples/OmeroClients/enumerations.py")</f>
        <v/>
      </c>
      <c r="D1190" t="inlineStr">
        <is>
          <t>The provided Python script is part of a larger project that includes backend software components for image processing using OME (Open Microscopy Environment). The script prints usage information about projection types supported by the `omero` library, specifically focusing on the maximum intensity projection type. This indicates that the script serves as documentation or setup for handling image projections in the context of OME-based applications.</t>
        </is>
      </c>
      <c r="E1190" t="n">
        <v>0.0034</v>
      </c>
      <c r="F1190" t="n">
        <v>0.0274</v>
      </c>
      <c r="G1190" t="n">
        <v>0.1103</v>
      </c>
      <c r="H1190" t="inlineStr">
        <is>
          <t>The provided Python script prints usage information for the `omero` library's projection type constants. It does not contain any complex logic or significant operations; it simply outputs formatted text based on predefined data from the `omero.constants.projection` module. The complexity is low due to its simplicity, with no nested loops or recursive calls.</t>
        </is>
      </c>
      <c r="I1190" t="n">
        <v>0</v>
      </c>
      <c r="J1190" t="n">
        <v>0.0317</v>
      </c>
      <c r="K1190" t="n">
        <v>0</v>
      </c>
      <c r="L1190" t="inlineStr">
        <is>
          <t>The Python script `i_projection.py` prints usage instructions for the maximum intensity projection feature available through the OMERO library, which is used for processing image data in biological imaging applications. The script uses the `omero.constants.projection.ProjectionType.MAXIMUMINTENSITY` constant to display how to invoke the maximum intensity projection function correctly.</t>
        </is>
      </c>
      <c r="M1190" t="n">
        <v>0</v>
      </c>
      <c r="N1190" t="n">
        <v>0.0333</v>
      </c>
      <c r="O1190" t="n">
        <v>0.0424</v>
      </c>
    </row>
    <row r="1191">
      <c r="A1191" t="inlineStr">
        <is>
          <t>openmicroscopy</t>
        </is>
      </c>
      <c r="B1191" t="inlineStr">
        <is>
          <t>examples/OmeroClients/interfaces.java</t>
        </is>
      </c>
      <c r="C1191">
        <f>HYPERLINK("https://github.com/ome/openmicroscopy/blob/master/examples/OmeroClients/interfaces.java")</f>
        <v/>
      </c>
      <c r="D1191" t="inlineStr">
        <is>
          <t>The provided Java code defines a simple program that checks various properties of OME-OME model objects using assertions. It includes:
1. Assertions for checking whether `EventI`, `ExperimenterI`, and `GroupExperimenterMapI` instances are mutable.
2. Checks for global status and annotation capabilities of `ExperimenterI`.
3. Demonstrates how to use</t>
        </is>
      </c>
      <c r="E1191" t="n">
        <v>0.0039</v>
      </c>
      <c r="F1191" t="n">
        <v>0.0357</v>
      </c>
      <c r="G1191" t="n">
        <v>0.08400000000000001</v>
      </c>
      <c r="H1191" t="inlineStr">
        <is>
          <t>The code defines a Java program that checks various properties of objects from the OMERO model library using assertions. It then creates an instance of `ExperimenterI` and performs conditional checks on its mutability, global status, annotation capabilities, and link status. The program does not include any specific methods or logic for updating annotations or handling other operations related to these objects.</t>
        </is>
      </c>
      <c r="I1191" t="n">
        <v>0.003</v>
      </c>
      <c r="J1191" t="n">
        <v>0.058</v>
      </c>
      <c r="K1191" t="n">
        <v>0.0752</v>
      </c>
      <c r="L1191" t="inlineStr">
        <is>
          <t>The code defines a simple Java application that uses OMERO model classes to perform assertions about their mutability, global status, annotation capabilities, and link status. It then creates an instance of `ExperimenterI` and checks various properties before deciding whether to proceed with further actions based on these properties. The primary function is to demonstrate basic usage of OMERO model objects for property checking.</t>
        </is>
      </c>
      <c r="M1191" t="n">
        <v>0.0029</v>
      </c>
      <c r="N1191" t="n">
        <v>0.0282</v>
      </c>
      <c r="O1191" t="n">
        <v>0.0741</v>
      </c>
    </row>
    <row r="1192">
      <c r="A1192" t="inlineStr">
        <is>
          <t>openmicroscopy</t>
        </is>
      </c>
      <c r="B1192" t="inlineStr">
        <is>
          <t>examples/OmeroClients/primitives.py</t>
        </is>
      </c>
      <c r="C1192">
        <f>HYPERLINK("https://github.com/ome/openmicroscopy/blob/master/examples/OmeroClients/primitives.py")</f>
        <v/>
      </c>
      <c r="D1192" t="inlineStr">
        <is>
          <t>The provided Python script defines several R types (RPyC data types) using the `omero.rtypes` module. These include strings, booleans, long integers, and integer values. The script initializes these variables with specific string, boolean, long, and integer values respectively. The README file describes that this repository contains backend software components and mentions implementation of core algorithms. The complexity is rated as</t>
        </is>
      </c>
      <c r="E1192" t="n">
        <v>0.004</v>
      </c>
      <c r="F1192" t="n">
        <v>0.1159</v>
      </c>
      <c r="G1192" t="n">
        <v>0.2273</v>
      </c>
      <c r="H1192" t="inlineStr">
        <is>
          <t>The code defines several R types (rstring, rbool, rlong, rint) using the Open Microscopy Environment's Python API and initializes them with specific values. The README provides information about the repository containing backend software components, mentions that it includes implementations of core algorithms, and notes the initial codebase commit. The complexity is described as O(N), but this seems to be incorrect for initializing</t>
        </is>
      </c>
      <c r="I1192" t="n">
        <v>0.0039</v>
      </c>
      <c r="J1192" t="n">
        <v>0.1111</v>
      </c>
      <c r="K1192" t="n">
        <v>0.2239</v>
      </c>
      <c r="L1192" t="inlineStr">
        <is>
          <t>The provided Python script initializes several R types (RString, RBool, RLong, RInt) using the `omero` library's `rtypes` module. These variables store string, boolean, long integer, and integer values respectively. The script is part of a larger backend software component repository that includes initial implementation files for core algorithms.</t>
        </is>
      </c>
      <c r="M1192" t="n">
        <v>0.005</v>
      </c>
      <c r="N1192" t="n">
        <v>0.1053</v>
      </c>
      <c r="O1192" t="n">
        <v>0.2083</v>
      </c>
    </row>
    <row r="1193">
      <c r="A1193" t="inlineStr">
        <is>
          <t>openmicroscopy</t>
        </is>
      </c>
      <c r="B1193" t="inlineStr">
        <is>
          <t>examples/OmeroClients/details.py</t>
        </is>
      </c>
      <c r="C1193">
        <f>HYPERLINK("https://github.com/ome/openmicroscopy/blob/master/examples/OmeroClients/details.py")</f>
        <v/>
      </c>
      <c r="D1193" t="inlineStr">
        <is>
          <t>The provided Python script initializes an OME (Open Microscopy Environment) Image object with default permissions set to allow read access by the user. It then modifies the owner group and sets creation/update events, which are typically handled on the server side after the object is created. The complexity of this operation is linear, as it involves setting properties that may require communication with the OME server.</t>
        </is>
      </c>
      <c r="E1193" t="n">
        <v>0.0028</v>
      </c>
      <c r="F1193" t="n">
        <v>0.0267</v>
      </c>
      <c r="G1193" t="n">
        <v>0.0725</v>
      </c>
      <c r="H1193" t="inlineStr">
        <is>
          <t>Manages image permissions in an OMERO environment by setting user read access and modifying group settings.</t>
        </is>
      </c>
      <c r="I1193" t="n">
        <v>0.0123</v>
      </c>
      <c r="J1193" t="n">
        <v>0.0833</v>
      </c>
      <c r="K1193" t="n">
        <v>0.0568</v>
      </c>
      <c r="L1193" t="inlineStr">
        <is>
          <t>This Python script uses the OMERO library to manage image permissions in an Open Microscopy Environment (OME). It creates a new `Image` object, sets user read permissions for the owner, modifies the group associated with the image, and retrieves details such as creation and update events. The script assumes that certain attributes like `getOwner()` and `setGroup()` can be modified, while others (`get</t>
        </is>
      </c>
      <c r="M1193" t="n">
        <v>0.0035</v>
      </c>
      <c r="N1193" t="n">
        <v>0.0571</v>
      </c>
      <c r="O1193" t="n">
        <v>0.1119</v>
      </c>
    </row>
    <row r="1194">
      <c r="A1194" t="inlineStr">
        <is>
          <t>openmicroscopy</t>
        </is>
      </c>
      <c r="B1194" t="inlineStr">
        <is>
          <t>examples/OmeroClients/unloaded.py</t>
        </is>
      </c>
      <c r="C1194">
        <f>HYPERLINK("https://github.com/ome/openmicroscopy/blob/master/examples/OmeroClients/unloaded.py")</f>
        <v/>
      </c>
      <c r="D1194" t="inlineStr">
        <is>
          <t>The provided Python script demonstrates basic operations with OME-NGFF images using the OMERO library. It includes creating and manipulating `ImageI` objects, checking their loading status, accessing their ID, and handling exceptions when attempting to access non-loaded properties. The complexity is low due to straightforward operations on simple objects.</t>
        </is>
      </c>
      <c r="E1194" t="n">
        <v>0.0038</v>
      </c>
      <c r="F1194" t="n">
        <v>0.0345</v>
      </c>
      <c r="G1194" t="n">
        <v>0.0833</v>
      </c>
      <c r="H1194" t="inlineStr">
        <is>
          <t>Manages OME Image objects in Python, allowing loading and unloading images, accessing their IDs but not names without explicit permission.</t>
        </is>
      </c>
      <c r="I1194" t="n">
        <v>0.009599999999999999</v>
      </c>
      <c r="J1194" t="n">
        <v>0.07140000000000001</v>
      </c>
      <c r="K1194" t="n">
        <v>0.0543</v>
      </c>
      <c r="L1194" t="inlineStr">
        <is>
          <t>This Python script demonstrates basic interaction with the OMERO imaging system using the PyOMERO library. It shows how to load and unload images, retrieve their IDs, and attempt to access metadata without loading them fully, which helps manage memory usage efficiently. The script includes assertions to verify that objects are correctly loaded and unloaded.</t>
        </is>
      </c>
      <c r="M1194" t="n">
        <v>0.004</v>
      </c>
      <c r="N1194" t="n">
        <v>0.0645</v>
      </c>
      <c r="O1194" t="n">
        <v>0.119</v>
      </c>
    </row>
    <row r="1195">
      <c r="A1195" t="inlineStr">
        <is>
          <t>openmicroscopy</t>
        </is>
      </c>
      <c r="B1195" t="inlineStr">
        <is>
          <t>examples/OmeroClients/lists.java</t>
        </is>
      </c>
      <c r="C1195">
        <f>HYPERLINK("https://github.com/ome/openmicroscopy/blob/master/examples/OmeroClients/lists.java")</f>
        <v/>
      </c>
      <c r="D1195" t="inlineStr">
        <is>
          <t>The provided Java code defines a simple class `lists` with a `main` method that demonstrates basic operations on OME (Open Microscopy Environment) model objects: creating images and adding pixels to them. The code creates two `PixelsI` instances (`pixels1` and `pixels2`) and adds them to an `ImageI` instance (`image`). It then retrieves one pixel from the image</t>
        </is>
      </c>
      <c r="E1195" t="n">
        <v>0.0033</v>
      </c>
      <c r="F1195" t="n">
        <v>0.0312</v>
      </c>
      <c r="G1195" t="n">
        <v>0.0391</v>
      </c>
      <c r="H1195" t="inlineStr">
        <is>
          <t>Manages image pixel data in an OMERO environment by adding and manipulating `ImageI` and `PixelsI` objects. Complexity is O(N) due to potential operations on multiple pixels.</t>
        </is>
      </c>
      <c r="I1195" t="n">
        <v>0.0073</v>
      </c>
      <c r="J1195" t="n">
        <v>0.0571</v>
      </c>
      <c r="K1195" t="n">
        <v>0.051</v>
      </c>
      <c r="L1195" t="inlineStr">
        <is>
          <t>The provided Java code defines a simple class `lists` with a `main` method that demonstrates basic operations on images using the OMERO model library. It creates two instances of `PixelsI`, adds them to an `ImageI`, retrieves one of the pixels by index, and sets the primary pixel to the second instance. The code is intended for handling image data within the context of the OMERO</t>
        </is>
      </c>
      <c r="M1195" t="n">
        <v>0.0028</v>
      </c>
      <c r="N1195" t="n">
        <v>0.0274</v>
      </c>
      <c r="O1195" t="n">
        <v>0.073</v>
      </c>
    </row>
    <row r="1196">
      <c r="A1196" t="inlineStr">
        <is>
          <t>openmicroscopy</t>
        </is>
      </c>
      <c r="B1196" t="inlineStr">
        <is>
          <t>examples/OmeroClients/queries.java</t>
        </is>
      </c>
      <c r="C1196">
        <f>HYPERLINK("https://github.com/ome/openmicroscopy/blob/master/examples/OmeroClients/queries.java")</f>
        <v/>
      </c>
      <c r="D1196" t="inlineStr">
        <is>
          <t>The provided Java code is a simple example of querying images in an OMERO (Open Microscopy Environment) server using its RESTful API. It connects to an OME server via a client, creates a session, retrieves a query service, defines a SQL-like query string with parameters, sets up parameter values, executes the query, and then closes the session. The complexity of this operation is linear relative</t>
        </is>
      </c>
      <c r="E1196" t="n">
        <v>0.0028</v>
      </c>
      <c r="F1196" t="n">
        <v>0.027</v>
      </c>
      <c r="G1196" t="n">
        <v>0.1095</v>
      </c>
      <c r="H1196" t="inlineStr">
        <is>
          <t>The code is a Java application that connects to an OMERO server using its API to execute a SQL-like query on images stored in the database. It selects all image objects with IDs equal to 1 and names starting with "cellmit". The complexity is O(N), as it depends on the number of matching images returned by the query.</t>
        </is>
      </c>
      <c r="I1196" t="n">
        <v>0.0031</v>
      </c>
      <c r="J1196" t="n">
        <v>0.0294</v>
      </c>
      <c r="K1196" t="n">
        <v>0.0769</v>
      </c>
      <c r="L1196" t="inlineStr">
        <is>
          <t>This Java application uses the OMERO API to perform a database query for images based on their ID and name pattern. It connects to an OMERO server using a command-line argument, executes a SQL-like query to find all images whose IDs match a specified value and names start with certain keywords, and then prints out the resulting list of image objects. The code is structured to handle exceptions gracefully by closing the</t>
        </is>
      </c>
      <c r="M1196" t="n">
        <v>0.003</v>
      </c>
      <c r="N1196" t="n">
        <v>0.0488</v>
      </c>
      <c r="O1196" t="n">
        <v>0.1042</v>
      </c>
    </row>
    <row r="1197">
      <c r="A1197" t="inlineStr">
        <is>
          <t>openmicroscopy</t>
        </is>
      </c>
      <c r="B1197" t="inlineStr">
        <is>
          <t>examples/OmeroClients/constants.java</t>
        </is>
      </c>
      <c r="C1197">
        <f>HYPERLINK("https://github.com/ome/openmicroscopy/blob/master/examples/OmeroClients/constants.java")</f>
        <v/>
      </c>
      <c r="D1197" t="inlineStr">
        <is>
          <t>The provided Java code defines a `constants` class with two methods that print out messages about message size limits and connect timeout settings from the `omero.constants` package. The first method prints the maximum allowed message size in kilobytes, while the second method prints the default connection timeout in seconds.</t>
        </is>
      </c>
      <c r="E1197" t="n">
        <v>0.0037</v>
      </c>
      <c r="F1197" t="n">
        <v>0.0345</v>
      </c>
      <c r="G1197" t="n">
        <v>0.0413</v>
      </c>
      <c r="H1197" t="inlineStr">
        <is>
          <t>The code defines a `constants` class with two static fields representing maximum message size and connect timeout values in milliseconds. The `main` method prints these values formatted as strings to the console.</t>
        </is>
      </c>
      <c r="I1197" t="n">
        <v>0.0058</v>
      </c>
      <c r="J1197" t="n">
        <v>0.05</v>
      </c>
      <c r="K1197" t="n">
        <v>0.0481</v>
      </c>
      <c r="L1197" t="inlineStr">
        <is>
          <t>This Java program prints out the maximum message size allowed by the OMERO library (in kilobytes) and the default timeout duration for creating a session (in seconds). The values are retrieved from the `omero.constants` class using their respective fields.</t>
        </is>
      </c>
      <c r="M1197" t="n">
        <v>0.0056</v>
      </c>
      <c r="N1197" t="n">
        <v>0.0833</v>
      </c>
      <c r="O1197" t="n">
        <v>0.1351</v>
      </c>
    </row>
    <row r="1198">
      <c r="A1198" t="inlineStr">
        <is>
          <t>openmicroscopy</t>
        </is>
      </c>
      <c r="B1198" t="inlineStr">
        <is>
          <t>examples/OmeroClients/iterators.java</t>
        </is>
      </c>
      <c r="C1198">
        <f>HYPERLINK("https://github.com/ome/openmicroscopy/blob/master/examples/OmeroClients/iterators.java")</f>
        <v/>
      </c>
      <c r="D1198" t="inlineStr">
        <is>
          <t>The provided Java code demonstrates how to use OME-OME's API to manage images within datasets in an OMERO server environment. It creates a new `Image` and `Dataset`, links them together using a `DatasetImageLink`, and then iterates over the dataset links associated with that image to retrieve and print the names of the linked images. The complexity is linear, O(N), where N</t>
        </is>
      </c>
      <c r="E1198" t="n">
        <v>0.003</v>
      </c>
      <c r="F1198" t="n">
        <v>0.0278</v>
      </c>
      <c r="G1198" t="n">
        <v>0.0752</v>
      </c>
      <c r="H1198" t="inlineStr">
        <is>
          <t>Iterates over all images linked to a given dataset in an OMERO environment and retrieves their names.</t>
        </is>
      </c>
      <c r="I1198" t="n">
        <v>0.0115</v>
      </c>
      <c r="J1198" t="n">
        <v>0.08</v>
      </c>
      <c r="K1198" t="n">
        <v>0.0562</v>
      </c>
      <c r="L1198" t="inlineStr">
        <is>
          <t>The code defines a simple Java application that demonstrates iterating over links between images and datasets using the OMERO model library. It creates an `Image` object, a `Dataset`, and establishes a link between them. The `main` method then iterates through all dataset-image links associated with the image, accessing each child's name.</t>
        </is>
      </c>
      <c r="M1198" t="n">
        <v>0.0036</v>
      </c>
      <c r="N1198" t="n">
        <v>0.0328</v>
      </c>
      <c r="O1198" t="n">
        <v>0.0813</v>
      </c>
    </row>
    <row r="1199">
      <c r="A1199" t="inlineStr">
        <is>
          <t>openmicroscopy</t>
        </is>
      </c>
      <c r="B1199" t="inlineStr">
        <is>
          <t>examples/OmeroClients/getsetattr.py</t>
        </is>
      </c>
      <c r="C1199">
        <f>HYPERLINK("https://github.com/ome/openmicroscopy/blob/master/examples/OmeroClients/getsetattr.py")</f>
        <v/>
      </c>
      <c r="D1199" t="inlineStr">
        <is>
          <t>The provided Python script demonstrates how to create and manipulate an `Image` object using the OME (Open Microscopy Environment) API. It includes examples of setting and getting attributes directly on the object (`setName`, `getName`) as well as accessing collections like `datasetLinks`. The script also shows that collections cannot be accessed through special attribute access methods (`__getattr__`, `__setattr__`).</t>
        </is>
      </c>
      <c r="E1199" t="n">
        <v>0.0032</v>
      </c>
      <c r="F1199" t="n">
        <v>0.0308</v>
      </c>
      <c r="G1199" t="n">
        <v>0.0775</v>
      </c>
      <c r="H1199" t="inlineStr">
        <is>
          <t>The repository contains backend software components that implement core algorithms. The complexity is O(N), indicating linear time operations. There are no comments in the code.</t>
        </is>
      </c>
      <c r="I1199" t="n">
        <v>0.008999999999999999</v>
      </c>
      <c r="J1199" t="n">
        <v>0.1765</v>
      </c>
      <c r="K1199" t="n">
        <v>0.2635</v>
      </c>
      <c r="L1199" t="inlineStr">
        <is>
          <t>The provided Python script demonstrates two ways to set attributes for an `Image` object using the OMERO library. It shows how to use the `__getattr__` and `__setattr__` magic methods to access and modify attribute values without encountering issues related to collection properties. The first example uses these methods to set the name of the image, while the second example attempts to access a dataset link,</t>
        </is>
      </c>
      <c r="M1199" t="n">
        <v>0.0028</v>
      </c>
      <c r="N1199" t="n">
        <v>0.0274</v>
      </c>
      <c r="O1199" t="n">
        <v>0.073</v>
      </c>
    </row>
    <row r="1200">
      <c r="A1200" t="inlineStr">
        <is>
          <t>openmicroscopy</t>
        </is>
      </c>
      <c r="B1200" t="inlineStr">
        <is>
          <t>examples/OmeroClients/sudo.java</t>
        </is>
      </c>
      <c r="C1200">
        <f>HYPERLINK("https://github.com/ome/openmicroscopy/blob/master/examples/OmeroClients/sudo.java")</f>
        <v/>
      </c>
      <c r="D1200" t="inlineStr">
        <is>
          <t>The code provides a Java program that demonstrates how to create a superuser session in an OMERO (Open Microscopy Environment) server using the OME API. It involves creating a regular session as the root user, then using this session to create another session with elevated privileges for a specified user. The program prints out the username of the event context associated with the superuser session. This is useful for</t>
        </is>
      </c>
      <c r="E1200" t="n">
        <v>0.0026</v>
      </c>
      <c r="F1200" t="n">
        <v>0.026</v>
      </c>
      <c r="G1200" t="n">
        <v>0.0709</v>
      </c>
      <c r="H1200" t="inlineStr">
        <is>
          <t>Manages administrative operations on an OMERO server using sudo privileges.</t>
        </is>
      </c>
      <c r="I1200" t="n">
        <v>0</v>
      </c>
      <c r="J1200" t="n">
        <v>0</v>
      </c>
      <c r="K1200" t="n">
        <v>0.061</v>
      </c>
      <c r="L1200" t="inlineStr">
        <is>
          <t>The `sudo` class provides a method to create a temporary administrative session using the Open Microscopy Environment (OME) API. It allows for switching users temporarily by creating a new session with elevated privileges, which can be useful for performing administrative tasks without permanently changing the current user's permissions. The code uses the OME API to authenticate as the root user, create a session with the specified timeout, join</t>
        </is>
      </c>
      <c r="M1200" t="n">
        <v>0</v>
      </c>
      <c r="N1200" t="n">
        <v>0</v>
      </c>
      <c r="O1200" t="n">
        <v>0.0357</v>
      </c>
    </row>
    <row r="1201">
      <c r="A1201" t="inlineStr">
        <is>
          <t>openmicroscopy</t>
        </is>
      </c>
      <c r="B1201" t="inlineStr">
        <is>
          <t>examples/OmeroClients/enumerations.java</t>
        </is>
      </c>
      <c r="C1201">
        <f>HYPERLINK("https://github.com/ome/openmicroscopy/blob/master/examples/OmeroClients/enumerations.java")</f>
        <v/>
      </c>
      <c r="D1201" t="inlineStr">
        <is>
          <t>The code defines a Java program that prints out a formatted string indicating how to use the `MAXIMUMINTENSITY` projection type from the `omero.constants.projection.ProjectionType` enumeration. The complexity is O(1), as it involves simple operations like printing text.</t>
        </is>
      </c>
      <c r="E1201" t="n">
        <v>0</v>
      </c>
      <c r="F1201" t="n">
        <v>0</v>
      </c>
      <c r="G1201" t="n">
        <v>0.0463</v>
      </c>
      <c r="H1201" t="inlineStr">
        <is>
          <t>The code defines a Java program that prints out a formatted string indicating how to use the `MAXIMUMINTENSITY` projection type from the `omero.constants.projection` package. The README describes it as containing backend software components with complexity O(N), comments explaining its implementation, and an initial codebase commit. The code size is 256 bytes.</t>
        </is>
      </c>
      <c r="I1201" t="n">
        <v>0.0043</v>
      </c>
      <c r="J1201" t="n">
        <v>0.0968</v>
      </c>
      <c r="K1201" t="n">
        <v>0.122</v>
      </c>
      <c r="L1201" t="inlineStr">
        <is>
          <t>The `enumerations` class includes a `main` method that prints out a formatted string indicating how to use the `MAXIMUMINTENSITY` projection type from the `omero.constants.projection.ProjectionType` enumeration.</t>
        </is>
      </c>
      <c r="M1201" t="n">
        <v>0</v>
      </c>
      <c r="N1201" t="n">
        <v>0</v>
      </c>
      <c r="O1201" t="n">
        <v>0.0515</v>
      </c>
    </row>
    <row r="1202">
      <c r="A1202" t="inlineStr">
        <is>
          <t>openmicroscopy</t>
        </is>
      </c>
      <c r="B1202" t="inlineStr">
        <is>
          <t>examples/OmeroClients/timeout.py</t>
        </is>
      </c>
      <c r="C1202">
        <f>HYPERLINK("https://github.com/ome/openmicroscopy/blob/master/examples/OmeroClients/timeout.py")</f>
        <v/>
      </c>
      <c r="D1202" t="inlineStr">
        <is>
          <t>The Python script establishes an OME (Open Microscopy Environment) session and creates a rendering engine for image processing. It then starts a thread that periodically calls `keepAllAlive` on the session with the rendering engine as an argument. The thread runs indefinitely until stopped by setting the `stop` flag in the `KeepAlive` class. This ensures that the session remains active even when no operations are</t>
        </is>
      </c>
      <c r="E1202" t="n">
        <v>0.0034</v>
      </c>
      <c r="F1202" t="n">
        <v>0.0278</v>
      </c>
      <c r="G1202" t="n">
        <v>0.1103</v>
      </c>
      <c r="H1202" t="inlineStr">
        <is>
          <t>Manages an OMERO session with a rendering engine and periodically calls `keepAllAlive` to maintain connection health.</t>
        </is>
      </c>
      <c r="I1202" t="n">
        <v>0.0123</v>
      </c>
      <c r="J1202" t="n">
        <v>0.0833</v>
      </c>
      <c r="K1202" t="n">
        <v>0.0568</v>
      </c>
      <c r="L1202" t="inlineStr">
        <is>
          <t>The code is a Python script that initializes an OMERO client session and creates a rendering engine. It then starts a thread that periodically calls `s.keepAllAlive` with the current rendering engine as an argument. If any exception occurs during the call, it closes the session and rethrows the error. The script runs for twice the idle time before stopping the keep-alive thread.</t>
        </is>
      </c>
      <c r="M1202" t="n">
        <v>0.0029</v>
      </c>
      <c r="N1202" t="n">
        <v>0.0278</v>
      </c>
      <c r="O1202" t="n">
        <v>0.0746</v>
      </c>
    </row>
    <row r="1203">
      <c r="A1203" t="inlineStr">
        <is>
          <t>openmicroscopy</t>
        </is>
      </c>
      <c r="B1203" t="inlineStr">
        <is>
          <t>examples/OmeroClients/configuration.java</t>
        </is>
      </c>
      <c r="C1203">
        <f>HYPERLINK("https://github.com/ome/openmicroscopy/blob/master/examples/OmeroClients/configuration.java")</f>
        <v/>
      </c>
      <c r="D1203" t="inlineStr">
        <is>
          <t>The code provides examples of how to configure and use the OME-OME library for connecting to an OMERO server using different methods:
1. **Using `--Ice.Config` File**: The first example demonstrates configuring the client using a configuration file specified via the command line argument (`--Ice.Config=file.config`). It does not require entering a username or password during session creation.
2. **Basic Configuration</t>
        </is>
      </c>
      <c r="E1203" t="n">
        <v>0.0031</v>
      </c>
      <c r="F1203" t="n">
        <v>0.0278</v>
      </c>
      <c r="G1203" t="n">
        <v>0.07630000000000001</v>
      </c>
      <c r="H1203" t="inlineStr">
        <is>
          <t>Manages various configurations for an OMERO server using Ice libraries, including creating sessions with different settings such as usernames, passwords, and ports. Complexity is O(N), indicating linear time complexity due to potential operations on multiple clients.</t>
        </is>
      </c>
      <c r="I1203" t="n">
        <v>0.0052</v>
      </c>
      <c r="J1203" t="n">
        <v>0.0444</v>
      </c>
      <c r="K1203" t="n">
        <v>0.0926</v>
      </c>
      <c r="L1203" t="inlineStr">
        <is>
          <t>The provided Java code demonstrates three different ways to configure and establish connections to an Ice server using the `omero.client` class from the Open Microscopy Environment (OME). The first method uses a configuration file specified via the command line argument `--Ice.Config=file.config`, which is typically used for production environments where credentials are stored securely outside the application. The second method sets up a connection without specifying a</t>
        </is>
      </c>
      <c r="M1203" t="n">
        <v>0.0028</v>
      </c>
      <c r="N1203" t="n">
        <v>0.0256</v>
      </c>
      <c r="O1203" t="n">
        <v>0.0725</v>
      </c>
    </row>
    <row r="1204">
      <c r="A1204" t="inlineStr">
        <is>
          <t>openmicroscopy</t>
        </is>
      </c>
      <c r="B1204" t="inlineStr">
        <is>
          <t>examples/OmeroClients/staticfields.py</t>
        </is>
      </c>
      <c r="C1204">
        <f>HYPERLINK("https://github.com/ome/openmicroscopy/blob/master/examples/OmeroClients/staticfields.py")</f>
        <v/>
      </c>
      <c r="D1204" t="inlineStr">
        <is>
          <t>The Python script defines the `ImageI` class from the `omeromodel.ImageI` module and prints out its `NAME` and `DATASETLINKS` attributes. The complexity is O(1) since it involves accessing predefined properties of the class. The comments indicate that this implementation is part of a larger project with complex algorithms. The code size is 141 lines.</t>
        </is>
      </c>
      <c r="E1204" t="n">
        <v>0.0041</v>
      </c>
      <c r="F1204" t="n">
        <v>0.0635</v>
      </c>
      <c r="G1204" t="n">
        <v>0.2</v>
      </c>
      <c r="H1204" t="inlineStr">
        <is>
          <t>The provided Python script imports the `ImageI` class from the `omero_model_ImageI` module and prints out its `NAME` and `DATASETLINKS` attributes. The complexity is O(N) due to potential data processing or iteration over collections if these attributes contain multiple elements.</t>
        </is>
      </c>
      <c r="I1204" t="n">
        <v>0.0056</v>
      </c>
      <c r="J1204" t="n">
        <v>0.08</v>
      </c>
      <c r="K1204" t="n">
        <v>0.0901</v>
      </c>
      <c r="L1204" t="inlineStr">
        <is>
          <t>The Python script prints the names and dataset links associated with `ImageI` objects from the OMERO model library.</t>
        </is>
      </c>
      <c r="M1204" t="n">
        <v>0.0108</v>
      </c>
      <c r="N1204" t="n">
        <v>0.0769</v>
      </c>
      <c r="O1204" t="n">
        <v>0.0556</v>
      </c>
    </row>
    <row r="1205">
      <c r="A1205" t="inlineStr">
        <is>
          <t>openmicroscopy</t>
        </is>
      </c>
      <c r="B1205" t="inlineStr">
        <is>
          <t>examples/OmeroClients/staticfields.java</t>
        </is>
      </c>
      <c r="C1205">
        <f>HYPERLINK("https://github.com/ome/openmicroscopy/blob/master/examples/OmeroClients/staticfields.java")</f>
        <v/>
      </c>
      <c r="D1205" t="inlineStr">
        <is>
          <t>The provided Java code defines a `staticfields` class with a `main` method that prints out two fields from the `ImageI` class: `NAME` and `DATASETLINKS`. The complexity is O(1) as it involves simple field access operations. This code snippet is part of a larger system designed for backend software components, implementing core algorithms.</t>
        </is>
      </c>
      <c r="E1205" t="n">
        <v>0.005</v>
      </c>
      <c r="F1205" t="n">
        <v>0.1311</v>
      </c>
      <c r="G1205" t="n">
        <v>0.3439</v>
      </c>
      <c r="H1205" t="inlineStr">
        <is>
          <t>The code defines a `main` method in a Java class that prints out the names and dataset links fields from the `ImageI` class using reflection. The complexity is O(N), where N is the number of fields in the `ImageI` class.</t>
        </is>
      </c>
      <c r="I1205" t="n">
        <v>0.0046</v>
      </c>
      <c r="J1205" t="n">
        <v>0.0408</v>
      </c>
      <c r="K1205" t="n">
        <v>0.0893</v>
      </c>
      <c r="L1205" t="inlineStr">
        <is>
          <t>The `staticfields` class provides a simple demonstration of accessing static fields from the `ImageI` class within the OMERO model package. The `main` method prints out two static fields: `NAME`, which represents the name of an image, and `DATASETLINKS`, which indicates whether an image is linked to any datasets.</t>
        </is>
      </c>
      <c r="M1205" t="n">
        <v>0.0038</v>
      </c>
      <c r="N1205" t="n">
        <v>0.0357</v>
      </c>
      <c r="O1205" t="n">
        <v>0.0417</v>
      </c>
    </row>
    <row r="1206">
      <c r="A1206" t="inlineStr">
        <is>
          <t>openmicroscopy</t>
        </is>
      </c>
      <c r="B1206" t="inlineStr">
        <is>
          <t>examples/OmeroClients/sudo.py</t>
        </is>
      </c>
      <c r="C1206">
        <f>HYPERLINK("https://github.com/ome/openmicroscopy/blob/master/examples/OmeroClients/sudo.py")</f>
        <v/>
      </c>
      <c r="D1206" t="inlineStr">
        <is>
          <t>The script connects to an OME server using two clients (`client` and `sudoClient`). It creates a root session with a timeout of three minutes and then uses this session to create another session that allows for administrative privileges. The script prints the username from the event context of the sudo session and closes both sessions after use.</t>
        </is>
      </c>
      <c r="E1206" t="n">
        <v>0.0032</v>
      </c>
      <c r="F1206" t="n">
        <v>0.0615</v>
      </c>
      <c r="G1206" t="n">
        <v>0.1163</v>
      </c>
      <c r="H1206" t="inlineStr">
        <is>
          <t>Manages OME (Open Microscopy Environment) sessions for administrative tasks using Python.</t>
        </is>
      </c>
      <c r="I1206" t="n">
        <v>0</v>
      </c>
      <c r="J1206" t="n">
        <v>0</v>
      </c>
      <c r="K1206" t="n">
        <v>0.0602</v>
      </c>
      <c r="L1206" t="inlineStr">
        <is>
          <t>This Python script establishes a connection to an OMERO server using the `omero` library, creates a root user session, and then uses that session to create another session with elevated privileges for a specified duration (3 minutes). The script prints the username associated with the elevated session and closes both sessions after use.</t>
        </is>
      </c>
      <c r="M1206" t="n">
        <v>0.0041</v>
      </c>
      <c r="N1206" t="n">
        <v>0.06560000000000001</v>
      </c>
      <c r="O1206" t="n">
        <v>0.12</v>
      </c>
    </row>
    <row r="1207">
      <c r="A1207" t="inlineStr">
        <is>
          <t>openmicroscopy</t>
        </is>
      </c>
      <c r="B1207" t="inlineStr">
        <is>
          <t>examples/OmeroClients/configuration.py</t>
        </is>
      </c>
      <c r="C1207">
        <f>HYPERLINK("https://github.com/ome/openmicroscopy/blob/master/examples/OmeroClients/configuration.py")</f>
        <v/>
      </c>
      <c r="D1207" t="inlineStr">
        <is>
          <t>The provided Python script demonstrates how to establish connections to an OME server using different configurations:
1. **Basic Configuration**: Connects to `localhost` on the default port (4064) without specifying credentials.
2. **Advanced Configuration**: Specifies both the host (`localhost`) and port (`24064`) explicitly when creating the connection.
3. **Error Handling**: Catches</t>
        </is>
      </c>
      <c r="E1207" t="n">
        <v>0.0037</v>
      </c>
      <c r="F1207" t="n">
        <v>0.0345</v>
      </c>
      <c r="G1207" t="n">
        <v>0.082</v>
      </c>
      <c r="H1207" t="inlineStr">
        <is>
          <t>Manages OME (Open Microscopy Environment) clients for different configurations and session management.</t>
        </is>
      </c>
      <c r="I1207" t="n">
        <v>0.017</v>
      </c>
      <c r="J1207" t="n">
        <v>0.1</v>
      </c>
      <c r="K1207" t="n">
        <v>0.0595</v>
      </c>
      <c r="L1207" t="inlineStr">
        <is>
          <t>The code demonstrates how to establish connections to an OMERO server using different configurations, including specifying the host, port, and credentials. It includes error handling for connection refused exceptions and showcases various ways to configure the client programmatically. The primary function is to connect to the server using different methods and handle potential connection issues gracefully.</t>
        </is>
      </c>
      <c r="M1207" t="n">
        <v>0.0033</v>
      </c>
      <c r="N1207" t="n">
        <v>0.0625</v>
      </c>
      <c r="O1207" t="n">
        <v>0.0781</v>
      </c>
    </row>
    <row r="1208">
      <c r="A1208" t="inlineStr">
        <is>
          <t>openmicroscopy</t>
        </is>
      </c>
      <c r="B1208" t="inlineStr">
        <is>
          <t>examples/OmeroClients/iterators.py</t>
        </is>
      </c>
      <c r="C1208">
        <f>HYPERLINK("https://github.com/ome/openmicroscopy/blob/master/examples/OmeroClients/iterators.py")</f>
        <v/>
      </c>
      <c r="D1208" t="inlineStr">
        <is>
          <t>The provided Python script defines two classes, `ImageI` and `DatasetI`, which represent images and datasets respectively within an OME (Open Microscopy Environment) framework. The script creates instances of these classes, links them together using a method called `linkImage()`, and then iterates over all dataset links associated with the created image to print the names of the linked child objects. This demonstrates</t>
        </is>
      </c>
      <c r="E1208" t="n">
        <v>0.0036</v>
      </c>
      <c r="F1208" t="n">
        <v>0.029</v>
      </c>
      <c r="G1208" t="n">
        <v>0.1128</v>
      </c>
      <c r="H1208" t="inlineStr">
        <is>
          <t>This repository contains backend software components that implement core algorithms for processing images within an OMERO environment. The complexity is O(N), indicating linear time performance with respect to the number of links or elements being processed.</t>
        </is>
      </c>
      <c r="I1208" t="n">
        <v>0.0068</v>
      </c>
      <c r="J1208" t="n">
        <v>0.1778</v>
      </c>
      <c r="K1208" t="n">
        <v>0.2922</v>
      </c>
      <c r="L1208" t="inlineStr">
        <is>
          <t>The Python script initializes two OMERO model objects for an `Image` and a `Dataset`, links them together, and then iterates over all dataset links associated with the image, printing the names of their children (images).</t>
        </is>
      </c>
      <c r="M1208" t="n">
        <v>0.0053</v>
      </c>
      <c r="N1208" t="n">
        <v>0.0465</v>
      </c>
      <c r="O1208" t="n">
        <v>0.0467</v>
      </c>
    </row>
    <row r="1209">
      <c r="A1209" t="inlineStr">
        <is>
          <t>openmicroscopy</t>
        </is>
      </c>
      <c r="B1209" t="inlineStr">
        <is>
          <t>examples/OmeroClients/collectionmethods.java</t>
        </is>
      </c>
      <c r="C1209">
        <f>HYPERLINK("https://github.com/ome/openmicroscopy/blob/master/examples/OmeroClients/collectionmethods.java")</f>
        <v/>
      </c>
      <c r="D1209" t="inlineStr">
        <is>
          <t>The provided Java code defines a method `main` that demonstrates how to use OME (Open Microscopy Environment) model classes for managing images and their associated datasets in an OMERO server environment. The key functionalities include:
1. **Creating an Image**: An instance of `ImageI` is created with an ID of 1 and set to be persistent (`true`). It also sets an update event</t>
        </is>
      </c>
      <c r="E1209" t="n">
        <v>0.0029</v>
      </c>
      <c r="F1209" t="n">
        <v>0.0571</v>
      </c>
      <c r="G1209" t="n">
        <v>0.0746</v>
      </c>
      <c r="H1209" t="inlineStr">
        <is>
          <t>Manages image-dataset relationships in an OMERO environment by creating images and linking them to datasets, allowing for easy management of associated data sets.</t>
        </is>
      </c>
      <c r="I1209" t="n">
        <v>0.0083</v>
      </c>
      <c r="J1209" t="n">
        <v>0.0625</v>
      </c>
      <c r="K1209" t="n">
        <v>0.0526</v>
      </c>
      <c r="L1209" t="inlineStr">
        <is>
          <t>This Java code demonstrates how to manage `DatasetImageLink` objects for images within an OMERO (Open Microscopy Environment) system using the OME model classes. It shows creating an image, linking it to a dataset, copying the dataset links, and unloading them when no longer needed. The code is designed to handle basic CRUD operations related to image-dataset associations in an OMERO environment.</t>
        </is>
      </c>
      <c r="M1209" t="n">
        <v>0.0036</v>
      </c>
      <c r="N1209" t="n">
        <v>0.0571</v>
      </c>
      <c r="O1209" t="n">
        <v>0.1128</v>
      </c>
    </row>
    <row r="1210">
      <c r="A1210" t="inlineStr">
        <is>
          <t>openmicroscopy</t>
        </is>
      </c>
      <c r="B1210" t="inlineStr">
        <is>
          <t>examples/OmeroClients/updates.java</t>
        </is>
      </c>
      <c r="C1210">
        <f>HYPERLINK("https://github.com/ome/openmicroscopy/blob/master/examples/OmeroClients/updates.java")</f>
        <v/>
      </c>
      <c r="D1210" t="inlineStr">
        <is>
          <t>The provided Java code is a simple example demonstrating how to interact with an OME-NGFF server using its REST API through the OMERO Python bindings. The code performs the following steps:
1. **Create an OMERO Client**: It initializes an `omero.client` object, which represents a connection to the OME-NGFF server.
2. **Define an Image Object**: An</t>
        </is>
      </c>
      <c r="E1210" t="n">
        <v>0</v>
      </c>
      <c r="F1210" t="n">
        <v>0</v>
      </c>
      <c r="G1210" t="n">
        <v>0.0394</v>
      </c>
      <c r="H1210" t="inlineStr">
        <is>
          <t>The provided Java code is part of a backend system that interacts with an Open Microscopy Environment (OME) server to manage image data. It includes methods for creating a new `Image` object, setting its name, saving it using the OME update service, and closing the session. The complexity is O(N), where N represents the number of operations performed during the save process.</t>
        </is>
      </c>
      <c r="I1210" t="n">
        <v>0.0029</v>
      </c>
      <c r="J1210" t="n">
        <v>0.0282</v>
      </c>
      <c r="K1210" t="n">
        <v>0.0746</v>
      </c>
      <c r="L1210" t="inlineStr">
        <is>
          <t>This Java program connects to an OMERO server using the OME API, creates a new image object named "name", saves it to the database, and then closes the session.</t>
        </is>
      </c>
      <c r="M1210" t="n">
        <v>0.0077</v>
      </c>
      <c r="N1210" t="n">
        <v>0.1081</v>
      </c>
      <c r="O1210" t="n">
        <v>0.1485</v>
      </c>
    </row>
    <row r="1211">
      <c r="A1211" t="inlineStr">
        <is>
          <t>openmicroscopy</t>
        </is>
      </c>
      <c r="B1211" t="inlineStr">
        <is>
          <t>examples/OmeroClients/rcollection.py</t>
        </is>
      </c>
      <c r="C1211">
        <f>HYPERLINK("https://github.com/ome/openmicroscopy/blob/master/examples/OmeroClients/rcollection.py")</f>
        <v/>
      </c>
      <c r="D1211" t="inlineStr">
        <is>
          <t>The Python script defines two data structures using OME (Open Microscopy Environment) RTypes for interoperability with OMERO servers:
1. A list containing two string elements.
2. A set containing two integer elements.
These structures are used to demonstrate how complex data types can be represented in Python when interfacing with OMERO's REST API. The complexity is rated as O(N), indicating that the</t>
        </is>
      </c>
      <c r="E1211" t="n">
        <v>0</v>
      </c>
      <c r="F1211" t="n">
        <v>0</v>
      </c>
      <c r="G1211" t="n">
        <v>0.0373</v>
      </c>
      <c r="H1211" t="inlineStr">
        <is>
          <t>The code defines Python functions for handling lists and sets using Open Microscopy Environment (OME) RTypes, which are used in scientific data processing. The README describes this as backend software containing implementations of core algorithms. Complexity is rated at O(N), indicating linear time complexity. Comments explain the purpose of each function.</t>
        </is>
      </c>
      <c r="I1211" t="n">
        <v>0.0047</v>
      </c>
      <c r="J1211" t="n">
        <v>0.1667</v>
      </c>
      <c r="K1211" t="n">
        <v>0.2439</v>
      </c>
      <c r="L1211" t="inlineStr">
        <is>
          <t>The Python script defines two sets and lists using Open Microscopy Environment (OMERO) RTypes, which represent strings and integers respectively. The `list` variable is initialized as a list containing two string elements, while the `set` variable holds a set of integer values. These data structures are used for storing and manipulating collections of items within the OMERO environment.</t>
        </is>
      </c>
      <c r="M1211" t="n">
        <v>0.0031</v>
      </c>
      <c r="N1211" t="n">
        <v>0.0303</v>
      </c>
      <c r="O1211" t="n">
        <v>0.0769</v>
      </c>
    </row>
    <row r="1212">
      <c r="A1212" t="inlineStr">
        <is>
          <t>openmicroscopy</t>
        </is>
      </c>
      <c r="B1212" t="inlineStr">
        <is>
          <t>examples/OmeroClients/constructors.py</t>
        </is>
      </c>
      <c r="C1212">
        <f>HYPERLINK("https://github.com/ome/openmicroscopy/blob/master/examples/OmeroClients/constructors.py")</f>
        <v/>
      </c>
      <c r="D1212" t="inlineStr">
        <is>
          <t>The Python script creates an image object in an OMERO (Open Microscopy Environment) server and links it to a dataset with ID 1. The complexity is O(1), as there are no loops or recursive calls that depend on input size N.</t>
        </is>
      </c>
      <c r="E1212" t="n">
        <v>0.0045</v>
      </c>
      <c r="F1212" t="n">
        <v>0.04</v>
      </c>
      <c r="G1212" t="n">
        <v>0.0442</v>
      </c>
      <c r="H1212" t="inlineStr">
        <is>
          <t>This repository contains backend software components implementing core algorithms.</t>
        </is>
      </c>
      <c r="I1212" t="n">
        <v>0.0316</v>
      </c>
      <c r="J1212" t="n">
        <v>0.4706</v>
      </c>
      <c r="K1212" t="n">
        <v>0.3897</v>
      </c>
      <c r="L1212" t="inlineStr">
        <is>
          <t>The provided Python script uses the OMERO library to create a new image object and link it to a dataset with ID 1. The script initializes an `ImageI` object and a `DatasetI` object, then links them together using the `linkDataset()` method.</t>
        </is>
      </c>
      <c r="M1212" t="n">
        <v>0.0045</v>
      </c>
      <c r="N1212" t="n">
        <v>0.0408</v>
      </c>
      <c r="O1212" t="n">
        <v>0.0885</v>
      </c>
    </row>
    <row r="1213">
      <c r="A1213" t="inlineStr">
        <is>
          <t>openmicroscopy</t>
        </is>
      </c>
      <c r="B1213" t="inlineStr">
        <is>
          <t>examples/OmeroClients/updates.py</t>
        </is>
      </c>
      <c r="C1213">
        <f>HYPERLINK("https://github.com/ome/openmicroscopy/blob/master/examples/OmeroClients/updates.py")</f>
        <v/>
      </c>
      <c r="D1213" t="inlineStr">
        <is>
          <t>The Python script connects to an OME server using the `omero` library, creates a new image object with specified properties (name and acquisition date), saves it to the server, and then closes the session. The complexity is O(1) as it involves basic operations like creating objects and saving them.</t>
        </is>
      </c>
      <c r="E1213" t="n">
        <v>0.0037</v>
      </c>
      <c r="F1213" t="n">
        <v>0.0345</v>
      </c>
      <c r="G1213" t="n">
        <v>0.08260000000000001</v>
      </c>
      <c r="H1213" t="inlineStr">
        <is>
          <t>This Python script initializes an OMERO (Open Microscopy Environment) session, creates a new image object with specified properties, saves it to the server, and then closes the session. The complexity is O(N), where N represents the number of operations performed during the save process.</t>
        </is>
      </c>
      <c r="I1213" t="n">
        <v>0.005</v>
      </c>
      <c r="J1213" t="n">
        <v>0.0755</v>
      </c>
      <c r="K1213" t="n">
        <v>0.0862</v>
      </c>
      <c r="L1213" t="inlineStr">
        <is>
          <t>The script initializes an OMERO (Open Microscopy Environment) session, creates a new image object with specified metadata, saves it to the server, and then closes the session. The image is named "name" and has an acquisition date set to the current timestamp.</t>
        </is>
      </c>
      <c r="M1213" t="n">
        <v>0.0044</v>
      </c>
      <c r="N1213" t="n">
        <v>0.04</v>
      </c>
      <c r="O1213" t="n">
        <v>0.0439</v>
      </c>
    </row>
    <row r="1214">
      <c r="A1214" t="inlineStr">
        <is>
          <t>openmicroscopy</t>
        </is>
      </c>
      <c r="B1214" t="inlineStr">
        <is>
          <t>examples/OmeroClients/primitives.java</t>
        </is>
      </c>
      <c r="C1214">
        <f>HYPERLINK("https://github.com/ome/openmicroscopy/blob/master/examples/OmeroClients/primitives.java")</f>
        <v/>
      </c>
      <c r="D1214" t="inlineStr">
        <is>
          <t>The provided Java code defines a simple `main` method within the `primitives` class that initializes four variables using OME (Open Microscopy Environment) RTypes for representing different primitive data types: string, boolean, long integer, and integer. The code does not contain any complex logic or external dependencies beyond the OME library.</t>
        </is>
      </c>
      <c r="E1214" t="n">
        <v>0.0037</v>
      </c>
      <c r="F1214" t="n">
        <v>0.06900000000000001</v>
      </c>
      <c r="G1214" t="n">
        <v>0.082</v>
      </c>
      <c r="H1214" t="inlineStr">
        <is>
          <t>The provided Java code defines a `primitives` class with a `main` method that initializes four primitive data types (`RString`, `RBool`, `RLong`, and `RInt`) using the `omero.rtypes` package from the OMERO library. The README indicates this is part of a larger repository containing backend software components, with comments describing its implementation as core algorithms. Complexity</t>
        </is>
      </c>
      <c r="I1214" t="n">
        <v>0.0045</v>
      </c>
      <c r="J1214" t="n">
        <v>0.127</v>
      </c>
      <c r="K1214" t="n">
        <v>0.2381</v>
      </c>
      <c r="L1214" t="inlineStr">
        <is>
          <t>The `primitives` class initializes four primitive data types using the `omero.rtypes` package: a string "value", a boolean true, a long integer 1L, and an integer 1. These objects represent basic data structures commonly used in object-oriented programming for handling different types of values efficiently within the context of the OMERO (Open Microscopy Environment) framework.</t>
        </is>
      </c>
      <c r="M1214" t="n">
        <v>0.0034</v>
      </c>
      <c r="N1214" t="n">
        <v>0.0312</v>
      </c>
      <c r="O1214" t="n">
        <v>0.0794</v>
      </c>
    </row>
    <row r="1215">
      <c r="A1215" t="inlineStr">
        <is>
          <t>openmicroscopy</t>
        </is>
      </c>
      <c r="B1215" t="inlineStr">
        <is>
          <t>examples/OmeroClients/timeout.java</t>
        </is>
      </c>
      <c r="C1215">
        <f>HYPERLINK("https://github.com/ome/openmicroscopy/blob/master/examples/OmeroClients/timeout.java")</f>
        <v/>
      </c>
      <c r="D1215" t="inlineStr">
        <is>
          <t>The provided Java code is a simple application that connects to an OME server using the OMERO API and keeps the session active by periodically sending keep-alive requests. The `timeout` class defines constants for idle time (`IDLETIME`) and initializes a client connection (`c`). It then creates a service factory proxy (`s`) and retrieves the current session UUID from the event context. A separate thread</t>
        </is>
      </c>
      <c r="E1215" t="n">
        <v>0.0028</v>
      </c>
      <c r="F1215" t="n">
        <v>0.0274</v>
      </c>
      <c r="G1215" t="n">
        <v>0.0735</v>
      </c>
      <c r="H1215" t="inlineStr">
        <is>
          <t>This repository contains backend software components that implement core algorithms. The complexity is O(N), indicating linear time complexity in relation to input size N. The comments describe the implementation of these algorithms. There have been initial commits to establish the codebase. The total code size is 1000 lines.</t>
        </is>
      </c>
      <c r="I1215" t="n">
        <v>0.005</v>
      </c>
      <c r="J1215" t="n">
        <v>0.1404</v>
      </c>
      <c r="K1215" t="n">
        <v>0.1667</v>
      </c>
      <c r="L1215" t="inlineStr">
        <is>
          <t>The `timeout` class is designed to manage a session by periodically sending keep-alive requests to ensure that the connection remains active. It takes an optional argument specifying the idle time before each keep-alive call; if no argument is provided, it defaults to 5 seconds. The class uses the OMERO API to create a session and send keep-alive messages using a separate thread. If any exception</t>
        </is>
      </c>
      <c r="M1215" t="n">
        <v>0.0028</v>
      </c>
      <c r="N1215" t="n">
        <v>0.0263</v>
      </c>
      <c r="O1215" t="n">
        <v>0.073</v>
      </c>
    </row>
    <row r="1216">
      <c r="A1216" t="inlineStr">
        <is>
          <t>openmicroscopy</t>
        </is>
      </c>
      <c r="B1216" t="inlineStr">
        <is>
          <t>examples/OmeroClients/queries.py</t>
        </is>
      </c>
      <c r="C1216">
        <f>HYPERLINK("https://github.com/ome/openmicroscopy/blob/master/examples/OmeroClients/queries.py")</f>
        <v/>
      </c>
      <c r="D1216" t="inlineStr">
        <is>
          <t>The Python script connects to an OME server using the `omero` library, creates a session, queries for images based on their ID and name pattern, and then closes the session. The complexity is linear with respect to the number of results returned by the query (`N`).</t>
        </is>
      </c>
      <c r="E1216" t="n">
        <v>0.004</v>
      </c>
      <c r="F1216" t="n">
        <v>0.037</v>
      </c>
      <c r="G1216" t="n">
        <v>0.0847</v>
      </c>
      <c r="H1216" t="inlineStr">
        <is>
          <t>This Python script connects to an OMERO server using the `omero` library, performs a database query to find images with specific IDs and names containing certain keywords, and returns the results. The complexity is O(N) due to the potential number of image matches returned by the query.</t>
        </is>
      </c>
      <c r="I1216" t="n">
        <v>0.0046</v>
      </c>
      <c r="J1216" t="n">
        <v>0.07140000000000001</v>
      </c>
      <c r="K1216" t="n">
        <v>0.1261</v>
      </c>
      <c r="L1216" t="inlineStr">
        <is>
          <t>This Python script connects to an OMERO server using the `omero` library, retrieves images based on their ID and name pattern, and prints them out. The script uses parameterized queries to safely search for images that match specific criteria.</t>
        </is>
      </c>
      <c r="M1216" t="n">
        <v>0.0056</v>
      </c>
      <c r="N1216" t="n">
        <v>0.0851</v>
      </c>
      <c r="O1216" t="n">
        <v>0.1351</v>
      </c>
    </row>
    <row r="1217">
      <c r="A1217" t="inlineStr">
        <is>
          <t>openmicroscopy</t>
        </is>
      </c>
      <c r="B1217" t="inlineStr">
        <is>
          <t>examples/OmeroClients/interfaces.py</t>
        </is>
      </c>
      <c r="C1217">
        <f>HYPERLINK("https://github.com/ome/openmicroscopy/blob/master/examples/OmeroClients/interfaces.py")</f>
        <v/>
      </c>
      <c r="D1217" t="inlineStr">
        <is>
          <t>The provided Python script defines several classes from the OME (Open Microscopy Environment) model library:
1. **EventI**: Represents an event in the system.
2. **ExperimenterI**: Represents an experimenter or user within the system.
3. **GroupExperimenterMapI**: Maps groups to experimenters.
The script includes assertions that check various properties of these</t>
        </is>
      </c>
      <c r="E1217" t="n">
        <v>0</v>
      </c>
      <c r="F1217" t="n">
        <v>0</v>
      </c>
      <c r="G1217" t="n">
        <v>0.0413</v>
      </c>
      <c r="H1217" t="inlineStr">
        <is>
          <t>The code provides assertions to check properties of various OMERO model classes related to events, experimenters, group experimenter maps, and their mutability, global status, annotation capabilities, and link relationships. The README describes this as implementation of core algorithms in a backend software component. Complexity is rated at O(N) due to potential operations on collections or data structures that depend on input size N.</t>
        </is>
      </c>
      <c r="I1217" t="n">
        <v>0.0038</v>
      </c>
      <c r="J1217" t="n">
        <v>0.0833</v>
      </c>
      <c r="K1217" t="n">
        <v>0.1852</v>
      </c>
      <c r="L1217" t="inlineStr">
        <is>
          <t>The provided Python script defines assertions for various OMERO model classes, ensuring that certain properties like mutability, global status, annotation availability, and link nature are as expected. The script is part of a larger backend software component repository and has been committed initially without detailed comments.</t>
        </is>
      </c>
      <c r="M1217" t="n">
        <v>0.0048</v>
      </c>
      <c r="N1217" t="n">
        <v>0.0741</v>
      </c>
      <c r="O1217" t="n">
        <v>0.1271</v>
      </c>
    </row>
    <row r="1218">
      <c r="A1218" t="inlineStr">
        <is>
          <t>openmicroscopy</t>
        </is>
      </c>
      <c r="B1218" t="inlineStr">
        <is>
          <t>examples/OmeroClients/details.java</t>
        </is>
      </c>
      <c r="C1218">
        <f>HYPERLINK("https://github.com/ome/openmicroscopy/blob/master/examples/OmeroClients/details.java")</f>
        <v/>
      </c>
      <c r="D1218" t="inlineStr">
        <is>
          <t>The provided Java code defines a simple class `details` that demonstrates how to work with OME (Open Microscopy Environment) model objects for managing image metadata in an OMERO database. The key functionalities include:
1. **Creating and Initializing an `Image` Object**: An instance of `ImageI`, which is a subclass of `Image`, is created.
2. **Accessing and Modifying</t>
        </is>
      </c>
      <c r="E1218" t="n">
        <v>0.0033</v>
      </c>
      <c r="F1218" t="n">
        <v>0.0625</v>
      </c>
      <c r="G1218" t="n">
        <v>0.0781</v>
      </c>
      <c r="H1218" t="inlineStr">
        <is>
          <t>Manages image metadata in an OMERO database using Java classes.</t>
        </is>
      </c>
      <c r="I1218" t="n">
        <v>0</v>
      </c>
      <c r="J1218" t="n">
        <v>0</v>
      </c>
      <c r="K1218" t="n">
        <v>0.061</v>
      </c>
      <c r="L1218" t="inlineStr">
        <is>
          <t>This Java code snippet demonstrates how to set up detailed metadata for an `Image` object using the OMERO (Open Microscopy Environment) model classes. It initializes an `Image`, retrieves its `Details` object, sets user permissions, modifies the group associated with the image, and accesses creation and update events. The code is part of a larger system that manages biological images stored in an OMERO database</t>
        </is>
      </c>
      <c r="M1218" t="n">
        <v>0.0034</v>
      </c>
      <c r="N1218" t="n">
        <v>0.0556</v>
      </c>
      <c r="O1218" t="n">
        <v>0.1103</v>
      </c>
    </row>
    <row r="1219">
      <c r="A1219" t="inlineStr">
        <is>
          <t>openmicroscopy</t>
        </is>
      </c>
      <c r="B1219" t="inlineStr">
        <is>
          <t>examples/OmeroClients/unloaded.java</t>
        </is>
      </c>
      <c r="C1219">
        <f>HYPERLINK("https://github.com/ome/openmicroscopy/blob/master/examples/OmeroClients/unloaded.java")</f>
        <v/>
      </c>
      <c r="D1219" t="inlineStr">
        <is>
          <t>The code demonstrates how to create and manage `ImageI` objects in the OMERO framework using Java. It shows two ways to instantiate `ImageI`: one as a fully loaded object with all its properties accessible, and another as an unloaded proxy that only allows access to basic metadata like ID without loading the actual image data. The code includes assertions to check if images are loaded or unloaded and examples of</t>
        </is>
      </c>
      <c r="E1219" t="n">
        <v>0.0026</v>
      </c>
      <c r="F1219" t="n">
        <v>0.0256</v>
      </c>
      <c r="G1219" t="n">
        <v>0.0704</v>
      </c>
      <c r="H1219" t="inlineStr">
        <is>
          <t>Manages loading and unloading of `ImageI` objects in OMERO, allowing for efficient memory management.</t>
        </is>
      </c>
      <c r="I1219" t="n">
        <v>0.0143</v>
      </c>
      <c r="J1219" t="n">
        <v>0.09089999999999999</v>
      </c>
      <c r="K1219" t="n">
        <v>0.0581</v>
      </c>
      <c r="L1219" t="inlineStr">
        <is>
          <t>This Java code demonstrates how to manage the lifecycle of `ImageI` objects from the OMERO library. It shows how to create both loaded and unloaded instances, unload them, and perform basic operations like accessing their IDs without attempting to retrieve any data that might cause exceptions if the object is still loaded. The code includes assertions to verify the state changes between loading and unloading.</t>
        </is>
      </c>
      <c r="M1219" t="n">
        <v>0.0033</v>
      </c>
      <c r="N1219" t="n">
        <v>0.0548</v>
      </c>
      <c r="O1219" t="n">
        <v>0.073</v>
      </c>
    </row>
    <row r="1220">
      <c r="A1220" t="inlineStr">
        <is>
          <t>openmicroscopy</t>
        </is>
      </c>
      <c r="B1220" t="inlineStr">
        <is>
          <t>examples/Training/markup.py</t>
        </is>
      </c>
      <c r="C1220">
        <f>HYPERLINK("https://github.com/ome/openmicroscopy/blob/master/examples/Training/markup.py")</f>
        <v/>
      </c>
      <c r="D1220" t="inlineStr">
        <is>
          <t>The provided Python script `markup.py` processes a list of text files, filtering out specific types based on their extensions (.py, .m, .java). It then reads each line from these files, skipping any lines that match certain patterns (e.g., starting with '# =' or '% ='), and yields non-empty lines followed by a newline character. The script can be run directly to generate output</t>
        </is>
      </c>
      <c r="E1220" t="n">
        <v>0.0029</v>
      </c>
      <c r="F1220" t="n">
        <v>0.0286</v>
      </c>
      <c r="G1220" t="n">
        <v>0.0741</v>
      </c>
      <c r="H1220" t="inlineStr">
        <is>
          <t>The code processes a list of text files, filtering out header comments specific to certain programming languages like Python, MATLAB, and Java, and then outputs the remaining content as plain text. It uses regular expressions to identify and exclude lines that start with `# =`, `% =`, or `// =`. The processed content includes any non-empty lines except those starting with these markers.</t>
        </is>
      </c>
      <c r="I1220" t="n">
        <v>0.0029</v>
      </c>
      <c r="J1220" t="n">
        <v>0.0303</v>
      </c>
      <c r="K1220" t="n">
        <v>0.0741</v>
      </c>
      <c r="L1220" t="inlineStr">
        <is>
          <t>The Python script `markup.py` processes a list of text files, filtering out header comments specific to certain programming languages like Python, MATLAB, and Java. It then yields each non-header line as part of a block until it encounters an end marker (`END_MARKER`). The function handles different file extensions by checking their suffixes and skipping any initial header lines that match these patterns. The processed content can be</t>
        </is>
      </c>
      <c r="M1220" t="n">
        <v>0.0027</v>
      </c>
      <c r="N1220" t="n">
        <v>0.0513</v>
      </c>
      <c r="O1220" t="n">
        <v>0.07190000000000001</v>
      </c>
    </row>
    <row r="1221">
      <c r="A1221" t="inlineStr">
        <is>
          <t>openmicroscopy</t>
        </is>
      </c>
      <c r="B1221" t="inlineStr">
        <is>
          <t>examples/Training/python/__main__.py</t>
        </is>
      </c>
      <c r="C1221">
        <f>HYPERLINK("https://github.com/ome/openmicroscopy/blob/master/examples/Training/python/__main__.py")</f>
        <v/>
      </c>
      <c r="D1221" t="inlineStr">
        <is>
          <t>The script runs multiple Python scripts located within the same directory by reading their contents using `exec()` and executing them sequentially. The primary purpose appears to be testing or demonstrating various functionalities related to image processing and data manipulation within an OMERO environment.</t>
        </is>
      </c>
      <c r="E1221" t="n">
        <v>0.0043</v>
      </c>
      <c r="F1221" t="n">
        <v>0.0784</v>
      </c>
      <c r="G1221" t="n">
        <v>0.08699999999999999</v>
      </c>
      <c r="H1221" t="inlineStr">
        <is>
          <t>Manages backend software components by executing multiple Python scripts located within the same directory. Complexity is O(N), where N represents the number of scripts executed. The implementation includes core algorithms for various operations related to data access and manipulation.</t>
        </is>
      </c>
      <c r="I1221" t="n">
        <v>0.0062</v>
      </c>
      <c r="J1221" t="n">
        <v>0.1667</v>
      </c>
      <c r="K1221" t="n">
        <v>0.1802</v>
      </c>
      <c r="L1221" t="inlineStr">
        <is>
          <t>This script runs a series of Python scripts located within the same directory as itself, each performing different tasks related to image processing and data manipulation using the OMERO platform. The primary function is to execute multiple utility functions that automate various aspects of working with images and datasets stored in an OMERO server environment.</t>
        </is>
      </c>
      <c r="M1221" t="n">
        <v>0.004</v>
      </c>
      <c r="N1221" t="n">
        <v>0.09520000000000001</v>
      </c>
      <c r="O1221" t="n">
        <v>0.1181</v>
      </c>
    </row>
    <row r="1222">
      <c r="A1222" t="inlineStr">
        <is>
          <t>openmicroscopy</t>
        </is>
      </c>
      <c r="B1222" t="inlineStr">
        <is>
          <t>examples/Training/python/Write_Data.py</t>
        </is>
      </c>
      <c r="C1222">
        <f>HYPERLINK("https://github.com/ome/openmicroscopy/blob/master/examples/Training/python/Write_Data.py")</f>
        <v/>
      </c>
      <c r="D1222" t="inlineStr">
        <is>
          <t>The provided Python script connects to an OMERO server using the `BlitzGateway` library, creates a new dataset named "New Dataset," and links it to a specified project. The script uses properties from a separate file (`Parse_OMERO_Properties.py`) for authentication credentials and project ID. It then prints the ID of the newly created dataset.</t>
        </is>
      </c>
      <c r="E1222" t="n">
        <v>0.0035</v>
      </c>
      <c r="F1222" t="n">
        <v>0.0317</v>
      </c>
      <c r="G1222" t="n">
        <v>0.0806</v>
      </c>
      <c r="H1222" t="inlineStr">
        <is>
          <t>This repository contains backend software components that implement core algorithms for data processing and analysis. The complexity of the implementation is high due to its extensive nature, with multiple interconnected modules and functions. The comments provide detailed explanations of each part of the code, facilitating understanding and maintenance. The commits indicate the initial creation of the codebase. The total size of the codebase is large, consisting of over 10</t>
        </is>
      </c>
      <c r="I1222" t="n">
        <v>0.0037</v>
      </c>
      <c r="J1222" t="n">
        <v>0.1558</v>
      </c>
      <c r="K1222" t="n">
        <v>0.2482</v>
      </c>
      <c r="L1222" t="inlineStr">
        <is>
          <t>The code initializes a connection to an OMERO server using the provided credentials and creates a new dataset within the specified project. It then links the newly created dataset to the existing project by retrieving the project object from the server and updating its associated datasets list. The process involves setting up a connection, creating a dataset instance, saving it to the server, and linking it to a specific project.</t>
        </is>
      </c>
      <c r="M1222" t="n">
        <v>0.0026</v>
      </c>
      <c r="N1222" t="n">
        <v>0.0256</v>
      </c>
      <c r="O1222" t="n">
        <v>0.0704</v>
      </c>
    </row>
    <row r="1223">
      <c r="A1223" t="inlineStr">
        <is>
          <t>openmicroscopy</t>
        </is>
      </c>
      <c r="B1223" t="inlineStr">
        <is>
          <t>examples/Training/python/ROIs.py</t>
        </is>
      </c>
      <c r="C1223">
        <f>HYPERLINK("https://github.com/ome/openmicroscopy/blob/master/examples/Training/python/ROIs.py")</f>
        <v/>
      </c>
      <c r="D1223" t="inlineStr">
        <is>
          <t>The provided code snippet appears to be a script for interacting with an OMERO server using its Python gateway library. It performs the following tasks:
1. Establishes a connection to an OMERO server using the specified username, password, host, and port.
2. Retrieves an update service from the connection.
3. Loads an image by its ID using the `BlitzGateway` class.
4.</t>
        </is>
      </c>
      <c r="E1223" t="n">
        <v>0.003</v>
      </c>
      <c r="F1223" t="n">
        <v>0.029</v>
      </c>
      <c r="G1223" t="n">
        <v>0.0752</v>
      </c>
      <c r="H1223" t="inlineStr">
        <is>
          <t>The repository contains backend software components that implement core algorithms. The complexity of these implementations is O(N), indicating linear time complexity with respect to input size N. The code includes comments explaining its purpose and structure, and it has been committed as part of an initial codebase. The total size of the codebase is 1000 lines.</t>
        </is>
      </c>
      <c r="I1223" t="n">
        <v>0.0043</v>
      </c>
      <c r="J1223" t="n">
        <v>0.1231</v>
      </c>
      <c r="K1223" t="n">
        <v>0.1953</v>
      </c>
      <c r="L1223" t="inlineStr">
        <is>
          <t>The provided Python script connects to an OMERO server, retrieves an image by ID, and creates a region of interest (ROI). It uses the core Python API for handling images and regions, as the Blitz Gateway does not support ROIs natively. The script loads an image from the specified OMERO server, selects an image by ID, and then creates a simple rectangular ROI around the center of the</t>
        </is>
      </c>
      <c r="M1223" t="n">
        <v>0.0032</v>
      </c>
      <c r="N1223" t="n">
        <v>0.0526</v>
      </c>
      <c r="O1223" t="n">
        <v>0.1071</v>
      </c>
    </row>
    <row r="1224">
      <c r="A1224" t="inlineStr">
        <is>
          <t>openmicroscopy</t>
        </is>
      </c>
      <c r="B1224" t="inlineStr">
        <is>
          <t>examples/Training/python/Metadata.py</t>
        </is>
      </c>
      <c r="C1224">
        <f>HYPERLINK("https://github.com/ome/openmicroscopy/blob/master/examples/Training/python/Metadata.py")</f>
        <v/>
      </c>
      <c r="D1224" t="inlineStr">
        <is>
          <t>The script connects to an OMERO server using the specified credentials and retrieves information about a specific image's instrument. It prints details such as the model and type of the microscope associated with the instrument. This script is intended for training purposes only and uses hardcoded values from `Parse_OMERO_Properties.py` for authentication and image ID. The complexity level is O(N), where N represents the number of objects</t>
        </is>
      </c>
      <c r="E1224" t="n">
        <v>0.0033</v>
      </c>
      <c r="F1224" t="n">
        <v>0.0506</v>
      </c>
      <c r="G1224" t="n">
        <v>0.1087</v>
      </c>
      <c r="H1224" t="inlineStr">
        <is>
          <t>The repository contains backend software components that implement core algorithms. The complexity is O(N), indicating linear time complexity with respect to input size N. The implementation includes comments explaining key functionalities, and the code base has been initialized with a single commit. The total code size is 1000 lines.</t>
        </is>
      </c>
      <c r="I1224" t="n">
        <v>0.0049</v>
      </c>
      <c r="J1224" t="n">
        <v>0.1724</v>
      </c>
      <c r="K1224" t="n">
        <v>0.1653</v>
      </c>
      <c r="L1224" t="inlineStr">
        <is>
          <t>The Python script connects to an OMERO server using the BlitzGateway library, retrieves an Image object by ID, and prints details about the associated instrument, including the model and type of microscope. The script assumes that the necessary environment variables (`USERNAME`, `PASSWORD`, `HOST`, `PORT`) and `imageId` are defined elsewhere in the system.</t>
        </is>
      </c>
      <c r="M1224" t="n">
        <v>0.0035</v>
      </c>
      <c r="N1224" t="n">
        <v>0.0333</v>
      </c>
      <c r="O1224" t="n">
        <v>0.0806</v>
      </c>
    </row>
    <row r="1225">
      <c r="A1225" t="inlineStr">
        <is>
          <t>openmicroscopy</t>
        </is>
      </c>
      <c r="B1225" t="inlineStr">
        <is>
          <t>examples/Training/python/Bulk_Shapes.py</t>
        </is>
      </c>
      <c r="C1225">
        <f>HYPERLINK("https://github.com/ome/openmicroscopy/blob/master/examples/Training/python/Bulk_Shapes.py")</f>
        <v/>
      </c>
      <c r="D1225" t="inlineStr">
        <is>
          <t>The provided Python script connects to an OMERO server using the Blitz Gateway library, creates a new Roi object containing multiple Point shapes, and saves it back to the server. The number of shapes created is determined by the `total_shape_count` variable, which defaults to 20. This script is intended for training purposes only and does not include any specific algorithm implementation details.</t>
        </is>
      </c>
      <c r="E1225" t="n">
        <v>0.0035</v>
      </c>
      <c r="F1225" t="n">
        <v>0.0556</v>
      </c>
      <c r="G1225" t="n">
        <v>0.1493</v>
      </c>
      <c r="H1225" t="inlineStr">
        <is>
          <t>The repository contains backend software components that implement core algorithms. The complexity is O(N), indicating linear time complexity for certain operations. The implementation includes comments explaining the purpose of each part of the code. There have been initial commits to establish the codebase. The total size of the code is 1000 lines.</t>
        </is>
      </c>
      <c r="I1225" t="n">
        <v>0.0042</v>
      </c>
      <c r="J1225" t="n">
        <v>0.0984</v>
      </c>
      <c r="K1225" t="n">
        <v>0.1613</v>
      </c>
      <c r="L1225" t="inlineStr">
        <is>
          <t>The script connects to an OMERO server using BlitzGateway, creates a new Roi object with 20 Point shapes, and saves the Roi to the database. The script uses OMERO's query and update services for these operations.</t>
        </is>
      </c>
      <c r="M1225" t="n">
        <v>0.0052</v>
      </c>
      <c r="N1225" t="n">
        <v>0.0444</v>
      </c>
      <c r="O1225" t="n">
        <v>0.0926</v>
      </c>
    </row>
    <row r="1226">
      <c r="A1226" t="inlineStr">
        <is>
          <t>openmicroscopy</t>
        </is>
      </c>
      <c r="B1226" t="inlineStr">
        <is>
          <t>examples/Training/python/Raw_Data_Access.py</t>
        </is>
      </c>
      <c r="C1226">
        <f>HYPERLINK("https://github.com/ome/openmicroscopy/blob/master/examples/Training/python/Raw_Data_Access.py")</f>
        <v/>
      </c>
      <c r="D1226" t="inlineStr">
        <is>
          <t>The provided Python script connects to an OMERO server using the `BlitzGateway` class from the OME library. It retrieves a specified image by its ID and extracts a single plane from it as a 2D NumPy array. This allows for further analysis or processing of the image data within Python environments. The script includes comments explaining each step of the process, making it suitable for training purposes</t>
        </is>
      </c>
      <c r="E1226" t="n">
        <v>0.0032</v>
      </c>
      <c r="F1226" t="n">
        <v>0.0267</v>
      </c>
      <c r="G1226" t="n">
        <v>0.1079</v>
      </c>
      <c r="H1226" t="inlineStr">
        <is>
          <t>The repository contains backend software components with complexity O(N). It implements core algorithms and includes comments explaining the implementation. The code size is 1000 lines.</t>
        </is>
      </c>
      <c r="I1226" t="n">
        <v>0.0191</v>
      </c>
      <c r="J1226" t="n">
        <v>0.2353</v>
      </c>
      <c r="K1226" t="n">
        <v>0.3254</v>
      </c>
      <c r="L1226" t="inlineStr">
        <is>
          <t>The Python script connects to an OMERO server using the BlitzGateway library, retrieves an image by ID, and extracts the first plane from the image data into a 2D NumPy array. The extracted data can be used for further analysis tasks such as image processing or scientific visualization.</t>
        </is>
      </c>
      <c r="M1226" t="n">
        <v>0.0038</v>
      </c>
      <c r="N1226" t="n">
        <v>0.0357</v>
      </c>
      <c r="O1226" t="n">
        <v>0.0833</v>
      </c>
    </row>
    <row r="1227">
      <c r="A1227" t="inlineStr">
        <is>
          <t>openmicroscopy</t>
        </is>
      </c>
      <c r="B1227" t="inlineStr">
        <is>
          <t>examples/Training/python/Delete.py</t>
        </is>
      </c>
      <c r="C1227">
        <f>HYPERLINK("https://github.com/ome/openmicroscopy/blob/master/examples/Training/python/Delete.py")</f>
        <v/>
      </c>
      <c r="D1227" t="inlineStr">
        <is>
          <t>The provided Python script uses the OMERO API to interact with an OME server. It connects to the server using specified credentials, creates two new projects, and then deletes both projects. The script includes comments explaining its purpose and usage for training purposes only.</t>
        </is>
      </c>
      <c r="E1227" t="n">
        <v>0.0042</v>
      </c>
      <c r="F1227" t="n">
        <v>0.0385</v>
      </c>
      <c r="G1227" t="n">
        <v>0.0862</v>
      </c>
      <c r="H1227" t="inlineStr">
        <is>
          <t>The repository contains backend software components that implement core algorithms. The complexity is O(N), indicating linear time complexity for operations involving multiple elements. Comments provide detailed explanations of the implementation, while commits document the initial creation of the codebase. The total size of the code is 1000 lines.</t>
        </is>
      </c>
      <c r="I1227" t="n">
        <v>0.0045</v>
      </c>
      <c r="J1227" t="n">
        <v>0.1053</v>
      </c>
      <c r="K1227" t="n">
        <v>0.213</v>
      </c>
      <c r="L1227" t="inlineStr">
        <is>
          <t>The Python script connects to an OMERO server using the BlitzGateway library, creates two new projects, and then deletes them. The script uses the `create_project` function to add each project to the server and returns their IDs. After creating the projects, the script attempts to delete them by calling the `deleteProject` method for each ID.</t>
        </is>
      </c>
      <c r="M1227" t="n">
        <v>0.0033</v>
      </c>
      <c r="N1227" t="n">
        <v>0.0625</v>
      </c>
      <c r="O1227" t="n">
        <v>0.07870000000000001</v>
      </c>
    </row>
    <row r="1228">
      <c r="A1228" t="inlineStr">
        <is>
          <t>openmicroscopy</t>
        </is>
      </c>
      <c r="B1228" t="inlineStr">
        <is>
          <t>examples/Training/python/Scripting_Service_Example.py</t>
        </is>
      </c>
      <c r="C1228">
        <f>HYPERLINK("https://github.com/ome/openmicroscopy/blob/master/examples/Training/python/Scripting_Service_Example.py")</f>
        <v/>
      </c>
      <c r="D1228" t="inlineStr">
        <is>
          <t>The provided code is a Python script designed to interact with an OMERO database using the BlitzGateway library. It allows users to retrieve information about images based on their IDs through the OMERO scripting service. The script includes basic error handling and uses RTypes for data exchange between the client and server. The complexity of the implementation is O(N), where N represents the number of operations performed during execution.</t>
        </is>
      </c>
      <c r="E1228" t="n">
        <v>0.0026</v>
      </c>
      <c r="F1228" t="n">
        <v>0.0256</v>
      </c>
      <c r="G1228" t="n">
        <v>0.1064</v>
      </c>
      <c r="H1228" t="inlineStr">
        <is>
          <t>The repository contains backend software components that implement core algorithms. The complexity of these implementations is O(N), indicating linear time complexity relative to the input size N. The code size is 1000 lines, suggesting it includes multiple modules or functions.</t>
        </is>
      </c>
      <c r="I1228" t="n">
        <v>0.0055</v>
      </c>
      <c r="J1228" t="n">
        <v>0.1633</v>
      </c>
      <c r="K1228" t="n">
        <v>0.1786</v>
      </c>
      <c r="L1228" t="inlineStr">
        <is>
          <t>This script connects to an OMERO server using the BlitzGateway library and retrieves image data based on an input Image ID. It processes the retrieved image data according to specified algorithms and returns the results. The script uses RTypes for handling OMERO-specific types and includes comments explaining the implementation of core algorithms.</t>
        </is>
      </c>
      <c r="M1228" t="n">
        <v>0.0046</v>
      </c>
      <c r="N1228" t="n">
        <v>0.0984</v>
      </c>
      <c r="O1228" t="n">
        <v>0.2016</v>
      </c>
    </row>
    <row r="1229">
      <c r="A1229" t="inlineStr">
        <is>
          <t>openmicroscopy</t>
        </is>
      </c>
      <c r="B1229" t="inlineStr">
        <is>
          <t>examples/Training/python/Filesets.py</t>
        </is>
      </c>
      <c r="C1229">
        <f>HYPERLINK("https://github.com/ome/openmicroscopy/blob/master/examples/Training/python/Filesets.py")</f>
        <v/>
      </c>
      <c r="D1229" t="inlineStr">
        <is>
          <t>The script connects to an OME-ry server using the provided credentials and retrieves information about a specific image's associated fileset. It prints out the IDs and names of all images within that fileset. The complexity is linear with respect to the number of images in the fileset, as it iterates over each image in the list.</t>
        </is>
      </c>
      <c r="E1229" t="n">
        <v>0.0033</v>
      </c>
      <c r="F1229" t="n">
        <v>0.0303</v>
      </c>
      <c r="G1229" t="n">
        <v>0.0781</v>
      </c>
      <c r="H1229" t="inlineStr">
        <is>
          <t>The repository contains backend software components with complexity O(N), implementing core algorithms. The README provides information about the project's purpose and structure.</t>
        </is>
      </c>
      <c r="I1229" t="n">
        <v>0.0114</v>
      </c>
      <c r="J1229" t="n">
        <v>0.25</v>
      </c>
      <c r="K1229" t="n">
        <v>0.3358</v>
      </c>
      <c r="L1229" t="inlineStr">
        <is>
          <t>The script connects to an OMERO server using credentials from `Parse_OMERO_Properties.py`, retrieves an image by ID, checks if it has a Fileset associated with it, and then lists all images within that Fileset. The output includes each image's ID and name.</t>
        </is>
      </c>
      <c r="M1229" t="n">
        <v>0.0045</v>
      </c>
      <c r="N1229" t="n">
        <v>0.0377</v>
      </c>
      <c r="O1229" t="n">
        <v>0.0885</v>
      </c>
    </row>
    <row r="1230">
      <c r="A1230" t="inlineStr">
        <is>
          <t>openmicroscopy</t>
        </is>
      </c>
      <c r="B1230" t="inlineStr">
        <is>
          <t>examples/Training/python/Render_Images.py</t>
        </is>
      </c>
      <c r="C1230">
        <f>HYPERLINK("https://github.com/ome/openmicroscopy/blob/master/examples/Training/python/Render_Images.py")</f>
        <v/>
      </c>
      <c r="D1230" t="inlineStr">
        <is>
          <t>The script connects to an OMERO server using the provided credentials, retrieves a specific image by ID, generates its thumbnail based on the current rendering settings, and saves it as "thumbnail.jpg". It also prints out the image ID for reference. The script uses the Omero gateway library to interact with the server and the Pillow library to handle image processing tasks.</t>
        </is>
      </c>
      <c r="E1230" t="n">
        <v>0.003</v>
      </c>
      <c r="F1230" t="n">
        <v>0.0286</v>
      </c>
      <c r="G1230" t="n">
        <v>0.0752</v>
      </c>
      <c r="H1230" t="inlineStr">
        <is>
          <t>The repository contains backend software components with complexity O(N), implementing core algorithms. The code size is 1000 lines, and it includes comments explaining the implementation details.</t>
        </is>
      </c>
      <c r="I1230" t="n">
        <v>0.009599999999999999</v>
      </c>
      <c r="J1230" t="n">
        <v>0.2286</v>
      </c>
      <c r="K1230" t="n">
        <v>0.2041</v>
      </c>
      <c r="L1230" t="inlineStr">
        <is>
          <t>The script connects to an OMERO server using BlitzGateway, retrieves a specified image by ID, generates a thumbnail based on the current rendering settings, and saves it as "thumbnail.jpg". The script also prints out the image ID for reference.</t>
        </is>
      </c>
      <c r="M1230" t="n">
        <v>0.0047</v>
      </c>
      <c r="N1230" t="n">
        <v>0.0417</v>
      </c>
      <c r="O1230" t="n">
        <v>0.0901</v>
      </c>
    </row>
    <row r="1231">
      <c r="A1231" t="inlineStr">
        <is>
          <t>openmicroscopy</t>
        </is>
      </c>
      <c r="B1231" t="inlineStr">
        <is>
          <t>examples/Training/python/Tables.py</t>
        </is>
      </c>
      <c r="C1231">
        <f>HYPERLINK("https://github.com/ome/openmicroscopy/blob/master/examples/Training/python/Tables.py")</f>
        <v/>
      </c>
      <c r="D1231" t="inlineStr">
        <is>
          <t>The provided Python script connects to an OMERO server using the BlitzGateway library, creates a new table with two columns ('Uid' and 'MyStringColumnInit'), and populates it with random data. The table's name is generated randomly to ensure uniqueness. This script is intended for training purposes only.</t>
        </is>
      </c>
      <c r="E1231" t="n">
        <v>0.0048</v>
      </c>
      <c r="F1231" t="n">
        <v>0.0364</v>
      </c>
      <c r="G1231" t="n">
        <v>0.1271</v>
      </c>
      <c r="H1231" t="inlineStr">
        <is>
          <t>This repository contains backend software components implementing core algorithms. The complexity is O(N), indicating linear time complexity with respect to input size N. The comments describe the implementation of these algorithms. The commits include an initial codebase commit. The total code size is 1000 lines.</t>
        </is>
      </c>
      <c r="I1231" t="n">
        <v>0.0054</v>
      </c>
      <c r="J1231" t="n">
        <v>0.1481</v>
      </c>
      <c r="K1231" t="n">
        <v>0.1709</v>
      </c>
      <c r="L1231" t="inlineStr">
        <is>
          <t>This Python script connects to an OMERO server using the BlitzGateway library, creates a new table named "TablesDemo", adds two columns: one for long integers and another for strings, and populates them with sample data. The script uses random values for the table name and column names to ensure uniqueness.</t>
        </is>
      </c>
      <c r="M1231" t="n">
        <v>0.0044</v>
      </c>
      <c r="N1231" t="n">
        <v>0.06900000000000001</v>
      </c>
      <c r="O1231" t="n">
        <v>0.123</v>
      </c>
    </row>
    <row r="1232">
      <c r="A1232" t="inlineStr">
        <is>
          <t>openmicroscopy</t>
        </is>
      </c>
      <c r="B1232" t="inlineStr">
        <is>
          <t>examples/Training/python/Parse_OMERO_Properties.py</t>
        </is>
      </c>
      <c r="C1232">
        <f>HYPERLINK("https://github.com/ome/openmicroscopy/blob/master/examples/Training/python/Parse_OMERO_Properties.py")</f>
        <v/>
      </c>
      <c r="D1232" t="inlineStr">
        <is>
          <t>The script initializes an OME-NGFF client using the specified properties from `omero.properties`. It retrieves configuration settings such as host, port, username, password, web host, server name, project ID, dataset ID, image ID, and plate ID. The purpose of this script is for training purposes only.</t>
        </is>
      </c>
      <c r="E1232" t="n">
        <v>0.0041</v>
      </c>
      <c r="F1232" t="n">
        <v>0.0364</v>
      </c>
      <c r="G1232" t="n">
        <v>0.1282</v>
      </c>
      <c r="H1232" t="inlineStr">
        <is>
          <t>The repository contains backend software components that implement core algorithms. The complexity is O(N), indicating linear time complexity for certain operations. Comments describe the implementation of these algorithms. The code size is 1000 lines.</t>
        </is>
      </c>
      <c r="I1232" t="n">
        <v>0.0065</v>
      </c>
      <c r="J1232" t="n">
        <v>0.1395</v>
      </c>
      <c r="K1232" t="n">
        <v>0.1415</v>
      </c>
      <c r="L1232" t="inlineStr">
        <is>
          <t>The Python script initializes an OMERO client using environment variables for connection details such as host, port, username, password, web host, server name, project ID, dataset ID, image ID, and plate ID. It retrieves these properties from the `omero.properties` file and sets them up for use across various training scripts that depend on OMERO data access. The script is intended for training purposes</t>
        </is>
      </c>
      <c r="M1232" t="n">
        <v>0.0029</v>
      </c>
      <c r="N1232" t="n">
        <v>0.0278</v>
      </c>
      <c r="O1232" t="n">
        <v>0.0741</v>
      </c>
    </row>
    <row r="1233">
      <c r="A1233" t="inlineStr">
        <is>
          <t>openmicroscopy</t>
        </is>
      </c>
      <c r="B1233" t="inlineStr">
        <is>
          <t>examples/Training/python/Connect_To_OMERO.py</t>
        </is>
      </c>
      <c r="C1233">
        <f>HYPERLINK("https://github.com/ome/openmicroscopy/blob/master/examples/Training/python/Connect_To_OMERO.py")</f>
        <v/>
      </c>
      <c r="D1233" t="inlineStr">
        <is>
          <t>The provided Python script connects to an OMERO server using the BlitzGateway library from the OmeroPy package. It retrieves user credentials from environment variables (`USERNAME`, `PASSWORD`, `HOST`, `PORT`) and attempts to establish a connection to the specified OMERO server. If successful, it prints details about the connection; otherwise, it exits with an error message indicating that the connection was not established</t>
        </is>
      </c>
      <c r="E1233" t="n">
        <v>0.003</v>
      </c>
      <c r="F1233" t="n">
        <v>0.029</v>
      </c>
      <c r="G1233" t="n">
        <v>0.0752</v>
      </c>
      <c r="H1233" t="inlineStr">
        <is>
          <t>The repository contains backend software components that implement core algorithms. The complexity of these implementations is O(N), indicating they scale linearly with input size. The comments provide detailed explanations of the implementation process, while the commits document the initial creation of the codebase. The total code size is 1000 lines.</t>
        </is>
      </c>
      <c r="I1233" t="n">
        <v>0.0044</v>
      </c>
      <c r="J1233" t="n">
        <v>0.1017</v>
      </c>
      <c r="K1233" t="n">
        <v>0.123</v>
      </c>
      <c r="L1233" t="inlineStr">
        <is>
          <t>The script connects to an OMERO server using the BlitzGateway library, authenticating with specified credentials and hostname/port. It checks if the connection was successful and prints relevant details about the connection. The script is designed primarily for training purposes and includes comments explaining each step of the process.</t>
        </is>
      </c>
      <c r="M1233" t="n">
        <v>0.0038</v>
      </c>
      <c r="N1233" t="n">
        <v>0.0351</v>
      </c>
      <c r="O1233" t="n">
        <v>0.0833</v>
      </c>
    </row>
    <row r="1234">
      <c r="A1234" t="inlineStr">
        <is>
          <t>openmicroscopy</t>
        </is>
      </c>
      <c r="B1234" t="inlineStr">
        <is>
          <t>examples/Training/python/Groups_Permissions.py</t>
        </is>
      </c>
      <c r="C1234">
        <f>HYPERLINK("https://github.com/ome/openmicroscopy/blob/master/examples/Training/python/Groups_Permissions.py")</f>
        <v/>
      </c>
      <c r="D1234" t="inlineStr">
        <is>
          <t>The provided Python script connects to an OMERO server using the `BlitzGateway` class from the OME library. It retrieves information about the current user's group permissions and prints the name of the group along with its permission string. The script assumes that certain properties for authentication (`USERNAME`, `PASSWORD`, `HOST`, `PORT`) and image ID (`imageId`) are already defined elsewhere. This</t>
        </is>
      </c>
      <c r="E1234" t="n">
        <v>0.0037</v>
      </c>
      <c r="F1234" t="n">
        <v>0.0294</v>
      </c>
      <c r="G1234" t="n">
        <v>0.1145</v>
      </c>
      <c r="H1234" t="inlineStr">
        <is>
          <t>The repository contains backend software components with complexity O(N), implementing core algorithms. The README provides information about the project's purpose, usage, and structure.</t>
        </is>
      </c>
      <c r="I1234" t="n">
        <v>0.0109</v>
      </c>
      <c r="J1234" t="n">
        <v>0.2424</v>
      </c>
      <c r="K1234" t="n">
        <v>0.3322</v>
      </c>
      <c r="L1234" t="inlineStr">
        <is>
          <t>The script connects to an OMERO server using the provided credentials, retrieves the current user's group, and prints out the name of that group along with its permissions. The script uses the `BlitzGateway` class from the `omero.gateway` module to establish the connection.</t>
        </is>
      </c>
      <c r="M1234" t="n">
        <v>0.0052</v>
      </c>
      <c r="N1234" t="n">
        <v>0.0385</v>
      </c>
      <c r="O1234" t="n">
        <v>0.1316</v>
      </c>
    </row>
    <row r="1235">
      <c r="A1235" t="inlineStr">
        <is>
          <t>openmicroscopy</t>
        </is>
      </c>
      <c r="B1235" t="inlineStr">
        <is>
          <t>examples/Training/python/Create_Image.py</t>
        </is>
      </c>
      <c r="C1235">
        <f>HYPERLINK("https://github.com/ome/openmicroscopy/blob/master/examples/Training/python/Create_Image.py")</f>
        <v/>
      </c>
      <c r="D1235" t="inlineStr">
        <is>
          <t>The provided Python script uses the OMERO gateway library to connect to an OME server, create a new image from a NumPy array, and save it to the server. The script includes comments explaining its purpose and function.</t>
        </is>
      </c>
      <c r="E1235" t="n">
        <v>0.0049</v>
      </c>
      <c r="F1235" t="n">
        <v>0.0435</v>
      </c>
      <c r="G1235" t="n">
        <v>0.09089999999999999</v>
      </c>
      <c r="H1235" t="inlineStr">
        <is>
          <t>The repository contains backend software components that implement core algorithms. The complexity of these implementations is O(N), indicating linear time complexity with respect to input size N. The comments provide details on the implementation's purpose and functionality. The commits indicate the initial creation of the codebase. The total code size is 1000 lines.</t>
        </is>
      </c>
      <c r="I1235" t="n">
        <v>0.0045</v>
      </c>
      <c r="J1235" t="n">
        <v>0.127</v>
      </c>
      <c r="K1235" t="n">
        <v>0.16</v>
      </c>
      <c r="L1235" t="inlineStr">
        <is>
          <t>The provided Python script uses the OMERO gateway library to connect to an OMERO server and create a new multi-dimensional image from a predefined NumPy array. The script sets up a connection using the specified username, password, host, and port, then creates an image with dimensions 5x4x1x2x1, where each plane has values ranging from 0 to 9.</t>
        </is>
      </c>
      <c r="M1235" t="n">
        <v>0.0032</v>
      </c>
      <c r="N1235" t="n">
        <v>0.0303</v>
      </c>
      <c r="O1235" t="n">
        <v>0.0775</v>
      </c>
    </row>
    <row r="1236">
      <c r="A1236" t="inlineStr">
        <is>
          <t>openmicroscopy</t>
        </is>
      </c>
      <c r="B1236" t="inlineStr">
        <is>
          <t>examples/Training/python/Read_Data.py</t>
        </is>
      </c>
      <c r="C1236">
        <f>HYPERLINK("https://github.com/ome/openmicroscopy/blob/master/examples/Training/python/Read_Data.py")</f>
        <v/>
      </c>
      <c r="D1236" t="inlineStr">
        <is>
          <t>The provided Python script connects to an OME server using the `BlitzGateway` from the `omero.gateway` module. It retrieves information about datasets, images, and plates based on predefined IDs (`datasetId`, `imageId`, `plateId`) stored in external properties files. The script defines a helper function `print_obj` to display details about these objects, including their class name,</t>
        </is>
      </c>
      <c r="E1236" t="n">
        <v>0.0035</v>
      </c>
      <c r="F1236" t="n">
        <v>0.0635</v>
      </c>
      <c r="G1236" t="n">
        <v>0.08</v>
      </c>
      <c r="H1236" t="inlineStr">
        <is>
          <t>The repository contains backend software components with complexity O(N), implementing core algorithms. The README provides information on the project's purpose, usage, and structure.</t>
        </is>
      </c>
      <c r="I1236" t="n">
        <v>0.0109</v>
      </c>
      <c r="J1236" t="n">
        <v>0.2424</v>
      </c>
      <c r="K1236" t="n">
        <v>0.3322</v>
      </c>
      <c r="L1236" t="inlineStr">
        <is>
          <t>The script connects to an OMERO server using the provided credentials and retrieves details about projects owned by the authenticated user. It includes helper functions to print object information and lists all projects associated with the user's account. The code uses the BlitzGateway from the PyOMERO library to interact with the OMERO database.</t>
        </is>
      </c>
      <c r="M1236" t="n">
        <v>0.0035</v>
      </c>
      <c r="N1236" t="n">
        <v>0.0645</v>
      </c>
      <c r="O1236" t="n">
        <v>0.08</v>
      </c>
    </row>
    <row r="1237">
      <c r="A1237" t="inlineStr">
        <is>
          <t>openmicroscopy</t>
        </is>
      </c>
      <c r="B1237" t="inlineStr">
        <is>
          <t>examples/Training/python/Task_Scripts/ROIs_To_Table.py</t>
        </is>
      </c>
      <c r="C1237">
        <f>HYPERLINK("https://github.com/ome/openmicroscopy/blob/master/examples/Training/python/Task_Scripts/ROIs_To_Table.py")</f>
        <v/>
      </c>
      <c r="D1237" t="inlineStr">
        <is>
          <t>The Python script processes images within specified datasets by calculating the total length of each region of interest (ROI) line and storing these lengths in an OMERO table. It also calculates the average line length for each image and adds this value as a double annotation on the image. The script uses the OME-NGA library to interact with an OMERO server.</t>
        </is>
      </c>
      <c r="E1237" t="n">
        <v>0.003</v>
      </c>
      <c r="F1237" t="n">
        <v>0.0286</v>
      </c>
      <c r="G1237" t="n">
        <v>0.1128</v>
      </c>
      <c r="H1237" t="inlineStr">
        <is>
          <t>The repository contains backend software components that implement core algorithms. The complexity of these implementations is O(N), indicating linear time complexity with respect to input size N. The comments describe the implementation as "core algorithms." The commits indicate it was initially created. The total code size is 1000 lines.</t>
        </is>
      </c>
      <c r="I1237" t="n">
        <v>0.0045</v>
      </c>
      <c r="J1237" t="n">
        <v>0.1034</v>
      </c>
      <c r="K1237" t="n">
        <v>0.124</v>
      </c>
      <c r="L1237" t="inlineStr">
        <is>
          <t>The Python script processes datasets by iterating over images within each dataset, calculating the total length of ROIs and averaging these lengths across all images. It then adds these results to an OMERO table and stores the average line length as a double annotation on each image. The function `process_data` takes a connection object and script parameters containing dataset IDs, performing the necessary calculations and updates accordingly.</t>
        </is>
      </c>
      <c r="M1237" t="n">
        <v>0.0027</v>
      </c>
      <c r="N1237" t="n">
        <v>0.0526</v>
      </c>
      <c r="O1237" t="n">
        <v>0.07190000000000001</v>
      </c>
    </row>
    <row r="1238">
      <c r="A1238" t="inlineStr">
        <is>
          <t>openmicroscopy</t>
        </is>
      </c>
      <c r="B1238" t="inlineStr">
        <is>
          <t>examples/Training/python/Task_Scripts/Write_Data_4.py</t>
        </is>
      </c>
      <c r="C1238">
        <f>HYPERLINK("https://github.com/ome/openmicroscopy/blob/master/examples/Training/python/Task_Scripts/Write_Data_4.py")</f>
        <v/>
      </c>
      <c r="D1238" t="inlineStr">
        <is>
          <t>The provided Python script connects to an OME-RI server using the BlitzGateway library and retrieves an image with a specified file name from a given project ID. The script uses environment variables defined in `Parse_OMERO_Properties.py` for authentication details and server configuration. It then prints out information about the retrieved image, such as its ID, name, and dimensions.</t>
        </is>
      </c>
      <c r="E1238" t="n">
        <v>0.0032</v>
      </c>
      <c r="F1238" t="n">
        <v>0.029</v>
      </c>
      <c r="G1238" t="n">
        <v>0.0775</v>
      </c>
      <c r="H1238" t="inlineStr">
        <is>
          <t>The repository contains backend software components that implement core algorithms. The complexity is O(N), indicating linear time complexity with respect to input size. The comments describe the implementation of these algorithms. The commits include an initial codebase commit. The total code size is 1000 lines.</t>
        </is>
      </c>
      <c r="I1238" t="n">
        <v>0.0049</v>
      </c>
      <c r="J1238" t="n">
        <v>0.1111</v>
      </c>
      <c r="K1238" t="n">
        <v>0.1282</v>
      </c>
      <c r="L1238" t="inlineStr">
        <is>
          <t>This script connects to an OMERO server using the BlitzGateway library and retrieves an image based on the provided project ID. It then saves the image to a specified file name. The script uses environment variables defined in `Parse_OMERO_Properties.py` for authentication credentials and server details.</t>
        </is>
      </c>
      <c r="M1238" t="n">
        <v>0.0049</v>
      </c>
      <c r="N1238" t="n">
        <v>0.07140000000000001</v>
      </c>
      <c r="O1238" t="n">
        <v>0.1282</v>
      </c>
    </row>
    <row r="1239">
      <c r="A1239" t="inlineStr">
        <is>
          <t>openmicroscopy</t>
        </is>
      </c>
      <c r="B1239" t="inlineStr">
        <is>
          <t>examples/Training/python/Task_Scripts/Raw_Data_Task.py</t>
        </is>
      </c>
      <c r="C1239">
        <f>HYPERLINK("https://github.com/ome/openmicroscopy/blob/master/examples/Training/python/Task_Scripts/Raw_Data_Task.py")</f>
        <v/>
      </c>
      <c r="D1239" t="inlineStr">
        <is>
          <t>The provided code is a Python script designed to be executed on the OME Server using the OMERO scripting service. It connects to an OMERO instance using specified credentials and retrieves an image with a given ID. The script uses the `BlitzGateway` class from the OMERO gateway library to interact with the server. The retrieved image data can then be processed or analyzed further within the script.</t>
        </is>
      </c>
      <c r="E1239" t="n">
        <v>0.0027</v>
      </c>
      <c r="F1239" t="n">
        <v>0.0267</v>
      </c>
      <c r="G1239" t="n">
        <v>0.07190000000000001</v>
      </c>
      <c r="H1239" t="inlineStr">
        <is>
          <t>The code provides a repository containing backend software components with complexity O(N), implementing core algorithms. It includes comments explaining the implementation and commits detailing the initial codebase creation. The code size is 1000 lines.</t>
        </is>
      </c>
      <c r="I1239" t="n">
        <v>0.0072</v>
      </c>
      <c r="J1239" t="n">
        <v>0.186</v>
      </c>
      <c r="K1239" t="n">
        <v>0.1887</v>
      </c>
      <c r="L1239" t="inlineStr">
        <is>
          <t>This script connects to an OMERO server using the provided credentials and retrieves data associated with a specified image ID. It utilizes the `BlitzGateway` class from the OMERO gateway library to interact with the server's database and retrieve image properties such as dimensions and pixel values. The retrieved data is then processed using NumPy functions to handle arrays efficiently.</t>
        </is>
      </c>
      <c r="M1239" t="n">
        <v>0.0037</v>
      </c>
      <c r="N1239" t="n">
        <v>0.0588</v>
      </c>
      <c r="O1239" t="n">
        <v>0.1145</v>
      </c>
    </row>
    <row r="1240">
      <c r="A1240" t="inlineStr">
        <is>
          <t>openmicroscopy</t>
        </is>
      </c>
      <c r="B1240" t="inlineStr">
        <is>
          <t>examples/Training/python/Task_Scripts/Write_Data_3.py</t>
        </is>
      </c>
      <c r="C1240">
        <f>HYPERLINK("https://github.com/ome/openmicroscopy/blob/master/examples/Training/python/Task_Scripts/Write_Data_3.py")</f>
        <v/>
      </c>
      <c r="D1240" t="inlineStr">
        <is>
          <t>The provided code is a Python script designed to interact with an OME-R environment using the BlitzGateway library. It connects to an OMERO server using specified credentials and performs operations such as retrieving data or performing validations. The script includes comments explaining its purpose and usage, along with references to external properties files for configuration details.</t>
        </is>
      </c>
      <c r="E1240" t="n">
        <v>0.0033</v>
      </c>
      <c r="F1240" t="n">
        <v>0.0308</v>
      </c>
      <c r="G1240" t="n">
        <v>0.0781</v>
      </c>
      <c r="H1240" t="inlineStr">
        <is>
          <t>The repository contains backend software components that implement core algorithms. Complexity is O(N), indicating linear time complexity with respect to input size. The implementation includes comments explaining its purpose and structure. Initial codebase commit was made. The total code size is 1000 lines.</t>
        </is>
      </c>
      <c r="I1240" t="n">
        <v>0.0056</v>
      </c>
      <c r="J1240" t="n">
        <v>0.1538</v>
      </c>
      <c r="K1240" t="n">
        <v>0.1739</v>
      </c>
      <c r="L1240" t="inlineStr">
        <is>
          <t>This Python script connects to an OMERO server using the BlitzGateway library, retrieves an image based on a given Image ID, and performs some unspecified operation on that image. The script uses properties defined in `Parse_OMERO_Properties.py` for authentication details and specifies a dataset ID. It includes comments indicating that it is intended for training purposes only.</t>
        </is>
      </c>
      <c r="M1240" t="n">
        <v>0.0039</v>
      </c>
      <c r="N1240" t="n">
        <v>0.0597</v>
      </c>
      <c r="O1240" t="n">
        <v>0.1172</v>
      </c>
    </row>
    <row r="1241">
      <c r="A1241" t="inlineStr">
        <is>
          <t>openmicroscopy</t>
        </is>
      </c>
      <c r="B1241" t="inlineStr">
        <is>
          <t>examples/Training/python/Task_Scripts/Raw_Data2.py</t>
        </is>
      </c>
      <c r="C1241">
        <f>HYPERLINK("https://github.com/ome/openmicroscopy/blob/master/examples/Training/python/Task_Scripts/Raw_Data2.py")</f>
        <v/>
      </c>
      <c r="D1241" t="inlineStr">
        <is>
          <t>The provided Python script connects to an OMERO server using the BlitzGateway library, retrieves an image with a specified ID, and performs some operations on it. The script uses NumPy to handle array operations and includes comments explaining its purpose and implementation details.</t>
        </is>
      </c>
      <c r="E1241" t="n">
        <v>0.0043</v>
      </c>
      <c r="F1241" t="n">
        <v>0.0392</v>
      </c>
      <c r="G1241" t="n">
        <v>0.1304</v>
      </c>
      <c r="H1241" t="inlineStr">
        <is>
          <t>The repository contains backend software components that implement core algorithms. The complexity is O(N), indicating linear time complexity with respect to input size N. The comments describe the implementation of these algorithms. The commits include the initial creation of the codebase. The total code size is 1000 lines.</t>
        </is>
      </c>
      <c r="I1241" t="n">
        <v>0.0045</v>
      </c>
      <c r="J1241" t="n">
        <v>0.1053</v>
      </c>
      <c r="K1241" t="n">
        <v>0.125</v>
      </c>
      <c r="L1241" t="inlineStr">
        <is>
          <t>This script connects to an OMERO server using specified credentials and retrieves data associated with a given image ID. It utilizes the OMERO gateway library to interact with the server's API, parsing properties from `Parse_OMERO_Properties.py` to authenticate and specify the target image. The script demonstrates basic interaction with the OMERO server for retrieving image data, which can be expanded for more complex tasks such as</t>
        </is>
      </c>
      <c r="M1241" t="n">
        <v>0.0033</v>
      </c>
      <c r="N1241" t="n">
        <v>0.0519</v>
      </c>
      <c r="O1241" t="n">
        <v>0.1095</v>
      </c>
    </row>
    <row r="1242">
      <c r="A1242" t="inlineStr">
        <is>
          <t>openmicroscopy</t>
        </is>
      </c>
      <c r="B1242" t="inlineStr">
        <is>
          <t>examples/Training/python/Advanced/Raw_Data_advanced.py</t>
        </is>
      </c>
      <c r="C1242">
        <f>HYPERLINK("https://github.com/ome/openmicroscopy/blob/master/examples/Training/python/Advanced/Raw_Data_advanced.py")</f>
        <v/>
      </c>
      <c r="D1242" t="inlineStr">
        <is>
          <t>The provided Python script connects to an OMERO server using the `BlitzGateway` library and retrieves the primary pixels of an image specified by its ID. It then saves the raw data of this single plane as a TIFF file for further analysis. The script includes comments explaining its purpose and usage, but lacks detailed implementation details beyond saving the image's primary pixels.</t>
        </is>
      </c>
      <c r="E1242" t="n">
        <v>0.0029</v>
      </c>
      <c r="F1242" t="n">
        <v>0.0563</v>
      </c>
      <c r="G1242" t="n">
        <v>0.1493</v>
      </c>
      <c r="H1242" t="inlineStr">
        <is>
          <t>The repository contains backend software components implementing core algorithms. The complexity is O(N), indicating linear time complexity with respect to input size N. Comments describe the implementation of these algorithms. Initial codebase commit was made. The total code size is 1000 lines.</t>
        </is>
      </c>
      <c r="I1242" t="n">
        <v>0.0052</v>
      </c>
      <c r="J1242" t="n">
        <v>0.1176</v>
      </c>
      <c r="K1242" t="n">
        <v>0.1316</v>
      </c>
      <c r="L1242" t="inlineStr">
        <is>
          <t>This Python script connects to an OMERO server using the BlitzGateway library and retrieves the primary pixels of an image specified by `imageId`. It then saves these raw data as TIFF files for further analysis, ensuring consistent scaling across channels. The script uses the `Parse_OMERO_Properties` module to access necessary credentials and configuration settings.</t>
        </is>
      </c>
      <c r="M1242" t="n">
        <v>0.0045</v>
      </c>
      <c r="N1242" t="n">
        <v>0.09520000000000001</v>
      </c>
      <c r="O1242" t="n">
        <v>0.16</v>
      </c>
    </row>
    <row r="1243">
      <c r="A1243" t="inlineStr">
        <is>
          <t>openmicroscopy</t>
        </is>
      </c>
      <c r="B1243" t="inlineStr">
        <is>
          <t>examples/Training/python/Advanced/Read_Data_advanced.py</t>
        </is>
      </c>
      <c r="C1243">
        <f>HYPERLINK("https://github.com/ome/openmicroscopy/blob/master/examples/Training/python/Advanced/Read_Data_advanced.py")</f>
        <v/>
      </c>
      <c r="D1243" t="inlineStr">
        <is>
          <t>The provided Python script connects to an OMERO server using the BlitzGateway library, creates multiple datasets with specified names, and saves them to the server. The script uses OMERO's RTypes for string handling and iterates over a range to create three datasets named "MyDataset". Each dataset is then saved to the server using the update service.</t>
        </is>
      </c>
      <c r="E1243" t="n">
        <v>0.0033</v>
      </c>
      <c r="F1243" t="n">
        <v>0.0308</v>
      </c>
      <c r="G1243" t="n">
        <v>0.0781</v>
      </c>
      <c r="H1243" t="inlineStr">
        <is>
          <t>The repository contains backend software components that implement core algorithms. The complexity is O(N), indicating linear time complexity with respect to input size N. The comments describe the implementation of these algorithms. There have been initial commits to establish the codebase. The total code size is 1000 lines.</t>
        </is>
      </c>
      <c r="I1243" t="n">
        <v>0.0045</v>
      </c>
      <c r="J1243" t="n">
        <v>0.1053</v>
      </c>
      <c r="K1243" t="n">
        <v>0.125</v>
      </c>
      <c r="L1243" t="inlineStr">
        <is>
          <t>The Python script connects to an OMERO server using BlitzGateway, creates three datasets named "MyDataset", and saves them to the server. The script uses the OMERO API to interact with the database.</t>
        </is>
      </c>
      <c r="M1243" t="n">
        <v>0.0058</v>
      </c>
      <c r="N1243" t="n">
        <v>0.05</v>
      </c>
      <c r="O1243" t="n">
        <v>0.09619999999999999</v>
      </c>
    </row>
    <row r="1244">
      <c r="A1244" t="inlineStr">
        <is>
          <t>openmicroscopy</t>
        </is>
      </c>
      <c r="B1244" t="inlineStr">
        <is>
          <t>examples/Training/python/Advanced/Create_Image_advanced.py</t>
        </is>
      </c>
      <c r="C1244">
        <f>HYPERLINK("https://github.com/ome/openmicroscopy/blob/master/examples/Training/python/Advanced/Create_Image_advanced.py")</f>
        <v/>
      </c>
      <c r="D1244" t="inlineStr">
        <is>
          <t>The script connects to an OMERO server using the provided credentials and retrieves an image by name within a specific dataset. It then creates a new image that replaces one channel with another from the retrieved image. The complexity is O(N), where N is the number of images in the dataset.</t>
        </is>
      </c>
      <c r="E1244" t="n">
        <v>0.0036</v>
      </c>
      <c r="F1244" t="n">
        <v>0.0333</v>
      </c>
      <c r="G1244" t="n">
        <v>0.0813</v>
      </c>
      <c r="H1244" t="inlineStr">
        <is>
          <t>This repository contains backend software components that implement core algorithms for processing images using the OMERO platform. The complexity is O(N), indicating linear time complexity with respect to the number of elements involved. The code size is 1000 lines, suggesting it includes multiple modules or functions.</t>
        </is>
      </c>
      <c r="I1244" t="n">
        <v>0.0053</v>
      </c>
      <c r="J1244" t="n">
        <v>0.1818</v>
      </c>
      <c r="K1244" t="n">
        <v>0.3613</v>
      </c>
      <c r="L1244" t="inlineStr">
        <is>
          <t>The Python script connects to an OMERO server using the BlitzGateway library, retrieves an image by name within a specific dataset, and then creates a new image that replaces one channel of the retrieved image with another. The process involves connecting to the server, retrieving the target image, iterating through the children of the dataset to find the correct image by name, and then creating a new image with the desired modifications</t>
        </is>
      </c>
      <c r="M1244" t="n">
        <v>0.0025</v>
      </c>
      <c r="N1244" t="n">
        <v>0.025</v>
      </c>
      <c r="O1244" t="n">
        <v>0.0694</v>
      </c>
    </row>
    <row r="1245">
      <c r="A1245" t="inlineStr">
        <is>
          <t>openmicroscopy</t>
        </is>
      </c>
      <c r="B1245" t="inlineStr">
        <is>
          <t>examples/Training/python/Advanced/Write_data_advanced.py</t>
        </is>
      </c>
      <c r="C1245">
        <f>HYPERLINK("https://github.com/ome/openmicroscopy/blob/master/examples/Training/python/Advanced/Write_data_advanced.py")</f>
        <v/>
      </c>
      <c r="D1245" t="inlineStr">
        <is>
          <t>The provided Python script connects to an OMERO server using the BlitzGateway library, creates two new datasets named "New Dataset" and "New Dataset2", and prints their IDs. The script uses OMERO's RTypes for string handling and interacts with the OMERO update service to save the datasets.</t>
        </is>
      </c>
      <c r="E1245" t="n">
        <v>0.004</v>
      </c>
      <c r="F1245" t="n">
        <v>0.0364</v>
      </c>
      <c r="G1245" t="n">
        <v>0.0847</v>
      </c>
      <c r="H1245" t="inlineStr">
        <is>
          <t>This repository contains backend software components that implement core algorithms for processing images using the OMERO platform. The complexity of these implementations is high due to their extensive use of data manipulation and image analysis techniques. The code size is large, indicating a significant amount of functionality within the system.</t>
        </is>
      </c>
      <c r="I1245" t="n">
        <v>0.0055</v>
      </c>
      <c r="J1245" t="n">
        <v>0.1724</v>
      </c>
      <c r="K1245" t="n">
        <v>0.2459</v>
      </c>
      <c r="L1245" t="inlineStr">
        <is>
          <t>This Python script connects to an OMERO server using the BlitzGateway library, creates two new datasets named "New Dataset" and "New Dataset2", and prints their IDs. The code uses OMERO's RTypes for string handling and interacts with the update service to save the datasets.</t>
        </is>
      </c>
      <c r="M1245" t="n">
        <v>0.005</v>
      </c>
      <c r="N1245" t="n">
        <v>0.0755</v>
      </c>
      <c r="O1245" t="n">
        <v>0.1293</v>
      </c>
    </row>
    <row r="1246">
      <c r="A1246" t="inlineStr">
        <is>
          <t>openmicroscopy</t>
        </is>
      </c>
      <c r="B1246" t="inlineStr">
        <is>
          <t>examples/Training/python/Json_Api/Login.py</t>
        </is>
      </c>
      <c r="C1246">
        <f>HYPERLINK("https://github.com/ome/openmicroscopy/blob/master/examples/Training/python/Json_Api/Login.py")</f>
        <v/>
      </c>
      <c r="D1246" t="inlineStr">
        <is>
          <t>The Python script retrieves information about available API endpoints for an OME server using its web interface. It starts by fetching all supported versions of the API, then selects the latest one. The script extracts URLs related to various functionalities such as servers, login, projects, saving data, and schema management. It also captures the CSRF token required for logging into the system. This setup allows for further interaction with the</t>
        </is>
      </c>
      <c r="E1246" t="n">
        <v>0.0031</v>
      </c>
      <c r="F1246" t="n">
        <v>0.0513</v>
      </c>
      <c r="G1246" t="n">
        <v>0.1056</v>
      </c>
      <c r="H1246" t="inlineStr">
        <is>
          <t>This repository contains backend software components that implement core algorithms. The complexity of the implementation is O(N), indicating linear time complexity with respect to input size N. The comments describe the purpose of each part of the code, while the commits indicate the initial creation of the codebase. The total code size is 1000 lines.</t>
        </is>
      </c>
      <c r="I1246" t="n">
        <v>0.0044</v>
      </c>
      <c r="J1246" t="n">
        <v>0.125</v>
      </c>
      <c r="K1246" t="n">
        <v>0.1969</v>
      </c>
      <c r="L1246" t="inlineStr">
        <is>
          <t>This Python script uses the `requests` library to interact with the OMERO web API to retrieve server URLs and perform basic authentication. It starts by fetching the latest available API version and then retrieves various endpoints such as servers, login, projects, save, and schema. The script also extracts a CSRF token from the cookies for subsequent POST requests during authentication.</t>
        </is>
      </c>
      <c r="M1246" t="n">
        <v>0.0036</v>
      </c>
      <c r="N1246" t="n">
        <v>0.0588</v>
      </c>
      <c r="O1246" t="n">
        <v>0.1136</v>
      </c>
    </row>
    <row r="1247">
      <c r="A1247" t="inlineStr">
        <is>
          <t>openmicroscopy</t>
        </is>
      </c>
      <c r="B1247" t="inlineStr">
        <is>
          <t>examples/Training/javascript/utils.js</t>
        </is>
      </c>
      <c r="C1247">
        <f>HYPERLINK("https://github.com/ome/openmicroscopy/blob/master/examples/Training/javascript/utils.js")</f>
        <v/>
      </c>
      <c r="D1247" t="inlineStr">
        <is>
          <t>The provided code defines two functions:
1. `makeJSONRequest`: This asynchronous function sends HTTP requests to a specified URL using the Fetch API. It supports methods like GET, POST, PUT, and DELETE. For POST requests, it includes a CSRF token from a cookie in the request headers. The function returns parsed JSON responses or throws errors if the server responds with a non-200 status</t>
        </is>
      </c>
      <c r="E1247" t="n">
        <v>0.0034</v>
      </c>
      <c r="F1247" t="n">
        <v>0.0833</v>
      </c>
      <c r="G1247" t="n">
        <v>0.1111</v>
      </c>
      <c r="H1247" t="inlineStr">
        <is>
          <t>This repository contains backend software components that implement core algorithms. The complexity is O(N), indicating linear time complexity in relation to input size. The comments describe the implementation of these algorithms. The commits indicate the initial creation of the codebase. The total code size is 1000 lines.</t>
        </is>
      </c>
      <c r="I1247" t="n">
        <v>0.0051</v>
      </c>
      <c r="J1247" t="n">
        <v>0.1429</v>
      </c>
      <c r="K1247" t="n">
        <v>0.1681</v>
      </c>
      <c r="L1247" t="inlineStr">
        <is>
          <t>The `makeJSONRequest` function is an asynchronous HTTP client that sends requests using the Fetch API. It supports various methods such as GET, POST, PUT, DELETE, and includes CSRF token handling for POST requests. The function takes three parameters: `method`, `url`, and optional `data`. It constructs request options based on these parameters, including headers for CSRF tokens if necessary. After sending the</t>
        </is>
      </c>
      <c r="M1247" t="n">
        <v>0.003</v>
      </c>
      <c r="N1247" t="n">
        <v>0.058</v>
      </c>
      <c r="O1247" t="n">
        <v>0.0752</v>
      </c>
    </row>
    <row r="1248">
      <c r="A1248" t="inlineStr">
        <is>
          <t>openmicroscopy</t>
        </is>
      </c>
      <c r="B1248" t="inlineStr">
        <is>
          <t>examples/Training/java/src/training/WriteData.java</t>
        </is>
      </c>
      <c r="C1248">
        <f>HYPERLINK("https://github.com/ome/openmicroscopy/blob/master/examples/Training/java/src/training/WriteData.java")</f>
        <v/>
      </c>
      <c r="D1248" t="inlineStr">
        <is>
          <t>The code implements core algorithms with a time complexity of O(N). It includes comments explaining its implementation and provides a README file describing its purpose and usage. The total size of the code is 1000 lines.</t>
        </is>
      </c>
      <c r="E1248" t="n">
        <v>0.0121</v>
      </c>
      <c r="F1248" t="n">
        <v>0.1333</v>
      </c>
      <c r="G1248" t="n">
        <v>0.2366</v>
      </c>
      <c r="H1248" t="inlineStr">
        <is>
          <t>This repository contains backend software components implementing core algorithms. The complexity is O(N), indicating linear time performance relative to input size. Comments describe the implementation of these algorithms. Initial codebase was committed. The total code size is 1000 lines.</t>
        </is>
      </c>
      <c r="I1248" t="n">
        <v>0.0062</v>
      </c>
      <c r="J1248" t="n">
        <v>0.1667</v>
      </c>
      <c r="K1248" t="n">
        <v>0.1802</v>
      </c>
      <c r="L1248" t="inlineStr">
        <is>
          <t>This code implements core algorithms for backend software components, focusing on efficient data processing and manipulation tasks. It has a time complexity of O(N), indicating linear performance relative to input size, and includes comments explaining implementation details. The code base was initially committed with no specific messages, reflecting its initial state.</t>
        </is>
      </c>
      <c r="M1248" t="n">
        <v>0.009599999999999999</v>
      </c>
      <c r="N1248" t="n">
        <v>0.1333</v>
      </c>
      <c r="O1248" t="n">
        <v>0.3024</v>
      </c>
    </row>
    <row r="1249">
      <c r="A1249" t="inlineStr">
        <is>
          <t>openmicroscopy</t>
        </is>
      </c>
      <c r="B1249" t="inlineStr">
        <is>
          <t>examples/Training/java/src/training/ROIFolders.java</t>
        </is>
      </c>
      <c r="C1249">
        <f>HYPERLINK("https://github.com/ome/openmicroscopy/blob/master/examples/Training/java/src/training/ROIFolders.java")</f>
        <v/>
      </c>
      <c r="D1249" t="inlineStr">
        <is>
          <t>The provided code is a C++ implementation of core algorithms within a backend software component. It includes comments explaining its purpose, complexity analysis, and commits detailing the initial creation of the codebase. The total size of the code is approximately 1000 lines.</t>
        </is>
      </c>
      <c r="E1249" t="n">
        <v>0.0058</v>
      </c>
      <c r="F1249" t="n">
        <v>0.12</v>
      </c>
      <c r="G1249" t="n">
        <v>0.1754</v>
      </c>
      <c r="H1249" t="inlineStr">
        <is>
          <t>Implements core algorithms for backend software components. Complexity is O(N).</t>
        </is>
      </c>
      <c r="I1249" t="n">
        <v>0.0251</v>
      </c>
      <c r="J1249" t="n">
        <v>0.2105</v>
      </c>
      <c r="K1249" t="n">
        <v>0.3117</v>
      </c>
      <c r="L1249" t="inlineStr">
        <is>
          <t>This code implements core algorithms for backend software components, handling input data efficiently with a time complexity of O(N). The implementation includes comments explaining the core functionalities and is part of an initial codebase commit. The total size of the codebase is approximately 1000 lines.</t>
        </is>
      </c>
      <c r="M1249" t="n">
        <v>0.0109</v>
      </c>
      <c r="N1249" t="n">
        <v>0.2222</v>
      </c>
      <c r="O1249" t="n">
        <v>0.4368</v>
      </c>
    </row>
    <row r="1250">
      <c r="A1250" t="inlineStr">
        <is>
          <t>openmicroscopy</t>
        </is>
      </c>
      <c r="B1250" t="inlineStr">
        <is>
          <t>examples/Training/java/src/training/ROIs.java</t>
        </is>
      </c>
      <c r="C1250">
        <f>HYPERLINK("https://github.com/ome/openmicroscopy/blob/master/examples/Training/java/src/training/ROIs.java")</f>
        <v/>
      </c>
      <c r="D1250" t="inlineStr">
        <is>
          <t>The provided code implements core algorithms with a time complexity of O(N). It includes comments explaining its implementation and complexity analysis. The code size is approximately 1000 lines.</t>
        </is>
      </c>
      <c r="E1250" t="n">
        <v>0.0157</v>
      </c>
      <c r="F1250" t="n">
        <v>0.1622</v>
      </c>
      <c r="G1250" t="n">
        <v>0.2556</v>
      </c>
      <c r="H1250" t="inlineStr">
        <is>
          <t>The code implements core algorithms for a backend software component. It has a complexity of O(N), indicating linear time complexity, and includes comments explaining its implementation. The README provides information about the repository's purpose and structure.</t>
        </is>
      </c>
      <c r="I1250" t="n">
        <v>0.013</v>
      </c>
      <c r="J1250" t="n">
        <v>0.1304</v>
      </c>
      <c r="K1250" t="n">
        <v>0.2922</v>
      </c>
      <c r="L1250" t="inlineStr">
        <is>
          <t>This code implements core algorithms for backend software components, focusing on efficient data processing and manipulation. It has a time complexity of O(N), indicating linear performance relative to input size, and includes comments explaining implementation details. The code base was initially committed, and its total size is approximately 1000 lines.</t>
        </is>
      </c>
      <c r="M1250" t="n">
        <v>0.0098</v>
      </c>
      <c r="N1250" t="n">
        <v>0.1356</v>
      </c>
      <c r="O1250" t="n">
        <v>0.3049</v>
      </c>
    </row>
    <row r="1251">
      <c r="A1251" t="inlineStr">
        <is>
          <t>openmicroscopy</t>
        </is>
      </c>
      <c r="B1251" t="inlineStr">
        <is>
          <t>examples/Training/java/src/training/DeleteData.java</t>
        </is>
      </c>
      <c r="C1251">
        <f>HYPERLINK("https://github.com/ome/openmicroscopy/blob/master/examples/Training/java/src/training/DeleteData.java")</f>
        <v/>
      </c>
      <c r="D1251" t="inlineStr">
        <is>
          <t>The provided code is a backend software component designed to implement core algorithms. It follows the GPL license and includes comments explaining its implementation. The complexity of the code is O(N), indicating linear time complexity relative to input size N. The README file provides information about the repository's contents and structure. The total code size is 1000 lines.</t>
        </is>
      </c>
      <c r="E1251" t="n">
        <v>0.0041</v>
      </c>
      <c r="F1251" t="n">
        <v>0.1176</v>
      </c>
      <c r="G1251" t="n">
        <v>0.2428</v>
      </c>
      <c r="H1251" t="inlineStr">
        <is>
          <t>The code implements core algorithms for a backend system. It has a complexity of O(N), indicating linear time performance relative to input size. The implementation includes comments explaining its purpose and structure.</t>
        </is>
      </c>
      <c r="I1251" t="n">
        <v>0.0137</v>
      </c>
      <c r="J1251" t="n">
        <v>0.1463</v>
      </c>
      <c r="K1251" t="n">
        <v>0.2457</v>
      </c>
      <c r="L1251" t="inlineStr">
        <is>
          <t>This code implements core algorithms for a backend software component, handling input data efficiently with a time complexity of O(N). The implementation includes comments explaining the core functionalities, making it easy to understand and maintain.</t>
        </is>
      </c>
      <c r="M1251" t="n">
        <v>0.0141</v>
      </c>
      <c r="N1251" t="n">
        <v>0.2727</v>
      </c>
      <c r="O1251" t="n">
        <v>0.2336</v>
      </c>
    </row>
    <row r="1252">
      <c r="A1252" t="inlineStr">
        <is>
          <t>openmicroscopy</t>
        </is>
      </c>
      <c r="B1252" t="inlineStr">
        <is>
          <t>examples/Training/java/src/training/RenderImages.java</t>
        </is>
      </c>
      <c r="C1252">
        <f>HYPERLINK("https://github.com/ome/openmicroscopy/blob/master/examples/Training/java/src/training/RenderImages.java")</f>
        <v/>
      </c>
      <c r="D1252" t="inlineStr">
        <is>
          <t>The code implements core algorithms with a time complexity of O(N). It includes comments explaining its implementation and provides a README file describing its purpose and usage. The total size of the codebase is 1000 lines.</t>
        </is>
      </c>
      <c r="E1252" t="n">
        <v>0.0121</v>
      </c>
      <c r="F1252" t="n">
        <v>0.1333</v>
      </c>
      <c r="G1252" t="n">
        <v>0.2366</v>
      </c>
      <c r="H1252" t="inlineStr">
        <is>
          <t>The repository contains backend software components implementing core algorithms. The complexity is O(N), indicating linear time complexity. The comments describe the implementation of these algorithms. The commits include an initial codebase commit. The total size of the codebase is 1000 lines.</t>
        </is>
      </c>
      <c r="I1252" t="n">
        <v>0.0054</v>
      </c>
      <c r="J1252" t="n">
        <v>0.12</v>
      </c>
      <c r="K1252" t="n">
        <v>0.1327</v>
      </c>
      <c r="L1252" t="inlineStr">
        <is>
          <t>The provided code implements core algorithms for backend software components, focusing on efficient data processing and manipulation. It has a time complexity of \(O(N)\), indicating linear performance relative to input size. The implementation includes comments explaining the core functionalities, which were added during the initial codebase commit. The total code size is approximately 1000 lines, reflecting its comprehensive nature in handling various backend tasks efficiently</t>
        </is>
      </c>
      <c r="M1252" t="n">
        <v>0.007</v>
      </c>
      <c r="N1252" t="n">
        <v>0.1081</v>
      </c>
      <c r="O1252" t="n">
        <v>0.146</v>
      </c>
    </row>
    <row r="1253">
      <c r="A1253" t="inlineStr">
        <is>
          <t>openmicroscopy</t>
        </is>
      </c>
      <c r="B1253" t="inlineStr">
        <is>
          <t>examples/Training/java/src/training/Setup.java</t>
        </is>
      </c>
      <c r="C1253">
        <f>HYPERLINK("https://github.com/ome/openmicroscopy/blob/master/examples/Training/java/src/training/Setup.java")</f>
        <v/>
      </c>
      <c r="D1253" t="inlineStr">
        <is>
          <t>The code implements core algorithms with a time complexity of O(N). It includes comments explaining its implementation and is part of a larger repository containing backend software components. The README file provides information about the repository's purpose, while the commits section indicates the initial creation of the codebase. The total size of the code is 1000 lines.</t>
        </is>
      </c>
      <c r="E1253" t="n">
        <v>0.0081</v>
      </c>
      <c r="F1253" t="n">
        <v>0.0896</v>
      </c>
      <c r="G1253" t="n">
        <v>0.2884</v>
      </c>
      <c r="H1253" t="inlineStr">
        <is>
          <t>The repository contains backend software components implementing core algorithms. The complexity is O(N), indicating linear time complexity, and the comments describe the implementation of these algorithms. The code size is 1000 lines.</t>
        </is>
      </c>
      <c r="I1253" t="n">
        <v>0.0077</v>
      </c>
      <c r="J1253" t="n">
        <v>0.1951</v>
      </c>
      <c r="K1253" t="n">
        <v>0.1923</v>
      </c>
      <c r="L1253" t="inlineStr">
        <is>
          <t>This code implements core algorithms for backend software components, focusing on efficient data processing and manipulation. It has a time complexity of O(N), indicating linear performance relative to input size. The implementation includes comments explaining the core functionalities, making it easier to understand and maintain.</t>
        </is>
      </c>
      <c r="M1253" t="n">
        <v>0.0109</v>
      </c>
      <c r="N1253" t="n">
        <v>0.2222</v>
      </c>
      <c r="O1253" t="n">
        <v>0.2137</v>
      </c>
    </row>
    <row r="1254">
      <c r="A1254" t="inlineStr">
        <is>
          <t>openmicroscopy</t>
        </is>
      </c>
      <c r="B1254" t="inlineStr">
        <is>
          <t>examples/Training/java/src/training/CreateImage.java</t>
        </is>
      </c>
      <c r="C1254">
        <f>HYPERLINK("https://github.com/ome/openmicroscopy/blob/master/examples/Training/java/src/training/CreateImage.java")</f>
        <v/>
      </c>
      <c r="D1254" t="inlineStr">
        <is>
          <t>The code provides backend software components for complex algorithms, implemented using O(N) complexity. It includes comments explaining its purpose and implementation. The README file describes the repository's contents and structure. The total size of the code is 1000 lines.</t>
        </is>
      </c>
      <c r="E1254" t="n">
        <v>0.0056</v>
      </c>
      <c r="F1254" t="n">
        <v>0.1224</v>
      </c>
      <c r="G1254" t="n">
        <v>0.1802</v>
      </c>
      <c r="H1254" t="inlineStr">
        <is>
          <t>Implements core algorithms for backend software components. Complexity is O(N).</t>
        </is>
      </c>
      <c r="I1254" t="n">
        <v>0.0251</v>
      </c>
      <c r="J1254" t="n">
        <v>0.2105</v>
      </c>
      <c r="K1254" t="n">
        <v>0.3117</v>
      </c>
      <c r="L1254" t="inlineStr">
        <is>
          <t>The provided code implements core algorithms for backend software components, focusing on efficient data processing and manipulation. It has a time complexity of O(N), indicating linear performance relative to input size, and includes comments explaining implementation details. The code base was initially committed, and its total size is approximately 1000 lines.</t>
        </is>
      </c>
      <c r="M1254" t="n">
        <v>0.008999999999999999</v>
      </c>
      <c r="N1254" t="n">
        <v>0.1</v>
      </c>
      <c r="O1254" t="n">
        <v>0.2566</v>
      </c>
    </row>
    <row r="1255">
      <c r="A1255" t="inlineStr">
        <is>
          <t>openmicroscopy</t>
        </is>
      </c>
      <c r="B1255" t="inlineStr">
        <is>
          <t>examples/Training/java/src/training/LoadMetadataAdvanced.java</t>
        </is>
      </c>
      <c r="C1255">
        <f>HYPERLINK("https://github.com/ome/openmicroscopy/blob/master/examples/Training/java/src/training/LoadMetadataAdvanced.java")</f>
        <v/>
      </c>
      <c r="D1255" t="inlineStr">
        <is>
          <t>The provided code implements core algorithms and is written in C++. It has a time complexity of O(N), indicating linear performance relative to input size N. The code includes comments explaining its purpose and implementation details. There are no specific commits mentioned, so the exact history of changes is unknown. The total size of the codebase is 1000 lines.</t>
        </is>
      </c>
      <c r="E1255" t="n">
        <v>0.0072</v>
      </c>
      <c r="F1255" t="n">
        <v>0.0882</v>
      </c>
      <c r="G1255" t="n">
        <v>0.1951</v>
      </c>
      <c r="H1255" t="inlineStr">
        <is>
          <t>The code implements core algorithms for a backend system. Complexity is O(N), indicating linear time complexity. The implementation includes comments explaining its purpose and usage.</t>
        </is>
      </c>
      <c r="I1255" t="n">
        <v>0.0177</v>
      </c>
      <c r="J1255" t="n">
        <v>0.1765</v>
      </c>
      <c r="K1255" t="n">
        <v>0.2635</v>
      </c>
      <c r="L1255" t="inlineStr">
        <is>
          <t>This code implements core algorithms for backend software components, focusing on efficient data processing and manipulation. It has a time complexity of \(O(N)\), making it suitable for handling large datasets. The implementation includes comments explaining the core functionalities, which aids in understanding and maintaining the codebase.</t>
        </is>
      </c>
      <c r="M1255" t="n">
        <v>0.0106</v>
      </c>
      <c r="N1255" t="n">
        <v>0.2182</v>
      </c>
      <c r="O1255" t="n">
        <v>0.2119</v>
      </c>
    </row>
    <row r="1256">
      <c r="A1256" t="inlineStr">
        <is>
          <t>openmicroscopy</t>
        </is>
      </c>
      <c r="B1256" t="inlineStr">
        <is>
          <t>examples/Training/java/src/training/ReadDataAdvanced.java</t>
        </is>
      </c>
      <c r="C1256">
        <f>HYPERLINK("https://github.com/ome/openmicroscopy/blob/master/examples/Training/java/src/training/ReadDataAdvanced.java")</f>
        <v/>
      </c>
      <c r="D1256" t="inlineStr">
        <is>
          <t>The code provides backend software components with complexity O(N), implementing core algorithms. It includes comments explaining the implementation and commits detailing the initial codebase creation. The total size of the code is 1000 lines.</t>
        </is>
      </c>
      <c r="E1256" t="n">
        <v>0.0072</v>
      </c>
      <c r="F1256" t="n">
        <v>0.186</v>
      </c>
      <c r="G1256" t="n">
        <v>0.1887</v>
      </c>
      <c r="H1256" t="inlineStr">
        <is>
          <t>The repository contains backend software components implementing core algorithms. The complexity is O(N), indicating linear time complexity. The comments describe the implementation of these algorithms. There has been one initial commit to establish the codebase. The total size of the code is 1000 lines.</t>
        </is>
      </c>
      <c r="I1256" t="n">
        <v>0.005</v>
      </c>
      <c r="J1256" t="n">
        <v>0.1132</v>
      </c>
      <c r="K1256" t="n">
        <v>0.1293</v>
      </c>
      <c r="L1256" t="inlineStr">
        <is>
          <t>This code implements core algorithms for backend software components, focusing on efficient data processing and manipulation. It has a time complexity of \(O(N)\), making it suitable for handling large datasets. The implementation includes comments explaining the core functionalities, ensuring clarity and ease of maintenance.</t>
        </is>
      </c>
      <c r="M1256" t="n">
        <v>0.0111</v>
      </c>
      <c r="N1256" t="n">
        <v>0.2264</v>
      </c>
      <c r="O1256" t="n">
        <v>0.2155</v>
      </c>
    </row>
    <row r="1257">
      <c r="A1257" t="inlineStr">
        <is>
          <t>openmicroscopy</t>
        </is>
      </c>
      <c r="B1257" t="inlineStr">
        <is>
          <t>examples/Training/java/src/training/Sudo.java</t>
        </is>
      </c>
      <c r="C1257">
        <f>HYPERLINK("https://github.com/ome/openmicroscopy/blob/master/examples/Training/java/src/training/Sudo.java")</f>
        <v/>
      </c>
      <c r="D1257" t="inlineStr">
        <is>
          <t>The code implements core algorithms with a time complexity of O(N). It includes comments explaining its implementation and provides a README file describing its purpose and contents. The total size of the code is 1000 lines.</t>
        </is>
      </c>
      <c r="E1257" t="n">
        <v>0.0121</v>
      </c>
      <c r="F1257" t="n">
        <v>0.1333</v>
      </c>
      <c r="G1257" t="n">
        <v>0.2366</v>
      </c>
      <c r="H1257" t="inlineStr">
        <is>
          <t>Implements core algorithms for backend software components. Complexity is O(N).</t>
        </is>
      </c>
      <c r="I1257" t="n">
        <v>0.0251</v>
      </c>
      <c r="J1257" t="n">
        <v>0.2105</v>
      </c>
      <c r="K1257" t="n">
        <v>0.3117</v>
      </c>
      <c r="L1257" t="inlineStr">
        <is>
          <t>The code implements core algorithms for backend software components, handling input data efficiently with a time complexity of O(N). The implementation includes comments explaining the core functionalities, making it easier to understand and maintain.</t>
        </is>
      </c>
      <c r="M1257" t="n">
        <v>0.0138</v>
      </c>
      <c r="N1257" t="n">
        <v>0.2326</v>
      </c>
      <c r="O1257" t="n">
        <v>0.1887</v>
      </c>
    </row>
    <row r="1258">
      <c r="A1258" t="inlineStr">
        <is>
          <t>openmicroscopy</t>
        </is>
      </c>
      <c r="B1258" t="inlineStr">
        <is>
          <t>examples/Training/java/src/training/RawDataAccess.java</t>
        </is>
      </c>
      <c r="C1258">
        <f>HYPERLINK("https://github.com/ome/openmicroscopy/blob/master/examples/Training/java/src/training/RawDataAccess.java")</f>
        <v/>
      </c>
      <c r="D1258" t="inlineStr">
        <is>
          <t>The provided code implements core algorithms and is part of a larger backend software component repository. It has a time complexity of O(N), indicating linear performance relative to input size N. The code includes comments explaining its implementation and structure.</t>
        </is>
      </c>
      <c r="E1258" t="n">
        <v>0.0116</v>
      </c>
      <c r="F1258" t="n">
        <v>0.1224</v>
      </c>
      <c r="G1258" t="n">
        <v>0.3321</v>
      </c>
      <c r="H1258" t="inlineStr">
        <is>
          <t>Implements core algorithms for backend software components. Complexity is O(N).</t>
        </is>
      </c>
      <c r="I1258" t="n">
        <v>0.0251</v>
      </c>
      <c r="J1258" t="n">
        <v>0.2105</v>
      </c>
      <c r="K1258" t="n">
        <v>0.3117</v>
      </c>
      <c r="L1258" t="inlineStr">
        <is>
          <t>This code implements core algorithms for backend software components, focusing on efficient data processing and manipulation tasks. It has a time complexity of \(O(N)\), making it suitable for large datasets. The implementation includes comments explaining the core functionalities, which helps in maintaining and understanding the codebase.</t>
        </is>
      </c>
      <c r="M1258" t="n">
        <v>0.0106</v>
      </c>
      <c r="N1258" t="n">
        <v>0.2182</v>
      </c>
      <c r="O1258" t="n">
        <v>0.2119</v>
      </c>
    </row>
    <row r="1259">
      <c r="A1259" t="inlineStr">
        <is>
          <t>openmicroscopy</t>
        </is>
      </c>
      <c r="B1259" t="inlineStr">
        <is>
          <t>examples/Training/java/src/training/ReadData.java</t>
        </is>
      </c>
      <c r="C1259">
        <f>HYPERLINK("https://github.com/ome/openmicroscopy/blob/master/examples/Training/java/src/training/ReadData.java")</f>
        <v/>
      </c>
      <c r="D1259" t="inlineStr">
        <is>
          <t>The code implements core algorithms with a time complexity of O(N). It includes comments explaining its implementation and is part of a larger repository containing backend software components. The README provides information about the repository's purpose, complexity, and commits.</t>
        </is>
      </c>
      <c r="E1259" t="n">
        <v>0.0119</v>
      </c>
      <c r="F1259" t="n">
        <v>0.1224</v>
      </c>
      <c r="G1259" t="n">
        <v>0.3351</v>
      </c>
      <c r="H1259" t="inlineStr">
        <is>
          <t>The repository contains backend software components implementing core algorithms. The complexity is O(N), indicating linear time complexity. The implementation includes comments explaining the purpose and functionality of each part of the code. The code size is 1000 lines.</t>
        </is>
      </c>
      <c r="I1259" t="n">
        <v>0.0069</v>
      </c>
      <c r="J1259" t="n">
        <v>0.1702</v>
      </c>
      <c r="K1259" t="n">
        <v>0.2273</v>
      </c>
      <c r="L1259" t="inlineStr">
        <is>
          <t>The code implements core algorithms for backend software components, handling input data efficiently with a time complexity of O(N). It includes comments explaining implementation details and is part of an initial codebase commit. The total size of the code is 1000 lines.</t>
        </is>
      </c>
      <c r="M1259" t="n">
        <v>0.011</v>
      </c>
      <c r="N1259" t="n">
        <v>0.1176</v>
      </c>
      <c r="O1259" t="n">
        <v>0.3263</v>
      </c>
    </row>
    <row r="1260">
      <c r="A1260" t="inlineStr">
        <is>
          <t>openmicroscopy</t>
        </is>
      </c>
      <c r="B1260" t="inlineStr">
        <is>
          <t>examples/Training/java/src/training/HowToUseTables.java</t>
        </is>
      </c>
      <c r="C1260">
        <f>HYPERLINK("https://github.com/ome/openmicroscopy/blob/master/examples/Training/java/src/training/HowToUseTables.java")</f>
        <v/>
      </c>
      <c r="D1260" t="inlineStr">
        <is>
          <t>The code implements core algorithms with a time complexity of O(N). It includes comments explaining its implementation and complexity analysis. The README provides information about the repository's contents and structure.</t>
        </is>
      </c>
      <c r="E1260" t="n">
        <v>0.0146</v>
      </c>
      <c r="F1260" t="n">
        <v>0.15</v>
      </c>
      <c r="G1260" t="n">
        <v>0.2505</v>
      </c>
      <c r="H1260" t="inlineStr">
        <is>
          <t>Implements core algorithms for backend software components. Complexity is O(N).</t>
        </is>
      </c>
      <c r="I1260" t="n">
        <v>0.0251</v>
      </c>
      <c r="J1260" t="n">
        <v>0.2105</v>
      </c>
      <c r="K1260" t="n">
        <v>0.3117</v>
      </c>
      <c r="L1260" t="inlineStr">
        <is>
          <t>The provided code implements core algorithms for backend software components, handling data processing efficiently with a time complexity of O(N). The implementation includes initial comments describing the core functionalities and was committed initially. The total size of the codebase is approximately 1000 lines.</t>
        </is>
      </c>
      <c r="M1260" t="n">
        <v>0.0108</v>
      </c>
      <c r="N1260" t="n">
        <v>0.1923</v>
      </c>
      <c r="O1260" t="n">
        <v>0.3878</v>
      </c>
    </row>
    <row r="1261">
      <c r="A1261" t="inlineStr">
        <is>
          <t>openmicroscopy</t>
        </is>
      </c>
      <c r="B1261" t="inlineStr">
        <is>
          <t>examples/TreeList/AllProjects.py</t>
        </is>
      </c>
      <c r="C1261">
        <f>HYPERLINK("https://github.com/ome/openmicroscopy/blob/master/examples/TreeList/AllProjects.py")</f>
        <v/>
      </c>
      <c r="D1261" t="inlineStr">
        <is>
          <t>The provided Python script defines a function `getProjects` that retrieves projects from an OME (Open Microscopy Environment) server based on a given username. The function uses the OMERO API to execute a SQL-like query against the database, fetching project details along with their associated datasets and images. The complexity is O(N), indicating linear time relative to the number of results returned by the query.</t>
        </is>
      </c>
      <c r="E1261" t="n">
        <v>0.0028</v>
      </c>
      <c r="F1261" t="n">
        <v>0.0541</v>
      </c>
      <c r="G1261" t="n">
        <v>0.0735</v>
      </c>
      <c r="H1261" t="inlineStr">
        <is>
          <t>This Python script provides a function `getProjects` that retrieves projects from an OMERO server based on a given username using a specific SQL query. The complexity is linear with respect to the number of projects returned (N), as it involves fetching data for each project.</t>
        </is>
      </c>
      <c r="I1261" t="n">
        <v>0.0041</v>
      </c>
      <c r="J1261" t="n">
        <v>0.0755</v>
      </c>
      <c r="K1261" t="n">
        <v>0.08550000000000001</v>
      </c>
      <c r="L1261" t="inlineStr">
        <is>
          <t>This Python script defines a function `getProjects` that retrieves all projects owned by a specified user from an OMERO server using the PyOMERO library. The function constructs a SQL-like query to select projects based on their owner's name and includes eager fetching for related datasets and child objects. It returns a list of project proxies matching the criteria.</t>
        </is>
      </c>
      <c r="M1261" t="n">
        <v>0.0037</v>
      </c>
      <c r="N1261" t="n">
        <v>0.0882</v>
      </c>
      <c r="O1261" t="n">
        <v>0.1154</v>
      </c>
    </row>
    <row r="1262">
      <c r="A1262" t="inlineStr">
        <is>
          <t>openmicroscopy</t>
        </is>
      </c>
      <c r="B1262" t="inlineStr">
        <is>
          <t>examples/TreeList/Main.java</t>
        </is>
      </c>
      <c r="C1262">
        <f>HYPERLINK("https://github.com/ome/openmicroscopy/blob/master/examples/TreeList/Main.java")</f>
        <v/>
      </c>
      <c r="D1262" t="inlineStr">
        <is>
          <t>The provided Java code connects to an OME server using command-line arguments for hostname, port, username, and password. It then retrieves all projects from the server's query service and prints their details using another utility method. The `main` method handles exceptions by calling a usage function if any argument is missing. Finally, it closes the session with the server after operations are completed.</t>
        </is>
      </c>
      <c r="E1262" t="n">
        <v>0.0029</v>
      </c>
      <c r="F1262" t="n">
        <v>0.0274</v>
      </c>
      <c r="G1262" t="n">
        <v>0.0741</v>
      </c>
      <c r="H1262" t="inlineStr">
        <is>
          <t>The provided Java code connects to an OMERO server using command-line arguments for host, port, username, and password. It retrieves all projects from the specified user's account and prints their details. The complexity is O(N), where N represents the number of projects retrieved.</t>
        </is>
      </c>
      <c r="I1262" t="n">
        <v>0.0043</v>
      </c>
      <c r="J1262" t="n">
        <v>0.037</v>
      </c>
      <c r="K1262" t="n">
        <v>0.08699999999999999</v>
      </c>
      <c r="L1262" t="inlineStr">
        <is>
          <t>The code establishes a connection to an OMERO server using command-line arguments for host, port, username, and password. It then retrieves all projects from the server's query service and prints them out. The `Usage` class is used to display usage instructions if any arguments are missing. Finally, the session is closed after processing.</t>
        </is>
      </c>
      <c r="M1262" t="n">
        <v>0.0035</v>
      </c>
      <c r="N1262" t="n">
        <v>0.0317</v>
      </c>
      <c r="O1262" t="n">
        <v>0.08</v>
      </c>
    </row>
    <row r="1263">
      <c r="A1263" t="inlineStr">
        <is>
          <t>openmicroscopy</t>
        </is>
      </c>
      <c r="B1263" t="inlineStr">
        <is>
          <t>examples/TreeList/PrintProjects.java</t>
        </is>
      </c>
      <c r="C1263">
        <f>HYPERLINK("https://github.com/ome/openmicroscopy/blob/master/examples/TreeList/PrintProjects.java")</f>
        <v/>
      </c>
      <c r="D1263" t="inlineStr">
        <is>
          <t>The `PrintProjects` class provides a method to iterate over a list of projects and their associated datasets. It prints each project's name followed by the names of all its linked datasets. The complexity is O(N), where N is the total number of projects in the input list.</t>
        </is>
      </c>
      <c r="E1263" t="n">
        <v>0.0039</v>
      </c>
      <c r="F1263" t="n">
        <v>0.0351</v>
      </c>
      <c r="G1263" t="n">
        <v>0.042</v>
      </c>
      <c r="H1263" t="inlineStr">
        <is>
          <t>The code defines a `PrintProjects` class with a method `print` that takes a list of `Project` objects as input. It iterates over each project, prints its name, and then retrieves all associated datasets using `copyDatasetLinks()`. For each dataset linked to the project, it prints the dataset's name prefixed by two spaces. The complexity is O(N), where N is the</t>
        </is>
      </c>
      <c r="I1263" t="n">
        <v>0.0031</v>
      </c>
      <c r="J1263" t="n">
        <v>0.029</v>
      </c>
      <c r="K1263" t="n">
        <v>0.07630000000000001</v>
      </c>
      <c r="L1263" t="inlineStr">
        <is>
          <t>The `PrintProjects` class provides a method `print` that takes a list of `Project` objects as input and prints their names along with the names of all datasets linked to each project. The method iterates over each project, retrieves its name, and then lists the names of all associated datasets using a copy of the `projectDatasetLinks`. Each dataset's name is printed indented under the</t>
        </is>
      </c>
      <c r="M1263" t="n">
        <v>0.0029</v>
      </c>
      <c r="N1263" t="n">
        <v>0.0278</v>
      </c>
      <c r="O1263" t="n">
        <v>0.0741</v>
      </c>
    </row>
    <row r="1264">
      <c r="A1264" t="inlineStr">
        <is>
          <t>openmicroscopy</t>
        </is>
      </c>
      <c r="B1264" t="inlineStr">
        <is>
          <t>examples/TreeList/Usage.py</t>
        </is>
      </c>
      <c r="C1264">
        <f>HYPERLINK("https://github.com/ome/openmicroscopy/blob/master/examples/TreeList/Usage.py")</f>
        <v/>
      </c>
      <c r="D1264" t="inlineStr">
        <is>
          <t>The provided Python script is a command-line utility that takes four arguments (host, port, username, and password) to connect to a server using these credentials. It prints usage instructions if no arguments are provided or if fewer than four arguments are given. The complexity of this implementation is O(1), as it involves basic operations like printing text and exiting the program based on input conditions.</t>
        </is>
      </c>
      <c r="E1264" t="n">
        <v>0.0028</v>
      </c>
      <c r="F1264" t="n">
        <v>0.08</v>
      </c>
      <c r="G1264" t="n">
        <v>0.146</v>
      </c>
      <c r="H1264" t="inlineStr">
        <is>
          <t>This Python script is designed to run as a command-line tool for managing tree data structures. It takes four arguments: `host`, `port`, `username`, and `password`. The function `usage()` provides instructions on how to use the script correctly. The complexity is O(N), indicating that it may involve processing or iterating over N elements in its operations. The comments describe the implementation of core algorithms</t>
        </is>
      </c>
      <c r="I1264" t="n">
        <v>0.0038</v>
      </c>
      <c r="J1264" t="n">
        <v>0.0822</v>
      </c>
      <c r="K1264" t="n">
        <v>0.1852</v>
      </c>
      <c r="L1264" t="inlineStr">
        <is>
          <t>This Python script defines a function `usage()` that prints a usage message and exits with a status code of -2 when called. The script is part of a larger system for managing tree lists and requires command-line arguments specifying the host, port, username, and password.</t>
        </is>
      </c>
      <c r="M1264" t="n">
        <v>0.0049</v>
      </c>
      <c r="N1264" t="n">
        <v>0.1111</v>
      </c>
      <c r="O1264" t="n">
        <v>0.1282</v>
      </c>
    </row>
    <row r="1265">
      <c r="A1265" t="inlineStr">
        <is>
          <t>openmicroscopy</t>
        </is>
      </c>
      <c r="B1265" t="inlineStr">
        <is>
          <t>examples/TreeList/AllProjects.java</t>
        </is>
      </c>
      <c r="C1265">
        <f>HYPERLINK("https://github.com/ome/openmicroscopy/blob/master/examples/TreeList/AllProjects.java")</f>
        <v/>
      </c>
      <c r="D1265" t="inlineStr">
        <is>
          <t>The provided Java code defines a method `getProjects` that retrieves all projects associated with a given user in an OME server using the OMERO API. The method takes two parameters: an instance of `IQueryPrx`, which is used to interact with the OMERO database, and a `String` representing the username. It constructs a SQL-like query to select projects owned by the specified user</t>
        </is>
      </c>
      <c r="E1265" t="n">
        <v>0.0029</v>
      </c>
      <c r="F1265" t="n">
        <v>0.0282</v>
      </c>
      <c r="G1265" t="n">
        <v>0.0746</v>
      </c>
      <c r="H1265" t="inlineStr">
        <is>
          <t>Retrieves all projects associated with a given user using the OMERO API.</t>
        </is>
      </c>
      <c r="I1265" t="n">
        <v>0</v>
      </c>
      <c r="J1265" t="n">
        <v>0</v>
      </c>
      <c r="K1265" t="n">
        <v>0.0595</v>
      </c>
      <c r="L1265" t="inlineStr">
        <is>
          <t>The `AllProjects` class provides a method `getProjects` that retrieves all projects owned by a specified user from an OMERO server using the OME API. The method constructs a query to select projects based on their owner's name and returns them as a list of `Project` objects.</t>
        </is>
      </c>
      <c r="M1265" t="n">
        <v>0.004</v>
      </c>
      <c r="N1265" t="n">
        <v>0.0364</v>
      </c>
      <c r="O1265" t="n">
        <v>0.0847</v>
      </c>
    </row>
    <row r="1266">
      <c r="A1266" t="inlineStr">
        <is>
          <t>openmicroscopy</t>
        </is>
      </c>
      <c r="B1266" t="inlineStr">
        <is>
          <t>examples/TreeList/PrintProjects.py</t>
        </is>
      </c>
      <c r="C1266">
        <f>HYPERLINK("https://github.com/ome/openmicroscopy/blob/master/examples/TreeList/PrintProjects.py")</f>
        <v/>
      </c>
      <c r="D1266" t="inlineStr">
        <is>
          <t>The Python script defines a function `print_` that takes a list of projects as input. It iterates over each project, prints its name, and then lists all dataset links associated with it by printing their names. The complexity is O(N), where N is the total number of datasets across all projects.</t>
        </is>
      </c>
      <c r="E1266" t="n">
        <v>0.0036</v>
      </c>
      <c r="F1266" t="n">
        <v>0.0667</v>
      </c>
      <c r="G1266" t="n">
        <v>0.0813</v>
      </c>
      <c r="H1266" t="inlineStr">
        <is>
          <t>The code is a Python script that prints out the names of datasets associated with each project from a list of projects. It uses recursion to traverse through the dataset links and prints their names. The complexity is O(N), where N is the total number of datasets across all projects.</t>
        </is>
      </c>
      <c r="I1266" t="n">
        <v>0.0037</v>
      </c>
      <c r="J1266" t="n">
        <v>0.0339</v>
      </c>
      <c r="K1266" t="n">
        <v>0.082</v>
      </c>
      <c r="L1266" t="inlineStr">
        <is>
          <t>The Python script defines a function `print_` that takes a list of projects as input. It iterates over each project, prints the name of the project, and then lists all dataset links associated with the project by printing their names. The function uses helper methods like `getName()` and `copyDatasetLinks()` from the project objects to access relevant data.</t>
        </is>
      </c>
      <c r="M1266" t="n">
        <v>0.0032</v>
      </c>
      <c r="N1266" t="n">
        <v>0.0615</v>
      </c>
      <c r="O1266" t="n">
        <v>0.0775</v>
      </c>
    </row>
    <row r="1267">
      <c r="A1267" t="inlineStr">
        <is>
          <t>openmicroscopy</t>
        </is>
      </c>
      <c r="B1267" t="inlineStr">
        <is>
          <t>examples/TreeList/Usage.java</t>
        </is>
      </c>
      <c r="C1267">
        <f>HYPERLINK("https://github.com/ome/openmicroscopy/blob/master/examples/TreeList/Usage.java")</f>
        <v/>
      </c>
      <c r="D1267" t="inlineStr">
        <is>
          <t>The `Usage` class provides a simple method to display usage instructions for a program when it is run with incorrect arguments. The method prints "TreeList.Main host port username password" followed by exiting the program with a status code of -2. This indicates that the user has provided insufficient or invalid command-line arguments.</t>
        </is>
      </c>
      <c r="E1267" t="n">
        <v>0.0035</v>
      </c>
      <c r="F1267" t="n">
        <v>0.0323</v>
      </c>
      <c r="G1267" t="n">
        <v>0.0806</v>
      </c>
      <c r="H1267" t="inlineStr">
        <is>
          <t>The `Usage` class provides a method to display usage instructions for a tree list application. It prints a message indicating how to use the program and exits with a status code of -2. The complexity is linear (O(N)) due to potential string manipulation or other operations that might depend on input size, but without more context, it's difficult to specify exactly what N represents in this case.</t>
        </is>
      </c>
      <c r="I1267" t="n">
        <v>0.0027</v>
      </c>
      <c r="J1267" t="n">
        <v>0.026</v>
      </c>
      <c r="K1267" t="n">
        <v>0.1079</v>
      </c>
      <c r="L1267" t="inlineStr">
        <is>
          <t>The `Usage` class provides a simple method called `usage()` that prints a usage message indicating how to run the application using command-line arguments for host, port, username, and password. It then exits the program with a status code of -2.</t>
        </is>
      </c>
      <c r="M1267" t="n">
        <v>0.0046</v>
      </c>
      <c r="N1267" t="n">
        <v>0.0408</v>
      </c>
      <c r="O1267" t="n">
        <v>0.0893</v>
      </c>
    </row>
    <row r="1268">
      <c r="A1268" t="inlineStr">
        <is>
          <t>openmicroscopy</t>
        </is>
      </c>
      <c r="B1268" t="inlineStr">
        <is>
          <t>examples/TreeList/Main.py</t>
        </is>
      </c>
      <c r="C1268">
        <f>HYPERLINK("https://github.com/ome/openmicroscopy/blob/master/examples/TreeList/Main.py")</f>
        <v/>
      </c>
      <c r="D1268" t="inlineStr">
        <is>
          <t>The script connects to an OME server using command-line arguments for host, port, username, and password. It then retrieves all projects from the server's query service and prints them using another function. The script handles exceptions by calling `Usage.usage()` if any argument is missing. Finally, it closes the session with the server.</t>
        </is>
      </c>
      <c r="E1268" t="n">
        <v>0.0035</v>
      </c>
      <c r="F1268" t="n">
        <v>0.0317</v>
      </c>
      <c r="G1268" t="n">
        <v>0.0806</v>
      </c>
      <c r="H1268" t="inlineStr">
        <is>
          <t>The code is a Python script that connects to an OMERO server using command-line arguments for hostname, port, username, and password. It retrieves all projects from the server's query service and prints them using another function. The complexity is O(N) due to potential operations on large datasets.</t>
        </is>
      </c>
      <c r="I1268" t="n">
        <v>0.0039</v>
      </c>
      <c r="J1268" t="n">
        <v>0.0345</v>
      </c>
      <c r="K1268" t="n">
        <v>0.08400000000000001</v>
      </c>
      <c r="L1268" t="inlineStr">
        <is>
          <t>This Python script connects to an OMERO server using command-line arguments for host, port, username, and password. It retrieves all projects from the specified user's account and prints their details. The script handles exceptions by displaying usage instructions if any input parameters are missing.</t>
        </is>
      </c>
      <c r="M1268" t="n">
        <v>0.005</v>
      </c>
      <c r="N1268" t="n">
        <v>0.0741</v>
      </c>
      <c r="O1268" t="n">
        <v>0.1293</v>
      </c>
    </row>
    <row r="1269">
      <c r="A1269" t="inlineStr">
        <is>
          <t>openmicroscopy</t>
        </is>
      </c>
      <c r="B1269" t="inlineStr">
        <is>
          <t>examples/RegionsOfInterest/Main.java</t>
        </is>
      </c>
      <c r="C1269">
        <f>HYPERLINK("https://github.com/ome/openmicroscopy/blob/master/examples/RegionsOfInterest/Main.java")</f>
        <v/>
      </c>
      <c r="D1269" t="inlineStr">
        <is>
          <t>The provided Java code is part of a system that interacts with an OME-NGINX server to manage ROIs (Regions of Interest). It performs operations such as creating a ROI object, saving it to the server, retrieving images associated with the ROI, and querying for ROIs by different criteria like image ID or plane coordinates. The code uses the OMERO API to communicate with the server and</t>
        </is>
      </c>
      <c r="E1269" t="n">
        <v>0.0028</v>
      </c>
      <c r="F1269" t="n">
        <v>0.0267</v>
      </c>
      <c r="G1269" t="n">
        <v>0.0725</v>
      </c>
      <c r="H1269" t="inlineStr">
        <is>
          <t>The code is a Java application that interacts with an OMERO server to manage ROIs (Regions of Interest). It creates a ROI object, saves it to the server, retrieves information about images associated with the ROI, and performs basic operations on these ROIs such as finding them by image or plane. The complexity is high due to the interaction with the OMERO API and handling large datasets.</t>
        </is>
      </c>
      <c r="I1269" t="n">
        <v>0.0027</v>
      </c>
      <c r="J1269" t="n">
        <v>0.0267</v>
      </c>
      <c r="K1269" t="n">
        <v>0.036</v>
      </c>
      <c r="L1269" t="inlineStr">
        <is>
          <t>The code initializes an OMERO client, creates a region of interest (ROI), saves it, retrieves images associated with the ROI, and performs various queries using the OMERO API to find ROIs by image, plane, and specific ROI ID. It also demonstrates basic usage of the `getPoints` and `get*Stats()` methods for additional analysis.</t>
        </is>
      </c>
      <c r="M1269" t="n">
        <v>0.0035</v>
      </c>
      <c r="N1269" t="n">
        <v>0.0328</v>
      </c>
      <c r="O1269" t="n">
        <v>0.0806</v>
      </c>
    </row>
    <row r="1270">
      <c r="A1270" t="inlineStr">
        <is>
          <t>openmicroscopy</t>
        </is>
      </c>
      <c r="B1270" t="inlineStr">
        <is>
          <t>examples/RegionsOfInterest/Main.py</t>
        </is>
      </c>
      <c r="C1270">
        <f>HYPERLINK("https://github.com/ome/openmicroscopy/blob/master/examples/RegionsOfInterest/Main.py")</f>
        <v/>
      </c>
      <c r="D1270" t="inlineStr">
        <is>
          <t>The provided Python script initializes an `Roi` object from the OME (Open Microscopy Environment) library and sets its X coordinate to 1 using the `Ellipse` class within it. The complexity is linear with respect to N, where N represents the number of operations performed in the script.</t>
        </is>
      </c>
      <c r="E1270" t="n">
        <v>0.0039</v>
      </c>
      <c r="F1270" t="n">
        <v>0.0364</v>
      </c>
      <c r="G1270" t="n">
        <v>0.08400000000000001</v>
      </c>
      <c r="H1270" t="inlineStr">
        <is>
          <t>This repository contains backend software components for implementing core algorithms. The complexity is O(N), indicating that the time taken to execute the algorithm increases linearly with the size of the input data.</t>
        </is>
      </c>
      <c r="I1270" t="n">
        <v>0.0077</v>
      </c>
      <c r="J1270" t="n">
        <v>0.1951</v>
      </c>
      <c r="K1270" t="n">
        <v>0.3035</v>
      </c>
      <c r="L1270" t="inlineStr">
        <is>
          <t>This Python script initializes an `Roi` object from the Open Microscopy Environment (OME) library and sets the x-coordinate of an ellipse within that ROI to 1 using the `rdouble` type for numerical precision. The script is part of a larger backend software component used for managing image data in OME environments.</t>
        </is>
      </c>
      <c r="M1270" t="n">
        <v>0.0047</v>
      </c>
      <c r="N1270" t="n">
        <v>0.0667</v>
      </c>
      <c r="O1270" t="n">
        <v>0.1626</v>
      </c>
    </row>
    <row r="1271">
      <c r="A1271" t="inlineStr">
        <is>
          <t>openmicroscopy</t>
        </is>
      </c>
      <c r="B1271" t="inlineStr">
        <is>
          <t>examples/OmeroTables/first.py</t>
        </is>
      </c>
      <c r="C1271">
        <f>HYPERLINK("https://github.com/ome/openmicroscopy/blob/master/examples/OmeroTables/first.py")</f>
        <v/>
      </c>
      <c r="D1271" t="inlineStr">
        <is>
          <t>The Python script connects to an OME server using the `omero` library, creates a session, retrieves shared resources, and initializes a table with a single column named "name". It then populates this column with values `[1, 2, 3, 4]`, reads data from specific coordinates in the table, and prints the first value of each row. The complexity is linear</t>
        </is>
      </c>
      <c r="E1271" t="n">
        <v>0.0031</v>
      </c>
      <c r="F1271" t="n">
        <v>0.0597</v>
      </c>
      <c r="G1271" t="n">
        <v>0.1145</v>
      </c>
      <c r="H1271" t="inlineStr">
        <is>
          <t>The code initializes an OMERO client session, creates a shared resource table with specified columns, adds data to it, retrieves specific rows using a query, reads coordinates from those rows, prints the first value in each column, slices the table, and prints the first value again. The complexity is O(N) due to operations involving reading and processing data based on indices or queries.</t>
        </is>
      </c>
      <c r="I1271" t="n">
        <v>0.0029</v>
      </c>
      <c r="J1271" t="n">
        <v>0.0278</v>
      </c>
      <c r="K1271" t="n">
        <v>0.0741</v>
      </c>
      <c r="L1271" t="inlineStr">
        <is>
          <t>The Python script uses the OMERO library to interact with an Open Microscopy Environment (OME) server. It creates a session, retrieves shared resources, accesses repositories, and performs table operations such as initializing a new table, adding data columns, querying specific rows, reading coordinates, and slicing data. The script prints the values from the first column of the queried row and sliced data.</t>
        </is>
      </c>
      <c r="M1271" t="n">
        <v>0.0029</v>
      </c>
      <c r="N1271" t="n">
        <v>0.0286</v>
      </c>
      <c r="O1271" t="n">
        <v>0.0746</v>
      </c>
    </row>
    <row r="1272">
      <c r="A1272" t="inlineStr">
        <is>
          <t>openmicroscopy</t>
        </is>
      </c>
      <c r="B1272" t="inlineStr">
        <is>
          <t>examples/OmeroTables/MeasurementTable.java</t>
        </is>
      </c>
      <c r="C1272">
        <f>HYPERLINK("https://github.com/ome/openmicroscopy/blob/master/examples/OmeroTables/MeasurementTable.java")</f>
        <v/>
      </c>
      <c r="D1272" t="inlineStr">
        <is>
          <t>The provided Java code demonstrates how to work with the OME (Open Microscopy Environment) grid table API using Ice, a middleware library for distributed computing. It creates a new table, attaches it to an existing or newly created image, and queries the data within the table. The code includes methods for setting up the connection to the server, creating resources, and executing operations on the table.</t>
        </is>
      </c>
      <c r="E1272" t="n">
        <v>0.0028</v>
      </c>
      <c r="F1272" t="n">
        <v>0.027</v>
      </c>
      <c r="G1272" t="n">
        <v>0.0725</v>
      </c>
      <c r="H1272" t="inlineStr">
        <is>
          <t>The repository contains backend software components that implement core algorithms. Complexity is O(N), indicating linear time complexity. Comments describe the implementation details. Initial codebase commit was made. Code size is 1000 lines.</t>
        </is>
      </c>
      <c r="I1272" t="n">
        <v>0.0069</v>
      </c>
      <c r="J1272" t="n">
        <v>0.1463</v>
      </c>
      <c r="K1272" t="n">
        <v>0.1442</v>
      </c>
      <c r="L1272" t="inlineStr">
        <is>
          <t>The `MeasurementTable` class demonstrates how to use the OMERO tables API to create and query a table associated with an image. It includes methods to handle image creation and retrieval, as well as querying data stored in the table. The example uses the Ice framework for communication with the OMERO server.</t>
        </is>
      </c>
      <c r="M1272" t="n">
        <v>0.0036</v>
      </c>
      <c r="N1272" t="n">
        <v>0.0339</v>
      </c>
      <c r="O1272" t="n">
        <v>0.0813</v>
      </c>
    </row>
    <row r="1273">
      <c r="A1273" t="inlineStr">
        <is>
          <t>openmicroscopy</t>
        </is>
      </c>
      <c r="B1273" t="inlineStr">
        <is>
          <t>examples/OmeroTables/FindMeasurements.java</t>
        </is>
      </c>
      <c r="C1273">
        <f>HYPERLINK("https://github.com/ome/openmicroscopy/blob/master/examples/OmeroTables/FindMeasurements.java")</f>
        <v/>
      </c>
      <c r="D1273" t="inlineStr">
        <is>
          <t>The `FindMeasurements` class provides functionality to retrieve measurements associated with images stored in an OME (Open Microscopy Environment) server. It uses Java's Ice framework to communicate with the server. The main method allows users to specify an image ID as a command-line argument; if no ID is provided, it creates a test image. The class interacts with various OME services such as `I</t>
        </is>
      </c>
      <c r="E1273" t="n">
        <v>0.0029</v>
      </c>
      <c r="F1273" t="n">
        <v>0.0274</v>
      </c>
      <c r="G1273" t="n">
        <v>0.037</v>
      </c>
      <c r="H1273" t="inlineStr">
        <is>
          <t>The repository contains backend software components that implement core algorithms. Complexity is O(N), indicating linear time complexity with respect to input size N. Comments describe the implementation of these algorithms. Initial codebase commit was made. Code size is 1000 lines.</t>
        </is>
      </c>
      <c r="I1273" t="n">
        <v>0.0055</v>
      </c>
      <c r="J1273" t="n">
        <v>0.1224</v>
      </c>
      <c r="K1273" t="n">
        <v>0.1339</v>
      </c>
      <c r="L1273" t="inlineStr">
        <is>
          <t>The `FindMeasurements` class provides functionality to retrieve measurement annotations associated with images stored in an OMERO server. It includes a `main` method that accepts an optional image ID as a command-line argument. If no image ID is provided, it creates a test image using the `MeasurementTable`. The class uses the OMERO API to interact with the server, retrieving metadata and file annotations related to</t>
        </is>
      </c>
      <c r="M1273" t="n">
        <v>0.0034</v>
      </c>
      <c r="N1273" t="n">
        <v>0.0548</v>
      </c>
      <c r="O1273" t="n">
        <v>0.0735</v>
      </c>
    </row>
    <row r="1274">
      <c r="A1274" t="inlineStr">
        <is>
          <t>openmicroscopy</t>
        </is>
      </c>
      <c r="B1274" t="inlineStr">
        <is>
          <t>examples/OmeroTables/iroi.py</t>
        </is>
      </c>
      <c r="C1274">
        <f>HYPERLINK("https://github.com/ome/openmicroscopy/blob/master/examples/OmeroTables/iroi.py")</f>
        <v/>
      </c>
      <c r="D1274" t="inlineStr">
        <is>
          <t>The provided Python script uses the OMERO imaging library to create a new table in an HDF5 file named `iroi.h5`. It initializes three columns for storing ROI IDs, areas, and intensities. The script then sets up a plate with a well containing an image sample, links this information to a measurement annotation stored in the same HDF5 file, and updates the plate using the OMERO</t>
        </is>
      </c>
      <c r="E1274" t="n">
        <v>0.0028</v>
      </c>
      <c r="F1274" t="n">
        <v>0.0541</v>
      </c>
      <c r="G1274" t="n">
        <v>0.1095</v>
      </c>
      <c r="H1274" t="inlineStr">
        <is>
          <t>This Python script initializes an OMERO client session, creates a new table in the shared resources, sets up metadata for a plate containing images with well samples, and links measurement annotations to the plate. The complexity is O(N) due to the setup of multiple objects and their relationships within the OMERO environment.</t>
        </is>
      </c>
      <c r="I1274" t="n">
        <v>0.0042</v>
      </c>
      <c r="J1274" t="n">
        <v>0.06560000000000001</v>
      </c>
      <c r="K1274" t="n">
        <v>0.0806</v>
      </c>
      <c r="L1274" t="inlineStr">
        <is>
          <t>This Python script initializes an OMERO client session, creates a new table for storing image region-of-interest (ROI) data from an HDF5 file named "iroi.h5", sets up metadata for a plate containing a single well with an associated sample and image, and links these objects together within the OMERO database. The script uses OMERO's grid service to manage the table and annotations.</t>
        </is>
      </c>
      <c r="M1274" t="n">
        <v>0.0036</v>
      </c>
      <c r="N1274" t="n">
        <v>0.0548</v>
      </c>
      <c r="O1274" t="n">
        <v>0.1128</v>
      </c>
    </row>
    <row r="1275">
      <c r="A1275" t="inlineStr">
        <is>
          <t>openmicroscopy</t>
        </is>
      </c>
      <c r="B1275" t="inlineStr">
        <is>
          <t>examples/ScriptingService/adminWorkflow.py</t>
        </is>
      </c>
      <c r="C1275">
        <f>HYPERLINK("https://github.com/ome/openmicroscopy/blob/master/examples/ScriptingService/adminWorkflow.py")</f>
        <v/>
      </c>
      <c r="D1275" t="inlineStr">
        <is>
          <t>The script `adminWorkflow.py` is part of a larger system designed to manage administrative workflows within a software application. It appears to handle tasks such as workflow management, possibly including scheduling, approval processes, and other administrative operations related to managing scripts or services. The complexity of the implementation is O(N), indicating that the time complexity increases linearly with the number of elements being processed. The comments suggest that</t>
        </is>
      </c>
      <c r="E1275" t="n">
        <v>0.0032</v>
      </c>
      <c r="F1275" t="n">
        <v>0.0519</v>
      </c>
      <c r="G1275" t="n">
        <v>0.1439</v>
      </c>
      <c r="H1275" t="inlineStr">
        <is>
          <t>This Python script defines a class `AdminWorkflow` within the module `examples.ScriptingService`. The class provides methods for managing administrative workflows, including starting, stopping, and monitoring workflows. It includes error handling mechanisms and logging capabilities. The complexity of the implementation is O(N), where N represents the number of workflow steps involved. The comments explain the purpose and functionality of each method.</t>
        </is>
      </c>
      <c r="I1275" t="n">
        <v>0.0044</v>
      </c>
      <c r="J1275" t="n">
        <v>0.1159</v>
      </c>
      <c r="K1275" t="n">
        <v>0.1908</v>
      </c>
      <c r="L1275" t="inlineStr">
        <is>
          <t>This Python script defines an admin workflow service within the `examples.ScriptingService` module. It appears to handle administrative tasks related to scripting services, possibly including managing workflows, processing scripts, or interacting with other system components. The code complexity is moderate, given its size of approximately 1000 lines, and it includes comments indicating implementation of core algorithms. The script is part of a larger repository</t>
        </is>
      </c>
      <c r="M1275" t="n">
        <v>0.0038</v>
      </c>
      <c r="N1275" t="n">
        <v>0.1111</v>
      </c>
      <c r="O1275" t="n">
        <v>0.1852</v>
      </c>
    </row>
    <row r="1276">
      <c r="A1276" t="inlineStr">
        <is>
          <t>openmicroscopy</t>
        </is>
      </c>
      <c r="B1276" t="inlineStr">
        <is>
          <t>examples/ScriptingService/Notifications.java</t>
        </is>
      </c>
      <c r="C1276">
        <f>HYPERLINK("https://github.com/ome/openmicroscopy/blob/master/examples/ScriptingService/Notifications.java")</f>
        <v/>
      </c>
      <c r="D1276" t="inlineStr">
        <is>
          <t>The provided Java code defines a class `Notifications` that includes a method to upload and run a Python script using the OMERO API. The script is defined within the class as a string constant named `SCRIPT`. The `main` method initializes an OME server connection, uploads the script, runs it, and then waits for the process callback to complete. This setup is used in a larger system where</t>
        </is>
      </c>
      <c r="E1276" t="n">
        <v>0.0032</v>
      </c>
      <c r="F1276" t="n">
        <v>0.0267</v>
      </c>
      <c r="G1276" t="n">
        <v>0.1079</v>
      </c>
      <c r="H1276" t="inlineStr">
        <is>
          <t>This repository contains backend software components implementing core algorithms with a complexity of O(N). The README provides information about the implementation details, commits, and overall size of the codebase.</t>
        </is>
      </c>
      <c r="I1276" t="n">
        <v>0.0092</v>
      </c>
      <c r="J1276" t="n">
        <v>0.2632</v>
      </c>
      <c r="K1276" t="n">
        <v>0.2475</v>
      </c>
      <c r="L1276" t="inlineStr">
        <is>
          <t>The `Notifications` class is designed to handle the execution of Python scripts within an OMERO environment using the OMERO API. It uploads a sample Python script to the server, runs it asynchronously, and provides a callback mechanism for monitoring the process's progress. The script itself is empty, meaning it performs no actions when executed.</t>
        </is>
      </c>
      <c r="M1276" t="n">
        <v>0.0034</v>
      </c>
      <c r="N1276" t="n">
        <v>0.0317</v>
      </c>
      <c r="O1276" t="n">
        <v>0.0794</v>
      </c>
    </row>
    <row r="1277">
      <c r="A1277" t="inlineStr">
        <is>
          <t>openmicroscopy</t>
        </is>
      </c>
      <c r="B1277" t="inlineStr">
        <is>
          <t>examples/ScriptingService/HelloWorld.py</t>
        </is>
      </c>
      <c r="C1277">
        <f>HYPERLINK("https://github.com/ome/openmicroscopy/blob/master/examples/ScriptingService/HelloWorld.py")</f>
        <v/>
      </c>
      <c r="D1277" t="inlineStr">
        <is>
          <t>The script `HelloWorld.py` is a simple Python script designed to print "Hello, World!" when executed. It includes basic syntax such as shebang (`#!/usr/bin/env python`) and comments explaining its purpose and complexity level. The script does not contain any complex algorithms or large code size, making it suitable for educational purposes or small projects.</t>
        </is>
      </c>
      <c r="E1277" t="n">
        <v>0.0035</v>
      </c>
      <c r="F1277" t="n">
        <v>0.0312</v>
      </c>
      <c r="G1277" t="n">
        <v>0.04</v>
      </c>
      <c r="H1277" t="inlineStr">
        <is>
          <t>This Python script defines a function `hello_world` that prints "Hello, World!" when called. It includes comments explaining its purpose and implementation complexity. The script's README provides information about the repository and commits.</t>
        </is>
      </c>
      <c r="I1277" t="n">
        <v>0.0069</v>
      </c>
      <c r="J1277" t="n">
        <v>0.1429</v>
      </c>
      <c r="K1277" t="n">
        <v>0.1923</v>
      </c>
      <c r="L1277" t="inlineStr">
        <is>
          <t>This Python script defines a simple "Hello World" service within the `examples.ScriptingService` module. It provides a basic implementation of a scripting interface using the `ScriptingService`, which likely handles execution of scripts or commands through a web-based API. The script includes comments indicating its role as part of a larger backend software component and mentions its complexity level as O(N), suggesting it processes data linear</t>
        </is>
      </c>
      <c r="M1277" t="n">
        <v>0.0037</v>
      </c>
      <c r="N1277" t="n">
        <v>0.1067</v>
      </c>
      <c r="O1277" t="n">
        <v>0.1838</v>
      </c>
    </row>
    <row r="1278">
      <c r="A1278" t="inlineStr">
        <is>
          <t>openmicroscopy</t>
        </is>
      </c>
      <c r="B1278" t="inlineStr">
        <is>
          <t>examples/ScriptingService/NativeWrapperExample.py</t>
        </is>
      </c>
      <c r="C1278">
        <f>HYPERLINK("https://github.com/ome/openmicroscopy/blob/master/examples/ScriptingService/NativeWrapperExample.py")</f>
        <v/>
      </c>
      <c r="D1278" t="inlineStr">
        <is>
          <t>The provided Python script `NativeWrapper.py` generates a wrapper script for calling an external executable from within an OMERO (Open Microscopy Environment) environment. The script uses the OME API to create a new script client and interact with it. It includes parameters such as a target string and a long integer parameter. The generated wrapper script can be used to execute the specified executable with the given parameters.</t>
        </is>
      </c>
      <c r="E1278" t="n">
        <v>0.0027</v>
      </c>
      <c r="F1278" t="n">
        <v>0.0263</v>
      </c>
      <c r="G1278" t="n">
        <v>0.07190000000000001</v>
      </c>
      <c r="H1278" t="inlineStr">
        <is>
          <t>This repository contains backend software components implementing core algorithms. The complexity is O(N), indicating linear time complexity for operations involving N elements. Comments provide detailed explanations of the implementation, while commits document the initial creation of the codebase. The total size of the codebase is 1000 lines.</t>
        </is>
      </c>
      <c r="I1278" t="n">
        <v>0.0051</v>
      </c>
      <c r="J1278" t="n">
        <v>0.1429</v>
      </c>
      <c r="K1278" t="n">
        <v>0.2652</v>
      </c>
      <c r="L1278" t="inlineStr">
        <is>
          <t>The Python script `NativeWrapper.py` generates a wrapper for calling external executables using OMERO scripting capabilities. It includes basic error handling and logging mechanisms. The script uses the OMERO API to interact with the server and execute commands based on user input parameters.</t>
        </is>
      </c>
      <c r="M1278" t="n">
        <v>0.0044</v>
      </c>
      <c r="N1278" t="n">
        <v>0.0392</v>
      </c>
      <c r="O1278" t="n">
        <v>0.0877</v>
      </c>
    </row>
    <row r="1279">
      <c r="A1279" t="inlineStr">
        <is>
          <t>openmicroscopy</t>
        </is>
      </c>
      <c r="B1279" t="inlineStr">
        <is>
          <t>examples/ScriptingService/Edit_Descriptions.py</t>
        </is>
      </c>
      <c r="C1279">
        <f>HYPERLINK("https://github.com/ome/openmicroscopy/blob/master/examples/ScriptingService/Edit_Descriptions.py")</f>
        <v/>
      </c>
      <c r="D1279" t="inlineStr">
        <is>
          <t>The script `Edit_Descriptions.py` appears to be part of a larger system designed for editing descriptions within a specific application environment. It likely interacts with data stored in a database or file format, allowing users to update or add descriptions to various entities such as objects or records. The script uses Python and includes comments indicating its purpose, complexity, implementation details, and usage context.</t>
        </is>
      </c>
      <c r="E1279" t="n">
        <v>0.0029</v>
      </c>
      <c r="F1279" t="n">
        <v>0.0548</v>
      </c>
      <c r="G1279" t="n">
        <v>0.1111</v>
      </c>
      <c r="H1279" t="inlineStr">
        <is>
          <t>The provided Python script defines a function `Edit_Descriptions` within the module `examples.ScriptingService`. It appears to handle editing descriptions related to scripting services, possibly involving file operations or data processing tasks. The complexity is noted as O(N), indicating potentially linear time complexity based on input size. Comments suggest implementing core algorithms for handling these tasks. The script's main purpose seems to be managing description edits</t>
        </is>
      </c>
      <c r="I1279" t="n">
        <v>0.0034</v>
      </c>
      <c r="J1279" t="n">
        <v>0.0789</v>
      </c>
      <c r="K1279" t="n">
        <v>0.2321</v>
      </c>
      <c r="L1279" t="inlineStr">
        <is>
          <t>This Python script implements a service for editing descriptions within a backend system. It processes input data related to object descriptions, applying specified transformations such as updating metadata fields. The function handles various edge cases, including handling missing or invalid data gracefully. The implementation uses a straightforward approach to ensure efficient processing while maintaining clarity and maintainability.</t>
        </is>
      </c>
      <c r="M1279" t="n">
        <v>0.0042</v>
      </c>
      <c r="N1279" t="n">
        <v>0.1231</v>
      </c>
      <c r="O1279" t="n">
        <v>0.155</v>
      </c>
    </row>
    <row r="1280">
      <c r="A1280" t="inlineStr">
        <is>
          <t>openmicroscopy</t>
        </is>
      </c>
      <c r="B1280" t="inlineStr">
        <is>
          <t>examples/ScriptingService/runHelloWorld.py</t>
        </is>
      </c>
      <c r="C1280">
        <f>HYPERLINK("https://github.com/ome/openmicroscopy/blob/master/examples/ScriptingService/runHelloWorld.py")</f>
        <v/>
      </c>
      <c r="D1280" t="inlineStr">
        <is>
          <t>The script `runHelloWorld.py` is designed to execute a simple "hello world" function within a Python environment. It utilizes basic Python syntax and does not contain any complex algorithms or data structures. The script's purpose is to demonstrate how to run a basic Python application.</t>
        </is>
      </c>
      <c r="E1280" t="n">
        <v>0.0042</v>
      </c>
      <c r="F1280" t="n">
        <v>0.0741</v>
      </c>
      <c r="G1280" t="n">
        <v>0.0862</v>
      </c>
      <c r="H1280" t="inlineStr">
        <is>
          <t>This Python script runs a "hello world" example using the Scripting Service. It includes comments explaining its purpose and complexity, as well as information about commits and code size. The README provides context about the repository containing backend software components.</t>
        </is>
      </c>
      <c r="I1280" t="n">
        <v>0.0061</v>
      </c>
      <c r="J1280" t="n">
        <v>0.0833</v>
      </c>
      <c r="K1280" t="n">
        <v>0.1786</v>
      </c>
      <c r="L1280" t="inlineStr">
        <is>
          <t>The `runHelloWorld.py` script is part of a larger backend software component repository. It serves as a simple example demonstrating how to implement basic scripting services using Python. The script includes comments indicating that it implements core algorithms and provides initial codebase commits. The function appears to print "Hello World" when executed, showcasing a straightforward implementation of a basic output mechanism.</t>
        </is>
      </c>
      <c r="M1280" t="n">
        <v>0.0076</v>
      </c>
      <c r="N1280" t="n">
        <v>0.1159</v>
      </c>
      <c r="O1280" t="n">
        <v>0.2818</v>
      </c>
    </row>
    <row r="1281">
      <c r="A1281" t="inlineStr">
        <is>
          <t>openmicroscopy</t>
        </is>
      </c>
      <c r="B1281" t="inlineStr">
        <is>
          <t>examples/ScriptingService/Notifications.py</t>
        </is>
      </c>
      <c r="C1281">
        <f>HYPERLINK("https://github.com/ome/openmicroscopy/blob/master/examples/ScriptingService/Notifications.py")</f>
        <v/>
      </c>
      <c r="D1281" t="inlineStr">
        <is>
          <t>The Python script connects to an OME server using the `omero` library, uploads a custom script, runs it asynchronously, and monitors its progress for up to 10 seconds before timing out. The script uses UUIDs to generate unique filenames for uploaded scripts. It prints the duration taken from when the connection was established until the process finished.</t>
        </is>
      </c>
      <c r="E1281" t="n">
        <v>0.0032</v>
      </c>
      <c r="F1281" t="n">
        <v>0.0308</v>
      </c>
      <c r="G1281" t="n">
        <v>0.0775</v>
      </c>
      <c r="H1281" t="inlineStr">
        <is>
          <t>The code uploads and runs a Python script on an OMERO server using the OMERO API. It creates a session with the server, uploads a new official script, runs it, and then waits for the process to complete before closing the session. The complexity is O(N), where N is the size of the uploaded script.</t>
        </is>
      </c>
      <c r="I1281" t="n">
        <v>0.0033</v>
      </c>
      <c r="J1281" t="n">
        <v>0.0312</v>
      </c>
      <c r="K1281" t="n">
        <v>0.07870000000000001</v>
      </c>
      <c r="L1281" t="inlineStr">
        <is>
          <t>This Python script uploads an official OMERO script to the server, runs it, and monitors its progress until completion. It uses the OMERO Python API to interact with the server's scripting service. The script generates a unique filename for the uploaded script using UUIDs and includes basic error handling to manage timeouts during execution.</t>
        </is>
      </c>
      <c r="M1281" t="n">
        <v>0.004</v>
      </c>
      <c r="N1281" t="n">
        <v>0.0635</v>
      </c>
      <c r="O1281" t="n">
        <v>0.119</v>
      </c>
    </row>
    <row r="1282">
      <c r="A1282" t="inlineStr">
        <is>
          <t>openmicroscopy</t>
        </is>
      </c>
      <c r="B1282" t="inlineStr">
        <is>
          <t>components/tests/ui/plugins/robot.py</t>
        </is>
      </c>
      <c r="C1282">
        <f>HYPERLINK("https://github.com/ome/openmicroscopy/blob/master/components/tests/ui/plugins/robot.py")</f>
        <v/>
      </c>
      <c r="D1282" t="inlineStr">
        <is>
          <t>The provided Python script defines a command-line interface (CLI) tool called `RobotControl` using the `omero.cli.BaseControl` class from the OMERO library. The tool appears to be designed for managing robot framework configurations and deployments within an OME environment. It includes basic help information about its purpose and usage. The script imports necessary modules such as `sys`, `os`, and `om</t>
        </is>
      </c>
      <c r="E1282" t="n">
        <v>0.0031</v>
      </c>
      <c r="F1282" t="n">
        <v>0.058</v>
      </c>
      <c r="G1282" t="n">
        <v>0.1154</v>
      </c>
      <c r="H1282" t="inlineStr">
        <is>
          <t>The provided Python script defines a command-line interface (CLI) tool using the `omero.cli` module. It includes support for deploying and configuring robot frameworks. The script handles various commands related to these tasks, such as starting, stopping, and managing configurations. The complexity of the implementation is high due to its extensive features and integration with other software components like OMERO.</t>
        </is>
      </c>
      <c r="I1282" t="n">
        <v>0.0037</v>
      </c>
      <c r="J1282" t="n">
        <v>0.08699999999999999</v>
      </c>
      <c r="K1282" t="n">
        <v>0.1527</v>
      </c>
      <c r="L1282" t="inlineStr">
        <is>
          <t>This Python script defines a command-line interface (`CLI`) class named `RobotControl` derived from `BaseControl`. It appears to be part of a larger system designed to handle robot framework configuration and deployment tasks. The script includes comments explaining its purpose and usage, and it uses the `omero.cli` module for handling command-line interactions. The script is written in UTF-8 encoding and is intended</t>
        </is>
      </c>
      <c r="M1282" t="n">
        <v>0.0039</v>
      </c>
      <c r="N1282" t="n">
        <v>0.0822</v>
      </c>
      <c r="O1282" t="n">
        <v>0.1504</v>
      </c>
    </row>
    <row r="1283">
      <c r="A1283" t="inlineStr">
        <is>
          <t>openmicroscopy</t>
        </is>
      </c>
      <c r="B1283" t="inlineStr">
        <is>
          <t>components/tests/ui/resources/well_sample_posXY.py</t>
        </is>
      </c>
      <c r="C1283">
        <f>HYPERLINK("https://github.com/ome/openmicroscopy/blob/master/components/tests/ui/resources/well_sample_posXY.py")</f>
        <v/>
      </c>
      <c r="D1283" t="inlineStr">
        <is>
          <t>The script `well_sample_posXY.py` is designed to update the position coordinates (`posX`, `posY`) of well samples in an OMERO server using command-line arguments. It connects to the specified OMERO instance with the given credentials, retrieves the plate object by its ID, and iterates over each well sample within that plate. For each well sample, it calculates its X and Y</t>
        </is>
      </c>
      <c r="E1283" t="n">
        <v>0.0031</v>
      </c>
      <c r="F1283" t="n">
        <v>0.0282</v>
      </c>
      <c r="G1283" t="n">
        <v>0.07630000000000001</v>
      </c>
      <c r="H1283" t="inlineStr">
        <is>
          <t>The script is designed to update the `posX` and `posY` properties of well samples in an OMERO server using command-line arguments. It uses the OMERO Python gateway to connect to the server, retrieve the specified plate, and iterate over its wells to assign positions based on their order within the grid. The complexity is O(N), where N is the number of wells in the plate</t>
        </is>
      </c>
      <c r="I1283" t="n">
        <v>0.0028</v>
      </c>
      <c r="J1283" t="n">
        <v>0.0267</v>
      </c>
      <c r="K1283" t="n">
        <v>0.073</v>
      </c>
      <c r="L1283" t="inlineStr">
        <is>
          <t>The script `well_sample_posXY.py` is designed to update the positions (`posX` and `posY`) of wells within a specified plate using OMERO, which is a platform for managing biological image data. It takes command-line arguments for the OMERO host, port, session key, and plate ID. The script connects to the OMERO server, retrieves the specified plate, and iter</t>
        </is>
      </c>
      <c r="M1283" t="n">
        <v>0.0033</v>
      </c>
      <c r="N1283" t="n">
        <v>0.0294</v>
      </c>
      <c r="O1283" t="n">
        <v>0.0781</v>
      </c>
    </row>
    <row r="1284">
      <c r="A1284" t="inlineStr">
        <is>
          <t>openmicroscopy</t>
        </is>
      </c>
      <c r="B1284" t="inlineStr">
        <is>
          <t>components/tools/bump_version.py</t>
        </is>
      </c>
      <c r="C1284">
        <f>HYPERLINK("https://github.com/ome/openmicroscopy/blob/master/components/tools/bump_version.py")</f>
        <v/>
      </c>
      <c r="D1284" t="inlineStr">
        <is>
          <t>The script `bump_major_minor.py` is designed to update major and minor version numbers across various text files within a directory structure. It uses regular expressions to find specific patterns related to versioning URLs and replaces them with updated version numbers. The script supports multiple file extensions including `.txt`, `.md`, `.java`, `.ice`, `.html`, `.xml`, `.py`, and `.rst`.</t>
        </is>
      </c>
      <c r="E1284" t="n">
        <v>0.0033</v>
      </c>
      <c r="F1284" t="n">
        <v>0.0303</v>
      </c>
      <c r="G1284" t="n">
        <v>0.07870000000000001</v>
      </c>
      <c r="H1284" t="inlineStr">
        <is>
          <t>This repository contains backend software components that implement core algorithms. The complexity of the implementation is O(N), where N represents the total number of files being processed. The code size is 1000 lines.</t>
        </is>
      </c>
      <c r="I1284" t="n">
        <v>0.0074</v>
      </c>
      <c r="J1284" t="n">
        <v>0.1905</v>
      </c>
      <c r="K1284" t="n">
        <v>0.1905</v>
      </c>
      <c r="L1284" t="inlineStr">
        <is>
          <t>This Python script automates the process of updating version numbers in various text files within a directory structure. It checks if the input version string matches the expected format (major.minor), then replaces occurrences of specific patterns related to documentation URLs with the updated version. The script supports multiple file extensions and walks through all directories recursively to find and update matching lines.</t>
        </is>
      </c>
      <c r="M1284" t="n">
        <v>0.0035</v>
      </c>
      <c r="N1284" t="n">
        <v>0.0563</v>
      </c>
      <c r="O1284" t="n">
        <v>0.0746</v>
      </c>
    </row>
    <row r="1285">
      <c r="A1285" t="inlineStr">
        <is>
          <t>openmicroscopy</t>
        </is>
      </c>
      <c r="B1285" t="inlineStr">
        <is>
          <t>components/tools/OmeroCpp/ext/gtest-1.7.0/test/gtest_shuffle_test.py</t>
        </is>
      </c>
      <c r="C1285">
        <f>HYPERLINK("https://github.com/ome/openmicroscopy/blob/master/components/tools/OmeroCpp/ext/gtest-1.7.0/test/gtest_shuffle_test.py")</f>
        <v/>
      </c>
      <c r="D1285" t="inlineStr">
        <is>
          <t>The provided Python script is part of a larger backend software component repository. It includes comments indicating that it implements core algorithms, but lacks detailed implementation details. The complexity of the algorithm is O(N), suggesting linear time complexity based on input size N. The code has been committed once, and its total size is approximately 1000 lines.</t>
        </is>
      </c>
      <c r="E1285" t="n">
        <v>0.0081</v>
      </c>
      <c r="F1285" t="n">
        <v>0.1212</v>
      </c>
      <c r="G1285" t="n">
        <v>0.2884</v>
      </c>
      <c r="H1285" t="inlineStr">
        <is>
          <t>The provided code is a Python script for implementing core algorithms, which includes comments explaining the implementation details and commits tracking the initial creation of the codebase. The complexity is rated as O(N), indicating linear time complexity, but the actual complexity depends on the specific algorithm implemented within the script. The code size is 1000 lines, making it relatively large.</t>
        </is>
      </c>
      <c r="I1285" t="n">
        <v>0.0036</v>
      </c>
      <c r="J1285" t="n">
        <v>0.08699999999999999</v>
      </c>
      <c r="K1285" t="n">
        <v>0.1136</v>
      </c>
      <c r="L1285" t="inlineStr">
        <is>
          <t>The given Python script is part of a larger backend software component repository. It appears to contain initial implementation code for core algorithms, likely related to data processing or system management tasks. The code complexity is moderate (O(N)), indicating it involves iterating over data structures. There are no existing comments explaining the core functionalities, which could make it challenging for future developers to understand the code's purpose and how it operates</t>
        </is>
      </c>
      <c r="M1285" t="n">
        <v>0.0034</v>
      </c>
      <c r="N1285" t="n">
        <v>0.1235</v>
      </c>
      <c r="O1285" t="n">
        <v>0.1748</v>
      </c>
    </row>
    <row r="1286">
      <c r="A1286" t="inlineStr">
        <is>
          <t>openmicroscopy</t>
        </is>
      </c>
      <c r="B1286" t="inlineStr">
        <is>
          <t>components/tools/OmeroCpp/ext/gtest-1.7.0/test/gtest_catch_exceptions_test.py</t>
        </is>
      </c>
      <c r="C1286">
        <f>HYPERLINK("https://github.com/ome/openmicroscopy/blob/master/components/tools/OmeroCpp/ext/gtest-1.7.0/test/gtest_catch_exceptions_test.py")</f>
        <v/>
      </c>
      <c r="D1286" t="inlineStr">
        <is>
          <t>The provided Python script is part of a larger project containing backend software components. It includes comments indicating implementation of core algorithms and mentions it has a time complexity of O(N). The README file describes the repository as containing backend software components. The code size is specified as 1000 lines.</t>
        </is>
      </c>
      <c r="E1286" t="n">
        <v>0.0048</v>
      </c>
      <c r="F1286" t="n">
        <v>0.1356</v>
      </c>
      <c r="G1286" t="n">
        <v>0.2049</v>
      </c>
      <c r="H1286" t="inlineStr">
        <is>
          <t>This repository contains backend software components implementing core algorithms. The complexity is O(N), indicating linear time performance for certain operations.</t>
        </is>
      </c>
      <c r="I1286" t="n">
        <v>0.0127</v>
      </c>
      <c r="J1286" t="n">
        <v>0.2759</v>
      </c>
      <c r="K1286" t="n">
        <v>0.3431</v>
      </c>
      <c r="L1286" t="inlineStr">
        <is>
          <t>The provided Python script is part of a larger backend software component repository. It appears to contain initial implementation code for core algorithms, likely related to data processing or system management tasks. The code complexity is moderate (O(N)), indicating it involves some level of iteration over data structures. The existing comments suggest that the primary focus is on implementing essential functionalities without extensive optimizations or additional features. The lack of detailed context</t>
        </is>
      </c>
      <c r="M1286" t="n">
        <v>0.003</v>
      </c>
      <c r="N1286" t="n">
        <v>0.0988</v>
      </c>
      <c r="O1286" t="n">
        <v>0.1389</v>
      </c>
    </row>
    <row r="1287">
      <c r="A1287" t="inlineStr">
        <is>
          <t>openmicroscopy</t>
        </is>
      </c>
      <c r="B1287" t="inlineStr">
        <is>
          <t>components/tools/OmeroCpp/ext/gtest-1.7.0/test/gtest_xml_output_unittest.py</t>
        </is>
      </c>
      <c r="C1287">
        <f>HYPERLINK("https://github.com/ome/openmicroscopy/blob/master/components/tools/OmeroCpp/ext/gtest-1.7.0/test/gtest_xml_output_unittest.py")</f>
        <v/>
      </c>
      <c r="D1287" t="inlineStr">
        <is>
          <t>The provided Python script is part of a larger project containing backend software components. It includes comments indicating implementation of core algorithms and mentions a time complexity of O(N). The file size is 1000 lines long.</t>
        </is>
      </c>
      <c r="E1287" t="n">
        <v>0.0068</v>
      </c>
      <c r="F1287" t="n">
        <v>0.1778</v>
      </c>
      <c r="G1287" t="n">
        <v>0.2315</v>
      </c>
      <c r="H1287" t="inlineStr">
        <is>
          <t>The code is a Python script for implementing core algorithms within a backend software component repository. It includes comments explaining the implementation details and mentions the complexity as O(N). The README provides information about the repository's purpose and structure.</t>
        </is>
      </c>
      <c r="I1287" t="n">
        <v>0.0062</v>
      </c>
      <c r="J1287" t="n">
        <v>0.1224</v>
      </c>
      <c r="K1287" t="n">
        <v>0.1802</v>
      </c>
      <c r="L1287" t="inlineStr">
        <is>
          <t>The provided Python script is part of a larger backend software component repository. It appears to contain initial implementation code for core algorithms, likely related to data processing or system management tasks. The code complexity is moderate (O(N)), and existing comments suggest it implements fundamental functionalities. The script includes basic copyright notices and license terms, indicating compliance with open-source licensing standards.</t>
        </is>
      </c>
      <c r="M1287" t="n">
        <v>0.0042</v>
      </c>
      <c r="N1287" t="n">
        <v>0.1408</v>
      </c>
      <c r="O1287" t="n">
        <v>0.188</v>
      </c>
    </row>
    <row r="1288">
      <c r="A1288" t="inlineStr">
        <is>
          <t>openmicroscopy</t>
        </is>
      </c>
      <c r="B1288" t="inlineStr">
        <is>
          <t>components/tools/OmeroCpp/ext/gtest-1.7.0/test/gtest_output_test.py</t>
        </is>
      </c>
      <c r="C1288">
        <f>HYPERLINK("https://github.com/ome/openmicroscopy/blob/master/components/tools/OmeroCpp/ext/gtest-1.7.0/test/gtest_output_test.py")</f>
        <v/>
      </c>
      <c r="D1288" t="inlineStr">
        <is>
          <t>The provided Python script is part of a larger project containing backend software components. It includes comments indicating implementation of core algorithms and mentions a time complexity of O(N). The file size is 1000 lines long, and it's associated with a README detailing the repository contents.</t>
        </is>
      </c>
      <c r="E1288" t="n">
        <v>0.0053</v>
      </c>
      <c r="F1288" t="n">
        <v>0.1429</v>
      </c>
      <c r="G1288" t="n">
        <v>0.2119</v>
      </c>
      <c r="H1288" t="inlineStr">
        <is>
          <t>The code is a Python script for implementing core algorithms in a backend system. It includes comments explaining the implementation details and commits tracking the initial creation of the codebase. The complexity is marked as O(N), indicating it involves processing data proportional to the size of the input.</t>
        </is>
      </c>
      <c r="I1288" t="n">
        <v>0.0045</v>
      </c>
      <c r="J1288" t="n">
        <v>0.1053</v>
      </c>
      <c r="K1288" t="n">
        <v>0.125</v>
      </c>
      <c r="L1288" t="inlineStr">
        <is>
          <t>The provided Python script is part of a larger system designed for handling backend software components. It includes comments indicating implementation of core algorithms, although no actual algorithmic content is present. The code size is relatively small (1000 lines), suggesting it might contain utility functions or simple scripts rather than complex applications. The script appears to be under version control with initial commits and a README context describing its role</t>
        </is>
      </c>
      <c r="M1288" t="n">
        <v>0.0034</v>
      </c>
      <c r="N1288" t="n">
        <v>0.1282</v>
      </c>
      <c r="O1288" t="n">
        <v>0.1761</v>
      </c>
    </row>
    <row r="1289">
      <c r="A1289" t="inlineStr">
        <is>
          <t>openmicroscopy</t>
        </is>
      </c>
      <c r="B1289" t="inlineStr">
        <is>
          <t>components/tools/OmeroCpp/ext/gtest-1.7.0/test/gtest_xml_outfiles_test.py</t>
        </is>
      </c>
      <c r="C1289">
        <f>HYPERLINK("https://github.com/ome/openmicroscopy/blob/master/components/tools/OmeroCpp/ext/gtest-1.7.0/test/gtest_xml_outfiles_test.py")</f>
        <v/>
      </c>
      <c r="D1289" t="inlineStr">
        <is>
          <t>The provided Python script is part of a larger project containing backend software components. It includes comments indicating implementation of core algorithms and mentions a complexity of O(N). The script does not contain any actual code but serves as a README file for the repository, detailing its purpose, complexity, and contents.</t>
        </is>
      </c>
      <c r="E1289" t="n">
        <v>0.0047</v>
      </c>
      <c r="F1289" t="n">
        <v>0.1333</v>
      </c>
      <c r="G1289" t="n">
        <v>0.2033</v>
      </c>
      <c r="H1289" t="inlineStr">
        <is>
          <t>The code is a Python script for implementing core algorithms. It includes comments explaining the implementation details and mentions it as part of a larger repository containing backend software components. The complexity is described as O(N), indicating linear time complexity.</t>
        </is>
      </c>
      <c r="I1289" t="n">
        <v>0.0061</v>
      </c>
      <c r="J1289" t="n">
        <v>0.1224</v>
      </c>
      <c r="K1289" t="n">
        <v>0.2232</v>
      </c>
      <c r="L1289" t="inlineStr">
        <is>
          <t>The provided Python script is part of a larger backend software component repository. It includes comments indicating implementation of core algorithms, though no actual algorithmic details are present. The script appears to be a boilerplate license header for a project, intended to guide developers about how to handle licensing when using the code.</t>
        </is>
      </c>
      <c r="M1289" t="n">
        <v>0.0041</v>
      </c>
      <c r="N1289" t="n">
        <v>0.0984</v>
      </c>
      <c r="O1289" t="n">
        <v>0.16</v>
      </c>
    </row>
    <row r="1290">
      <c r="A1290" t="inlineStr">
        <is>
          <t>openmicroscopy</t>
        </is>
      </c>
      <c r="B1290" t="inlineStr">
        <is>
          <t>components/tools/OmeroCpp/ext/gtest-1.7.0/test/gtest_uninitialized_test.py</t>
        </is>
      </c>
      <c r="C1290">
        <f>HYPERLINK("https://github.com/ome/openmicroscopy/blob/master/components/tools/OmeroCpp/ext/gtest-1.7.0/test/gtest_uninitialized_test.py")</f>
        <v/>
      </c>
      <c r="D1290" t="inlineStr">
        <is>
          <t>The provided Python script is part of a larger repository containing backend software components. It includes comments indicating that it implements core algorithms and has a time complexity of O(N). The file size is 1000 lines long.</t>
        </is>
      </c>
      <c r="E1290" t="n">
        <v>0.0126</v>
      </c>
      <c r="F1290" t="n">
        <v>0.1739</v>
      </c>
      <c r="G1290" t="n">
        <v>0.3413</v>
      </c>
      <c r="H1290" t="inlineStr">
        <is>
          <t>The code is a Python script for implementing core algorithms in a backend software component. It includes comments explaining the implementation and commits indicating the initial creation of the codebase. The complexity is marked as O(N), suggesting it involves processing data linearly based on input size N.</t>
        </is>
      </c>
      <c r="I1290" t="n">
        <v>0.0051</v>
      </c>
      <c r="J1290" t="n">
        <v>0.1071</v>
      </c>
      <c r="K1290" t="n">
        <v>0.1681</v>
      </c>
      <c r="L1290" t="inlineStr">
        <is>
          <t>The provided Python script is part of a larger backend software component repository. It appears to contain initial implementation of core algorithms, likely related to data processing or system management tasks. The code complexity is moderate (O(N)), and there are no existing comments indicating detailed descriptions of the algorithm's functionality. The script lacks context about input/output parameters and any specific design patterns or best practices applied. Overall, it serves</t>
        </is>
      </c>
      <c r="M1290" t="n">
        <v>0.0035</v>
      </c>
      <c r="N1290" t="n">
        <v>0.125</v>
      </c>
      <c r="O1290" t="n">
        <v>0.1773</v>
      </c>
    </row>
    <row r="1291">
      <c r="A1291" t="inlineStr">
        <is>
          <t>openmicroscopy</t>
        </is>
      </c>
      <c r="B1291" t="inlineStr">
        <is>
          <t>components/tools/OmeroCpp/ext/gtest-1.7.0/test/gtest_xml_test_utils.py</t>
        </is>
      </c>
      <c r="C1291">
        <f>HYPERLINK("https://github.com/ome/openmicroscopy/blob/master/components/tools/OmeroCpp/ext/gtest-1.7.0/test/gtest_xml_test_utils.py")</f>
        <v/>
      </c>
      <c r="D1291" t="inlineStr">
        <is>
          <t>The provided Python script is part of a larger system designed for backend software development. It includes comments indicating that it implements core algorithms and has a time complexity of O(N). The script does not contain any actual implementation details but rather serves as a placeholder for future work on backend functionalities. The README file mentions that this repository contains backend software components, while the commits section indicates that this is the initial codebase</t>
        </is>
      </c>
      <c r="E1291" t="n">
        <v>0.0062</v>
      </c>
      <c r="F1291" t="n">
        <v>0.0964</v>
      </c>
      <c r="G1291" t="n">
        <v>0.292</v>
      </c>
      <c r="H1291" t="inlineStr">
        <is>
          <t>The code is a Python script for implementing core algorithms. It includes comments explaining the implementation details and commits indicating the initial creation of the codebase. The complexity is rated as O(N), suggesting it involves processing data linearly.</t>
        </is>
      </c>
      <c r="I1291" t="n">
        <v>0.0058</v>
      </c>
      <c r="J1291" t="n">
        <v>0.1277</v>
      </c>
      <c r="K1291" t="n">
        <v>0.1364</v>
      </c>
      <c r="L1291" t="inlineStr">
        <is>
          <t>The given Python script is part of a larger backend software component repository. It appears to contain initial implementation of core algorithms, likely for some data processing task. The code complexity is moderate (O(N)), and there are no existing comments indicating detailed functionality. The primary purpose of the script is unclear based solely on the provided context, as it lacks any descriptive docstrings or comments explaining its intended behavior.</t>
        </is>
      </c>
      <c r="M1291" t="n">
        <v>0.0035</v>
      </c>
      <c r="N1291" t="n">
        <v>0.1026</v>
      </c>
      <c r="O1291" t="n">
        <v>0.1773</v>
      </c>
    </row>
    <row r="1292">
      <c r="A1292" t="inlineStr">
        <is>
          <t>openmicroscopy</t>
        </is>
      </c>
      <c r="B1292" t="inlineStr">
        <is>
          <t>components/tools/OmeroCpp/ext/gtest-1.7.0/test/gtest_filter_unittest.py</t>
        </is>
      </c>
      <c r="C1292">
        <f>HYPERLINK("https://github.com/ome/openmicroscopy/blob/master/components/tools/OmeroCpp/ext/gtest-1.7.0/test/gtest_filter_unittest.py")</f>
        <v/>
      </c>
      <c r="D1292" t="inlineStr">
        <is>
          <t>The provided Python script is part of a larger backend software component repository. It includes comments indicating implementation of core algorithms and mentions that it has a time complexity of O(N). The script does not contain any actual code but rather serves as a README file describing the repository's contents, complexity, comments, commits, and size.</t>
        </is>
      </c>
      <c r="E1292" t="n">
        <v>0.0044</v>
      </c>
      <c r="F1292" t="n">
        <v>0.1231</v>
      </c>
      <c r="G1292" t="n">
        <v>0.1969</v>
      </c>
      <c r="H1292" t="inlineStr">
        <is>
          <t>The repository contains backend software components implementing core algorithms. The complexity is O(N), indicating linear time complexity for certain operations.</t>
        </is>
      </c>
      <c r="I1292" t="n">
        <v>0.0115</v>
      </c>
      <c r="J1292" t="n">
        <v>0.2069</v>
      </c>
      <c r="K1292" t="n">
        <v>0.2778</v>
      </c>
      <c r="L1292" t="inlineStr">
        <is>
          <t>The provided Python script is part of a larger backend software component repository. It appears to be a boilerplate license header for a project, which includes copyright notices and licensing terms. The script itself is empty except for comments, indicating that it serves as a template for future implementation of actual code within the same directory structure.</t>
        </is>
      </c>
      <c r="M1292" t="n">
        <v>0.0038</v>
      </c>
      <c r="N1292" t="n">
        <v>0.0615</v>
      </c>
      <c r="O1292" t="n">
        <v>0.155</v>
      </c>
    </row>
    <row r="1293">
      <c r="A1293" t="inlineStr">
        <is>
          <t>openmicroscopy</t>
        </is>
      </c>
      <c r="B1293" t="inlineStr">
        <is>
          <t>components/tools/OmeroCpp/ext/gtest-1.7.0/test/gtest_color_test.py</t>
        </is>
      </c>
      <c r="C1293">
        <f>HYPERLINK("https://github.com/ome/openmicroscopy/blob/master/components/tools/OmeroCpp/ext/gtest-1.7.0/test/gtest_color_test.py")</f>
        <v/>
      </c>
      <c r="D1293" t="inlineStr">
        <is>
          <t>The provided Python script is part of a larger backend software component repository. It includes comments indicating that it implements core algorithms and has a time complexity of O(N). The script does not contain any executable code but rather serves as documentation for the project's structure and implementation details.</t>
        </is>
      </c>
      <c r="E1293" t="n">
        <v>0.0094</v>
      </c>
      <c r="F1293" t="n">
        <v>0.1356</v>
      </c>
      <c r="G1293" t="n">
        <v>0.3074</v>
      </c>
      <c r="H1293" t="inlineStr">
        <is>
          <t>The code is a Python script for implementing core algorithms within a backend software component repository. It includes comments explaining the implementation details and mentions that it has been initialized as part of the project's codebase. The complexity is rated at O(N), indicating linear time complexity, which suggests that the algorithm scales proportionally with the size of the input data.</t>
        </is>
      </c>
      <c r="I1293" t="n">
        <v>0.004</v>
      </c>
      <c r="J1293" t="n">
        <v>0.0857</v>
      </c>
      <c r="K1293" t="n">
        <v>0.1894</v>
      </c>
      <c r="L1293" t="inlineStr">
        <is>
          <t>The provided Python script is part of a larger system designed for handling backend software components. It includes comments indicating implementation of core algorithms and follows a simple structure with no complex data structures or extensive conditional statements. The code size is relatively small (1000 lines), suggesting straightforward logic focused on basic operations within the context of a backend application.</t>
        </is>
      </c>
      <c r="M1293" t="n">
        <v>0.004</v>
      </c>
      <c r="N1293" t="n">
        <v>0.1471</v>
      </c>
      <c r="O1293" t="n">
        <v>0.1894</v>
      </c>
    </row>
    <row r="1294">
      <c r="A1294" t="inlineStr">
        <is>
          <t>openmicroscopy</t>
        </is>
      </c>
      <c r="B1294" t="inlineStr">
        <is>
          <t>components/tools/OmeroCpp/ext/gtest-1.7.0/test/gtest_env_var_test.py</t>
        </is>
      </c>
      <c r="C1294">
        <f>HYPERLINK("https://github.com/ome/openmicroscopy/blob/master/components/tools/OmeroCpp/ext/gtest-1.7.0/test/gtest_env_var_test.py")</f>
        <v/>
      </c>
      <c r="D1294" t="inlineStr">
        <is>
          <t>The provided Python script is part of a larger repository containing backend software components. It includes comments indicating implementation of core algorithms and mentions a time complexity of O(N). The file size is 1000 lines long, and it has been committed as the initial version of the codebase.</t>
        </is>
      </c>
      <c r="E1294" t="n">
        <v>0.005</v>
      </c>
      <c r="F1294" t="n">
        <v>0.1404</v>
      </c>
      <c r="G1294" t="n">
        <v>0.2083</v>
      </c>
      <c r="H1294" t="inlineStr">
        <is>
          <t>This repository contains backend software components implementing core algorithms. The complexity is O(N), indicating linear time complexity for certain operations.</t>
        </is>
      </c>
      <c r="I1294" t="n">
        <v>0.0127</v>
      </c>
      <c r="J1294" t="n">
        <v>0.2759</v>
      </c>
      <c r="K1294" t="n">
        <v>0.3431</v>
      </c>
      <c r="L1294" t="inlineStr">
        <is>
          <t>This Python script is part of a larger backend software component repository. It appears to contain initial implementation of core algorithms, likely for handling data processing tasks within the system. The code complexity is moderate (O(N)), indicating that it involves some iterative processes over input data. The existing comments suggest that the primary function is to implement these algorithms efficiently.</t>
        </is>
      </c>
      <c r="M1294" t="n">
        <v>0.004</v>
      </c>
      <c r="N1294" t="n">
        <v>0.1449</v>
      </c>
      <c r="O1294" t="n">
        <v>0.1894</v>
      </c>
    </row>
    <row r="1295">
      <c r="A1295" t="inlineStr">
        <is>
          <t>openmicroscopy</t>
        </is>
      </c>
      <c r="B1295" t="inlineStr">
        <is>
          <t>components/tools/OmeroCpp/ext/gtest-1.7.0/test/gtest_help_test.py</t>
        </is>
      </c>
      <c r="C1295">
        <f>HYPERLINK("https://github.com/ome/openmicroscopy/blob/master/components/tools/OmeroCpp/ext/gtest-1.7.0/test/gtest_help_test.py")</f>
        <v/>
      </c>
      <c r="D1295" t="inlineStr">
        <is>
          <t>The provided Python script is part of a larger project containing backend software components. It includes comments explaining the implementation of core algorithms under the Apache License version 2. The complexity of the code is O(N), indicating linear time complexity for operations involving lists or arrays. The total size of the codebase is approximately 1000 lines.</t>
        </is>
      </c>
      <c r="E1295" t="n">
        <v>0.0039</v>
      </c>
      <c r="F1295" t="n">
        <v>0.09229999999999999</v>
      </c>
      <c r="G1295" t="n">
        <v>0.1563</v>
      </c>
      <c r="H1295" t="inlineStr">
        <is>
          <t>The code is a Python script for implementing core algorithms. It includes comments explaining the implementation and a README file describing the purpose of the repository. The complexity is O(N), indicating linear time complexity. The code size is 1000 lines.</t>
        </is>
      </c>
      <c r="I1295" t="n">
        <v>0.0055</v>
      </c>
      <c r="J1295" t="n">
        <v>0.1224</v>
      </c>
      <c r="K1295" t="n">
        <v>0.1339</v>
      </c>
      <c r="L1295" t="inlineStr">
        <is>
          <t>This Python script is part of a larger backend software component repository. It appears to contain initial implementation of core algorithms, likely related to data processing or system management tasks. The code complexity is moderate (O(N)), indicating it processes linearly proportional to input size. There are no existing comments explaining the detailed logic, which could make it challenging for future developers to understand the purpose and functionality. The commit message</t>
        </is>
      </c>
      <c r="M1295" t="n">
        <v>0.0037</v>
      </c>
      <c r="N1295" t="n">
        <v>0.1266</v>
      </c>
      <c r="O1295" t="n">
        <v>0.2113</v>
      </c>
    </row>
    <row r="1296">
      <c r="A1296" t="inlineStr">
        <is>
          <t>openmicroscopy</t>
        </is>
      </c>
      <c r="B1296" t="inlineStr">
        <is>
          <t>components/tools/OmeroCpp/ext/gtest-1.7.0/test/gtest_break_on_failure_unittest.py</t>
        </is>
      </c>
      <c r="C1296">
        <f>HYPERLINK("https://github.com/ome/openmicroscopy/blob/master/components/tools/OmeroCpp/ext/gtest-1.7.0/test/gtest_break_on_failure_unittest.py")</f>
        <v/>
      </c>
      <c r="D1296" t="inlineStr">
        <is>
          <t>The provided Python script is part of a larger repository containing backend software components. It includes comments indicating implementation of core algorithms, but lacks a detailed description of the actual functionality. The complexity is rated as O(N), suggesting linear time complexity for operations involving data structures of size N. The code size is approximately 1000 lines, which could indicate it's a significant piece of software. However,</t>
        </is>
      </c>
      <c r="E1296" t="n">
        <v>0.0033</v>
      </c>
      <c r="F1296" t="n">
        <v>0.1053</v>
      </c>
      <c r="G1296" t="n">
        <v>0.1449</v>
      </c>
      <c r="H1296" t="inlineStr">
        <is>
          <t>The code is a Python script for implementing core algorithms. It includes comments explaining the implementation and a README file describing the purpose of the repository. The complexity is O(N), indicating linear time complexity. The code size is 1000 lines.</t>
        </is>
      </c>
      <c r="I1296" t="n">
        <v>0.0055</v>
      </c>
      <c r="J1296" t="n">
        <v>0.1224</v>
      </c>
      <c r="K1296" t="n">
        <v>0.1339</v>
      </c>
      <c r="L1296" t="inlineStr">
        <is>
          <t>This Python script is part of a larger backend software component repository. It appears to contain initial implementation of core algorithms, likely for some data processing task or service. The code complexity is moderate (O(N)), indicating it involves iterating over data structures. There are no existing comments, which suggests further development is needed. The script is committed as part of the initial codebase, and its primary function is unclear</t>
        </is>
      </c>
      <c r="M1296" t="n">
        <v>0.0037</v>
      </c>
      <c r="N1296" t="n">
        <v>0.1282</v>
      </c>
      <c r="O1296" t="n">
        <v>0.2128</v>
      </c>
    </row>
    <row r="1297">
      <c r="A1297" t="inlineStr">
        <is>
          <t>openmicroscopy</t>
        </is>
      </c>
      <c r="B1297" t="inlineStr">
        <is>
          <t>components/tools/OmeroCpp/ext/gtest-1.7.0/test/gtest_list_tests_unittest.py</t>
        </is>
      </c>
      <c r="C1297">
        <f>HYPERLINK("https://github.com/ome/openmicroscopy/blob/master/components/tools/OmeroCpp/ext/gtest-1.7.0/test/gtest_list_tests_unittest.py")</f>
        <v/>
      </c>
      <c r="D1297" t="inlineStr">
        <is>
          <t>The provided Python script is part of a larger project containing backend software components. It includes comments indicating that it implements core algorithms and has a time complexity of O(N). The script does not contain any actual implementation details but rather serves as a placeholder for future development work on backend functionalities.</t>
        </is>
      </c>
      <c r="E1297" t="n">
        <v>0.0089</v>
      </c>
      <c r="F1297" t="n">
        <v>0.1311</v>
      </c>
      <c r="G1297" t="n">
        <v>0.3</v>
      </c>
      <c r="H1297" t="inlineStr">
        <is>
          <t>The provided code is a Python script for implementing core algorithms within a backend software component. It includes comments explaining the implementation details and mentions that it has been committed as part of an initial codebase. The complexity is rated as O(N), indicating linear time complexity, which suggests that the algorithm scales proportionally with the size of the input data.</t>
        </is>
      </c>
      <c r="I1297" t="n">
        <v>0.004</v>
      </c>
      <c r="J1297" t="n">
        <v>0.08699999999999999</v>
      </c>
      <c r="K1297" t="n">
        <v>0.1894</v>
      </c>
      <c r="L1297" t="inlineStr">
        <is>
          <t>The provided Python script is part of a larger backend software component repository. It includes comments indicating implementation of core algorithms and is designed to handle various input data efficiently, with a time complexity of O(N). The script's primary function appears to be processing and analyzing data according to specified requirements.</t>
        </is>
      </c>
      <c r="M1297" t="n">
        <v>0.0047</v>
      </c>
      <c r="N1297" t="n">
        <v>0.1639</v>
      </c>
      <c r="O1297" t="n">
        <v>0.2033</v>
      </c>
    </row>
    <row r="1298">
      <c r="A1298" t="inlineStr">
        <is>
          <t>openmicroscopy</t>
        </is>
      </c>
      <c r="B1298" t="inlineStr">
        <is>
          <t>components/tools/OmeroCpp/ext/gtest-1.7.0/test/gtest_throw_on_failure_test.py</t>
        </is>
      </c>
      <c r="C1298">
        <f>HYPERLINK("https://github.com/ome/openmicroscopy/blob/master/components/tools/OmeroCpp/ext/gtest-1.7.0/test/gtest_throw_on_failure_test.py")</f>
        <v/>
      </c>
      <c r="D1298" t="inlineStr">
        <is>
          <t>The provided Python script is part of a larger repository containing backend software components. It includes comments indicating implementation of core algorithms and mentions a complexity of O(N). The file size is 1000 lines long.</t>
        </is>
      </c>
      <c r="E1298" t="n">
        <v>0.007</v>
      </c>
      <c r="F1298" t="n">
        <v>0.1818</v>
      </c>
      <c r="G1298" t="n">
        <v>0.2336</v>
      </c>
      <c r="H1298" t="inlineStr">
        <is>
          <t>The code is a Python script for implementing core algorithms. It includes comments explaining the implementation details and commits tracking the initial creation of the codebase. The complexity is rated as O(N), indicating linear time complexity based on input size.</t>
        </is>
      </c>
      <c r="I1298" t="n">
        <v>0.0055</v>
      </c>
      <c r="J1298" t="n">
        <v>0.1224</v>
      </c>
      <c r="K1298" t="n">
        <v>0.1339</v>
      </c>
      <c r="L1298" t="inlineStr">
        <is>
          <t>The given Python script is part of a larger backend software component repository. It appears to be a license agreement for Google's open-source projects, specifically mentioning permissions for redistribution and usage under certain conditions. The script includes comments explaining the licensing terms and restrictions.</t>
        </is>
      </c>
      <c r="M1298" t="n">
        <v>0.005</v>
      </c>
      <c r="N1298" t="n">
        <v>0.0741</v>
      </c>
      <c r="O1298" t="n">
        <v>0.1293</v>
      </c>
    </row>
    <row r="1299">
      <c r="A1299" t="inlineStr">
        <is>
          <t>openmicroscopy</t>
        </is>
      </c>
      <c r="B1299" t="inlineStr">
        <is>
          <t>components/tools/OmeroCpp/ext/gtest-1.7.0/test/gtest_test_utils.py</t>
        </is>
      </c>
      <c r="C1299">
        <f>HYPERLINK("https://github.com/ome/openmicroscopy/blob/master/components/tools/OmeroCpp/ext/gtest-1.7.0/test/gtest_test_utils.py")</f>
        <v/>
      </c>
      <c r="D1299" t="inlineStr">
        <is>
          <t>The provided Python script is part of a larger project containing backend software components. It includes comments explaining the purpose and complexity of the implementation, as well as details about the initial commit. The code size is specified as 1000 lines.</t>
        </is>
      </c>
      <c r="E1299" t="n">
        <v>0.0054</v>
      </c>
      <c r="F1299" t="n">
        <v>0.08160000000000001</v>
      </c>
      <c r="G1299" t="n">
        <v>0.1327</v>
      </c>
      <c r="H1299" t="inlineStr">
        <is>
          <t>This repository contains backend software components implementing core algorithms. The complexity is O(N), indicating linear time performance for certain operations.</t>
        </is>
      </c>
      <c r="I1299" t="n">
        <v>0.0127</v>
      </c>
      <c r="J1299" t="n">
        <v>0.2759</v>
      </c>
      <c r="K1299" t="n">
        <v>0.3431</v>
      </c>
      <c r="L1299" t="inlineStr">
        <is>
          <t>The provided Python script is part of a larger system designed for handling backend software components. It includes comments indicating the implementation of core algorithms and follows a complexity of O(N), suggesting linear time performance. The script is intended to manage various functionalities within the backend environment.</t>
        </is>
      </c>
      <c r="M1299" t="n">
        <v>0.0051</v>
      </c>
      <c r="N1299" t="n">
        <v>0.1429</v>
      </c>
      <c r="O1299" t="n">
        <v>0.2101</v>
      </c>
    </row>
    <row r="1300">
      <c r="A1300" t="inlineStr">
        <is>
          <t>openmicroscopy</t>
        </is>
      </c>
      <c r="B1300" t="inlineStr">
        <is>
          <t>components/tools/OmeroCpp/ext/gtest-1.7.0/scripts/pump.py</t>
        </is>
      </c>
      <c r="C1300">
        <f>HYPERLINK("https://github.com/ome/openmicroscopy/blob/master/components/tools/OmeroCpp/ext/gtest-1.7.0/scripts/pump.py")</f>
        <v/>
      </c>
      <c r="D1300" t="inlineStr">
        <is>
          <t>The provided Python script is part of a larger repository containing backend software components. It implements core algorithms and does not include any actual implementation details due to the complexity being marked as O(N). The comments indicate that it is intended for use by developers working on the project. The file size is specified as 1000 lines.</t>
        </is>
      </c>
      <c r="E1300" t="n">
        <v>0.0081</v>
      </c>
      <c r="F1300" t="n">
        <v>0.1212</v>
      </c>
      <c r="G1300" t="n">
        <v>0.2884</v>
      </c>
      <c r="H1300" t="inlineStr">
        <is>
          <t>The provided code is a Python script for implementing core algorithms within a backend software component. It includes comments explaining the implementation and mentions the complexity as O(N). The README file describes the purpose of the repository and provides details about the commits and code size.</t>
        </is>
      </c>
      <c r="I1300" t="n">
        <v>0.0053</v>
      </c>
      <c r="J1300" t="n">
        <v>0.1091</v>
      </c>
      <c r="K1300" t="n">
        <v>0.1695</v>
      </c>
      <c r="L1300" t="inlineStr">
        <is>
          <t>This Python script is part of a larger backend software component repository. It appears to contain initial implementation of core algorithms, likely related to data processing or system management tasks. The code complexity is moderate (O(N)), indicating it involves iterating over large datasets or performing multiple calculations. There are no existing comments, which suggests further documentation might be needed for clarity. The commit message indicates this is the first version of</t>
        </is>
      </c>
      <c r="M1300" t="n">
        <v>0.0034</v>
      </c>
      <c r="N1300" t="n">
        <v>0.1</v>
      </c>
      <c r="O1300" t="n">
        <v>0.1748</v>
      </c>
    </row>
    <row r="1301">
      <c r="A1301" t="inlineStr">
        <is>
          <t>openmicroscopy</t>
        </is>
      </c>
      <c r="B1301" t="inlineStr">
        <is>
          <t>components/tools/OmeroCpp/ext/gtest-1.7.0/scripts/gen_gtest_pred_impl.py</t>
        </is>
      </c>
      <c r="C1301">
        <f>HYPERLINK("https://github.com/ome/openmicroscopy/blob/master/components/tools/OmeroCpp/ext/gtest-1.7.0/scripts/gen_gtest_pred_impl.py")</f>
        <v/>
      </c>
      <c r="D1301" t="inlineStr">
        <is>
          <t>The provided Python script is part of a larger project containing backend software components. It includes comments explaining the implementation of core algorithms under the Apache License version 2. The complexity of the code is O(N), indicating linear time complexity for certain operations. The total size of the codebase is approximately 1000 lines. This script serves as the initial commit to the repository, which contains the foundational</t>
        </is>
      </c>
      <c r="E1301" t="n">
        <v>0.0036</v>
      </c>
      <c r="F1301" t="n">
        <v>0.0789</v>
      </c>
      <c r="G1301" t="n">
        <v>0.1799</v>
      </c>
      <c r="H1301" t="inlineStr">
        <is>
          <t>The provided code is a Python script for implementing core algorithms, which includes comments explaining the implementation details. The complexity of the algorithm is O(N), indicating linear time complexity relative to the size of the input data. The code size is 1000 lines, making it relatively large but focused on core algorithmic implementations.</t>
        </is>
      </c>
      <c r="I1301" t="n">
        <v>0.0035</v>
      </c>
      <c r="J1301" t="n">
        <v>0.0645</v>
      </c>
      <c r="K1301" t="n">
        <v>0.08</v>
      </c>
      <c r="L1301" t="inlineStr">
        <is>
          <t>The provided Python script is part of a larger backend software component repository. It includes comments indicating implementation of core algorithms, with no existing comments for clarity. The code size is 1000 lines, suggesting significant complexity. The script appears to handle some kind of data processing task, likely involving input/output operations and possibly algorithmic computations. Without further context, the exact functionality cannot be determined precisely.</t>
        </is>
      </c>
      <c r="M1301" t="n">
        <v>0.004</v>
      </c>
      <c r="N1301" t="n">
        <v>0.1081</v>
      </c>
      <c r="O1301" t="n">
        <v>0.1825</v>
      </c>
    </row>
    <row r="1302">
      <c r="A1302" t="inlineStr">
        <is>
          <t>openmicroscopy</t>
        </is>
      </c>
      <c r="B1302" t="inlineStr">
        <is>
          <t>components/tools/OmeroCpp/ext/gtest-1.7.0/scripts/fuse_gtest_files.py</t>
        </is>
      </c>
      <c r="C1302">
        <f>HYPERLINK("https://github.com/ome/openmicroscopy/blob/master/components/tools/OmeroCpp/ext/gtest-1.7.0/scripts/fuse_gtest_files.py")</f>
        <v/>
      </c>
      <c r="D1302" t="inlineStr">
        <is>
          <t>The provided Python script is part of a larger repository containing backend software components. It includes comments indicating that it implements core algorithms. The complexity of the implementation is O(N), suggesting linear time complexity for operations involving N elements. The file size is 1000 lines long, making it relatively large but focused on algorithmic implementations.</t>
        </is>
      </c>
      <c r="E1302" t="n">
        <v>0.0078</v>
      </c>
      <c r="F1302" t="n">
        <v>0.09379999999999999</v>
      </c>
      <c r="G1302" t="n">
        <v>0.2485</v>
      </c>
      <c r="H1302" t="inlineStr">
        <is>
          <t>The code is a Python script for implementing core algorithms, which has a complexity of O(N) and consists of approximately 1000 lines of code. It includes comments explaining the implementation details and was initially committed to the repository.</t>
        </is>
      </c>
      <c r="I1302" t="n">
        <v>0.0058</v>
      </c>
      <c r="J1302" t="n">
        <v>0.1277</v>
      </c>
      <c r="K1302" t="n">
        <v>0.1364</v>
      </c>
      <c r="L1302" t="inlineStr">
        <is>
          <t>The provided Python script is part of a larger backend software component repository. It includes comments indicating implementation of core algorithms, with no existing comments for clarity. The code size is 1000 lines, making it complex at O(N). The script appears to be a boilerplate license header for a project, which should be removed before further development.</t>
        </is>
      </c>
      <c r="M1302" t="n">
        <v>0.0038</v>
      </c>
      <c r="N1302" t="n">
        <v>0.09089999999999999</v>
      </c>
      <c r="O1302" t="n">
        <v>0.155</v>
      </c>
    </row>
    <row r="1303">
      <c r="A1303" t="inlineStr">
        <is>
          <t>openmicroscopy</t>
        </is>
      </c>
      <c r="B1303" t="inlineStr">
        <is>
          <t>components/tools/OmeroJava/test/integration/CmdCallbackTest.java</t>
        </is>
      </c>
      <c r="C1303">
        <f>HYPERLINK("https://github.com/ome/openmicroscopy/blob/master/components/tools/OmeroJava/test/integration/CmdCallbackTest.java")</f>
        <v/>
      </c>
      <c r="D1303" t="inlineStr">
        <is>
          <t>The provided Java code defines a class within the `integration` package that implements core algorithms using concurrent programming techniques. It utilizes a `CountDownLatch` to synchronize threads and an `AtomicInteger` for atomic operations. The code is licensed under the GNU General Public License and includes comments explaining its purpose and implementation complexity. The README file indicates that this repository contains backend software components and provides information about the initial code</t>
        </is>
      </c>
      <c r="E1303" t="n">
        <v>0.0066</v>
      </c>
      <c r="F1303" t="n">
        <v>0.0779</v>
      </c>
      <c r="G1303" t="n">
        <v>0.3024</v>
      </c>
      <c r="H1303" t="inlineStr">
        <is>
          <t>The repository contains backend software components implementing core algorithms. The complexity is O(N), indicating linear time complexity.</t>
        </is>
      </c>
      <c r="I1303" t="n">
        <v>0.0137</v>
      </c>
      <c r="J1303" t="n">
        <v>0.2308</v>
      </c>
      <c r="K1303" t="n">
        <v>0.2871</v>
      </c>
      <c r="L1303" t="inlineStr">
        <is>
          <t>The code appears to implement a test suite for a server component using Java's concurrency utilities. It uses `CountDownLatch` and `AtomicInteger` to manage concurrent tests and ensure proper synchronization between threads. The implementation includes basic error handling and logging mechanisms.</t>
        </is>
      </c>
      <c r="M1303" t="n">
        <v>0.0046</v>
      </c>
      <c r="N1303" t="n">
        <v>0.08160000000000001</v>
      </c>
      <c r="O1303" t="n">
        <v>0.1339</v>
      </c>
    </row>
    <row r="1304">
      <c r="A1304" t="inlineStr">
        <is>
          <t>openmicroscopy</t>
        </is>
      </c>
      <c r="B1304" t="inlineStr">
        <is>
          <t>components/tools/OmeroJava/test/integration/DeleteServiceFilesTest.java</t>
        </is>
      </c>
      <c r="C1304">
        <f>HYPERLINK("https://github.com/ome/openmicroscopy/blob/master/components/tools/OmeroJava/test/integration/DeleteServiceFilesTest.java")</f>
        <v/>
      </c>
      <c r="D1304" t="inlineStr">
        <is>
          <t>The provided Java code appears to be part of a larger system for managing image data using the Open Microscopy Environment (OME) framework. It includes classes and methods related to OME metadata storage, file operations, and grid processing. The code uses various libraries such as `ome.formats`, `ome.io`, and `omero` to interact with OME servers and perform tasks like deleting images from</t>
        </is>
      </c>
      <c r="E1304" t="n">
        <v>0.003</v>
      </c>
      <c r="F1304" t="n">
        <v>0.0282</v>
      </c>
      <c r="G1304" t="n">
        <v>0.0752</v>
      </c>
      <c r="H1304" t="inlineStr">
        <is>
          <t>The repository contains backend software components implementing core algorithms. The complexity is O(N), indicating linear time complexity for operations that depend on input size N.</t>
        </is>
      </c>
      <c r="I1304" t="n">
        <v>0.008999999999999999</v>
      </c>
      <c r="J1304" t="n">
        <v>0.1765</v>
      </c>
      <c r="K1304" t="n">
        <v>0.2635</v>
      </c>
      <c r="L1304" t="inlineStr">
        <is>
          <t>This Java code integrates with the Open Microscopy Environment (OME) API to manage datasets and their associated files. It includes functionalities such as deleting datasets and handling raw access requests for images within those datasets. The code uses various classes from the OME library to interact with the server and perform operations like retrieving pixel data and managing thumbnails.</t>
        </is>
      </c>
      <c r="M1304" t="n">
        <v>0.0037</v>
      </c>
      <c r="N1304" t="n">
        <v>0.0896</v>
      </c>
      <c r="O1304" t="n">
        <v>0.1145</v>
      </c>
    </row>
    <row r="1305">
      <c r="A1305" t="inlineStr">
        <is>
          <t>openmicroscopy</t>
        </is>
      </c>
      <c r="B1305" t="inlineStr">
        <is>
          <t>components/tools/OmeroJava/test/integration/CreatePojosFixture2.java</t>
        </is>
      </c>
      <c r="C1305">
        <f>HYPERLINK("https://github.com/ome/openmicroscopy/blob/master/components/tools/OmeroJava/test/integration/CreatePojosFixture2.java")</f>
        <v/>
      </c>
      <c r="D1305" t="inlineStr">
        <is>
          <t>The provided Java code defines classes for creating datasets with associated images and comments using OME's OMERO server API. It includes methods for setting up experimenters, groups, and annotations, as well as linking these entities together within the dataset structure. The complexity is rated at O(N), indicating that it may involve processing or iterating over N elements.</t>
        </is>
      </c>
      <c r="E1305" t="n">
        <v>0.0032</v>
      </c>
      <c r="F1305" t="n">
        <v>0.0299</v>
      </c>
      <c r="G1305" t="n">
        <v>0.0775</v>
      </c>
      <c r="H1305" t="inlineStr">
        <is>
          <t>Manages database operations for image annotation links in an OMERO server environment.</t>
        </is>
      </c>
      <c r="I1305" t="n">
        <v>0</v>
      </c>
      <c r="J1305" t="n">
        <v>0</v>
      </c>
      <c r="K1305" t="n">
        <v>0</v>
      </c>
      <c r="L1305" t="inlineStr">
        <is>
          <t>This Java code integrates various OMERO (Open Microscopy Environment) services to manage dataset annotations, including creating new datasets, adding images to them, linking comments and experimenters, and updating metadata. The code uses UUIDs for unique identifiers and handles exceptions related to server errors. It provides basic functionalities such as creating datasets, adding images, and associating comments and users with these datasets.</t>
        </is>
      </c>
      <c r="M1305" t="n">
        <v>0.0036</v>
      </c>
      <c r="N1305" t="n">
        <v>0.08699999999999999</v>
      </c>
      <c r="O1305" t="n">
        <v>0.1128</v>
      </c>
    </row>
    <row r="1306">
      <c r="A1306" t="inlineStr">
        <is>
          <t>openmicroscopy</t>
        </is>
      </c>
      <c r="B1306" t="inlineStr">
        <is>
          <t>components/tools/OmeroJava/test/integration/RenderingSettingsServiceTest.java</t>
        </is>
      </c>
      <c r="C1306">
        <f>HYPERLINK("https://github.com/ome/openmicroscopy/blob/master/components/tools/OmeroJava/test/integration/RenderingSettingsServiceTest.java")</f>
        <v/>
      </c>
      <c r="D1306" t="inlineStr">
        <is>
          <t>The provided Java code appears to be part of an OME (Open Microscopy Environment) project, specifically within its integration module. The code defines classes and methods for managing datasets, images, channels, and other related objects in an image processing system. It includes functionalities such as creating new datasets, adding images to them, setting up channel bindings, and handling rendering settings. The complexity level is described as</t>
        </is>
      </c>
      <c r="E1306" t="n">
        <v>0.0028</v>
      </c>
      <c r="F1306" t="n">
        <v>0.08110000000000001</v>
      </c>
      <c r="G1306" t="n">
        <v>0.0725</v>
      </c>
      <c r="H1306" t="inlineStr">
        <is>
          <t>The repository contains backend software components implementing core algorithms. Complexity is O(N), with comments indicating implementation details. The code size is 1000 lines.</t>
        </is>
      </c>
      <c r="I1306" t="n">
        <v>0.0098</v>
      </c>
      <c r="J1306" t="n">
        <v>0.1875</v>
      </c>
      <c r="K1306" t="n">
        <v>0.1579</v>
      </c>
      <c r="L1306" t="inlineStr">
        <is>
          <t>The code integrates various OMERO (Open Microscopy Environment) model objects such as Project, Dataset, Image, LogicalChannel, Channel, Pixels, and Plate into a dataset structure. It uses Java AWT Point for coordinate calculations and handles rendering settings using IRenderingSettingsPrx and IScriptPrx interfaces. The code also includes methods for creating and managing links between these models and performs basic data manipulation</t>
        </is>
      </c>
      <c r="M1306" t="n">
        <v>0.0031</v>
      </c>
      <c r="N1306" t="n">
        <v>0.0299</v>
      </c>
      <c r="O1306" t="n">
        <v>0.07630000000000001</v>
      </c>
    </row>
    <row r="1307">
      <c r="A1307" t="inlineStr">
        <is>
          <t>openmicroscopy</t>
        </is>
      </c>
      <c r="B1307" t="inlineStr">
        <is>
          <t>components/tools/OmeroJava/test/integration/RoiServiceTest.java</t>
        </is>
      </c>
      <c r="C1307">
        <f>HYPERLINK("https://github.com/ome/openmicroscopy/blob/master/components/tools/OmeroJava/test/integration/RoiServiceTest.java")</f>
        <v/>
      </c>
      <c r="D1307" t="inlineStr">
        <is>
          <t>The provided code is part of a Java-based system for image processing and analysis using the OMERO platform. It includes methods for creating and managing ROIs (Regions of Interest) on images stored in an OMERO server. The code uses various OMERO API classes such as `IRoiPrx`, `RawPixelsStorePrx`, and `TablePrx` to interact with the server and perform</t>
        </is>
      </c>
      <c r="E1307" t="n">
        <v>0.0033</v>
      </c>
      <c r="F1307" t="n">
        <v>0.0308</v>
      </c>
      <c r="G1307" t="n">
        <v>0.0781</v>
      </c>
      <c r="H1307" t="inlineStr">
        <is>
          <t>The repository contains backend software components that implement core algorithms. The complexity is O(N), indicating linear time complexity for operations involving large datasets or collections.</t>
        </is>
      </c>
      <c r="I1307" t="n">
        <v>0.008999999999999999</v>
      </c>
      <c r="J1307" t="n">
        <v>0.1765</v>
      </c>
      <c r="K1307" t="n">
        <v>0.2635</v>
      </c>
      <c r="L1307" t="inlineStr">
        <is>
          <t>The provided code integrates tests for ROI (Region of Interest) processing within an OMERO environment using TestNG. It includes assertions for verifying the correctness of various methods such as `getShapeStats`, `createEllipseROI`, and `getTableData`. The code uses Java classes from the OMERO API to interact with images and annotations, ensuring that the ROI functionalities work as expected.</t>
        </is>
      </c>
      <c r="M1307" t="n">
        <v>0.0033</v>
      </c>
      <c r="N1307" t="n">
        <v>0.0312</v>
      </c>
      <c r="O1307" t="n">
        <v>0.0781</v>
      </c>
    </row>
    <row r="1308">
      <c r="A1308" t="inlineStr">
        <is>
          <t>openmicroscopy</t>
        </is>
      </c>
      <c r="B1308" t="inlineStr">
        <is>
          <t>components/tools/OmeroJava/test/integration/BlockSizeTest.java</t>
        </is>
      </c>
      <c r="C1308">
        <f>HYPERLINK("https://github.com/ome/openmicroscopy/blob/master/components/tools/OmeroJava/test/integration/BlockSizeTest.java")</f>
        <v/>
      </c>
      <c r="D1308" t="inlineStr">
        <is>
          <t>The `BlockSizeTest` class is a JUnit test case designed to verify the default behavior of block size settings in an integration environment. The test method `testBlockSizeDefault` checks whether the block size configuration works correctly when no specific value is set. The complexity of the implementation is O(1), indicating constant time operations regardless of input size.</t>
        </is>
      </c>
      <c r="E1308" t="n">
        <v>0</v>
      </c>
      <c r="F1308" t="n">
        <v>0.0312</v>
      </c>
      <c r="G1308" t="n">
        <v>0.07870000000000001</v>
      </c>
      <c r="H1308" t="inlineStr">
        <is>
          <t>This repository contains backend software components implementing core algorithms. The complexity is O(N), indicating linear time complexity, and the comments describe the implementation of these algorithms. The commits include an initial codebase commit. The total size of the codebase is 1000 lines.</t>
        </is>
      </c>
      <c r="I1308" t="n">
        <v>0.0062</v>
      </c>
      <c r="J1308" t="n">
        <v>0.1961</v>
      </c>
      <c r="K1308" t="n">
        <v>0.2193</v>
      </c>
      <c r="L1308" t="inlineStr">
        <is>
          <t>This Java unit test suite, `BlockSizeTest`, verifies the default block size implementation within the `integration` package using JUnit and TestNG frameworks. The primary function is to ensure that the default block size settings work correctly when no specific configuration is provided.</t>
        </is>
      </c>
      <c r="M1308" t="n">
        <v>0.0054</v>
      </c>
      <c r="N1308" t="n">
        <v>0.1224</v>
      </c>
      <c r="O1308" t="n">
        <v>0.177</v>
      </c>
    </row>
    <row r="1309">
      <c r="A1309" t="inlineStr">
        <is>
          <t>openmicroscopy</t>
        </is>
      </c>
      <c r="B1309" t="inlineStr">
        <is>
          <t>components/tools/OmeroJava/test/integration/ResetPasswordTest.java</t>
        </is>
      </c>
      <c r="C1309">
        <f>HYPERLINK("https://github.com/ome/openmicroscopy/blob/master/components/tools/OmeroJava/test/integration/ResetPasswordTest.java")</f>
        <v/>
      </c>
      <c r="D1309" t="inlineStr">
        <is>
          <t>The provided code appears to be part of a test suite for a password reset feature within an OME (Open Microscopy Environment) system. It uses TestNG annotations to define a test case for resetting user passwords. The `ResetPasswordTest` class includes a method named `testResetPassword`, which likely sends a request to reset a user's password using the `ResetPasswordRequest` class from the</t>
        </is>
      </c>
      <c r="E1309" t="n">
        <v>0</v>
      </c>
      <c r="F1309" t="n">
        <v>0</v>
      </c>
      <c r="G1309" t="n">
        <v>0.0379</v>
      </c>
      <c r="H1309" t="inlineStr">
        <is>
          <t>The code implements core algorithms for backend software components. It includes tests using TestNG to verify the implementation. The complexity is O(N), indicating linear time complexity based on input size N.</t>
        </is>
      </c>
      <c r="I1309" t="n">
        <v>0.0141</v>
      </c>
      <c r="J1309" t="n">
        <v>0.1</v>
      </c>
      <c r="K1309" t="n">
        <v>0.3064</v>
      </c>
      <c r="L1309" t="inlineStr">
        <is>
          <t>This Java code package contains unit tests for the `ResetPasswordRequest` and `ResetPasswordResponse` classes within the `omer.cmd` package. The tests use TestNG annotations to define test cases, including assertions to verify expected outcomes when resetting passwords through these commands. The code size is approximately 1000 lines, indicating a significant amount of functionality related to password management operations.</t>
        </is>
      </c>
      <c r="M1309" t="n">
        <v>0.0043</v>
      </c>
      <c r="N1309" t="n">
        <v>0.0615</v>
      </c>
      <c r="O1309" t="n">
        <v>0.1172</v>
      </c>
    </row>
    <row r="1310">
      <c r="A1310" t="inlineStr">
        <is>
          <t>openmicroscopy</t>
        </is>
      </c>
      <c r="B1310" t="inlineStr">
        <is>
          <t>components/tools/OmeroJava/test/integration/AbstractTest.java</t>
        </is>
      </c>
      <c r="C1310">
        <f>HYPERLINK("https://github.com/ome/openmicroscopy/blob/master/components/tools/OmeroJava/test/integration/AbstractTest.java")</f>
        <v/>
      </c>
      <c r="D1310" t="inlineStr">
        <is>
          <t>The provided Java code defines an abstract base class `AbstractTest` used as a foundation for unit tests within an integration package. It includes constants for XML processing properties such as the schema language and W3C XML Schema URI. The class also sets up logging using SLF4J with a logger named 'integration'. This setup allows developers to log messages during testing, which can be useful for debugging and</t>
        </is>
      </c>
      <c r="E1310" t="n">
        <v>0.0032</v>
      </c>
      <c r="F1310" t="n">
        <v>0.0533</v>
      </c>
      <c r="G1310" t="n">
        <v>0.1079</v>
      </c>
      <c r="H1310" t="inlineStr">
        <is>
          <t>The repository contains backend software components with complexity O(N) and implements core algorithms. It includes comments explaining the implementation and has been committed initially. The total size of the codebase is 1000 lines.</t>
        </is>
      </c>
      <c r="I1310" t="n">
        <v>0.0142</v>
      </c>
      <c r="J1310" t="n">
        <v>0.1905</v>
      </c>
      <c r="K1310" t="n">
        <v>0.3006</v>
      </c>
      <c r="L1310" t="inlineStr">
        <is>
          <t>This abstract base class `AbstractTest` serves as a foundation for unit testing within a Java application. It includes methods for setting up and tearing down common resources, such as initializing XML schemas and performing transformations using XSLT. The class uses SLF4J for logging and provides constants for specifying the schema language and W3C XML Schema format.</t>
        </is>
      </c>
      <c r="M1310" t="n">
        <v>0.0039</v>
      </c>
      <c r="N1310" t="n">
        <v>0.0625</v>
      </c>
      <c r="O1310" t="n">
        <v>0.1172</v>
      </c>
    </row>
    <row r="1311">
      <c r="A1311" t="inlineStr">
        <is>
          <t>openmicroscopy</t>
        </is>
      </c>
      <c r="B1311" t="inlineStr">
        <is>
          <t>components/tools/OmeroJava/test/integration/ManagedRepositoryTest.java</t>
        </is>
      </c>
      <c r="C1311">
        <f>HYPERLINK("https://github.com/ome/openmicroscopy/blob/master/components/tools/OmeroJava/test/integration/ManagedRepositoryTest.java")</f>
        <v/>
      </c>
      <c r="D1311" t="inlineStr">
        <is>
          <t>The provided code is part of an integration package within a larger system. It includes methods for handling file operations such as writing data to files using `FileWriter`. The complexity of the implementation is O(N), where N represents the number of bytes being written. The code uses Java's built-in libraries for file I/O operations and does not contain any complex algorithms beyond basic file manipulation tasks.</t>
        </is>
      </c>
      <c r="E1311" t="n">
        <v>0.0028</v>
      </c>
      <c r="F1311" t="n">
        <v>0.0513</v>
      </c>
      <c r="G1311" t="n">
        <v>0.1087</v>
      </c>
      <c r="H1311" t="inlineStr">
        <is>
          <t>The repository contains backend software components implementing core algorithms. The complexity is O(N), indicating linear time complexity, which suggests processing each element once. The comments describe the implementation of these core algorithms. There has been one initial commit to establish the codebase. The total size of the codebase is 1000 lines.</t>
        </is>
      </c>
      <c r="I1311" t="n">
        <v>0.0043</v>
      </c>
      <c r="J1311" t="n">
        <v>0.1</v>
      </c>
      <c r="K1311" t="n">
        <v>0.122</v>
      </c>
      <c r="L1311" t="inlineStr">
        <is>
          <t>This Java package contains backend software components designed to integrate various functionalities into a system. The code processes files, writes data to files using `FileWriter`, and implements core algorithms with a time complexity of \(O(N)\). It includes initial commits and comments indicating implementation of these algorithms.</t>
        </is>
      </c>
      <c r="M1311" t="n">
        <v>0.0106</v>
      </c>
      <c r="N1311" t="n">
        <v>0.1818</v>
      </c>
      <c r="O1311" t="n">
        <v>0.3613</v>
      </c>
    </row>
    <row r="1312">
      <c r="A1312" t="inlineStr">
        <is>
          <t>openmicroscopy</t>
        </is>
      </c>
      <c r="B1312" t="inlineStr">
        <is>
          <t>components/tools/OmeroJava/test/integration/LegalGraphTargetsTest.java</t>
        </is>
      </c>
      <c r="C1312">
        <f>HYPERLINK("https://github.com/ome/openmicroscopy/blob/master/components/tools/OmeroJava/test/integration/LegalGraphTargetsTest.java")</f>
        <v/>
      </c>
      <c r="D1312" t="inlineStr">
        <is>
          <t>The provided code is part of a repository containing backend software components related to image processing and metadata management within an OME (Open Microscopy Environment). It includes classes such as `Image`, `Experimenter`, and `ExperimenterGroup` from the OMERO model package, which represent entities used in managing images and users in the system. The code also implements two commands: `Ch</t>
        </is>
      </c>
      <c r="E1312" t="n">
        <v>0.0041</v>
      </c>
      <c r="F1312" t="n">
        <v>0.0606</v>
      </c>
      <c r="G1312" t="n">
        <v>0.1538</v>
      </c>
      <c r="H1312" t="inlineStr">
        <is>
          <t>The repository contains backend software components implementing core algorithms. The complexity is O(N), indicating linear time complexity. The README provides information about the copyright, license, and purpose of the project.</t>
        </is>
      </c>
      <c r="I1312" t="n">
        <v>0.008200000000000001</v>
      </c>
      <c r="J1312" t="n">
        <v>0.2051</v>
      </c>
      <c r="K1312" t="n">
        <v>0.3094</v>
      </c>
      <c r="L1312" t="inlineStr">
        <is>
          <t>This Java package contains backend software components responsible for integrating image data into the OMERO platform. It includes classes such as `Image`, `Experimenter`, and `ExperimenterGroup` from the OMERO model, which represent entities related to images and users within the system. The package also utilizes commands like `Chgrp2` and `Chmod2` from the OMERO cmd</t>
        </is>
      </c>
      <c r="M1312" t="n">
        <v>0.0045</v>
      </c>
      <c r="N1312" t="n">
        <v>0.0984</v>
      </c>
      <c r="O1312" t="n">
        <v>0.12</v>
      </c>
    </row>
    <row r="1313">
      <c r="A1313" t="inlineStr">
        <is>
          <t>openmicroscopy</t>
        </is>
      </c>
      <c r="B1313" t="inlineStr">
        <is>
          <t>components/tools/OmeroJava/test/integration/PermissionsTest.java</t>
        </is>
      </c>
      <c r="C1313">
        <f>HYPERLINK("https://github.com/ome/openmicroscopy/blob/master/components/tools/OmeroJava/test/integration/PermissionsTest.java")</f>
        <v/>
      </c>
      <c r="D1313" t="inlineStr">
        <is>
          <t>The provided Java code is part of a test suite for OME (Open Microscopy Environment) software, specifically focusing on testing BooleanAnnotations in the context of image analysis. The code includes:
- **Imports**: Necessary libraries for handling data types, collections, assertions, and network requests.
- **Package Declaration**: Indicates that this class belongs to the `integration` package within the OME project.
-</t>
        </is>
      </c>
      <c r="E1313" t="n">
        <v>0.003</v>
      </c>
      <c r="F1313" t="n">
        <v>0.0615</v>
      </c>
      <c r="G1313" t="n">
        <v>0.1136</v>
      </c>
      <c r="H1313" t="inlineStr">
        <is>
          <t>This repository contains backend software components that implement core algorithms. The complexity is O(N), indicating linear time complexity with respect to input size N. The implementation includes various classes and methods for processing data efficiently.</t>
        </is>
      </c>
      <c r="I1313" t="n">
        <v>0.0075</v>
      </c>
      <c r="J1313" t="n">
        <v>0.2273</v>
      </c>
      <c r="K1313" t="n">
        <v>0.2336</v>
      </c>
      <c r="L1313" t="inlineStr">
        <is>
          <t>This Java test suite uses TestNG to verify the functionality of various methods within the `integration` package, focusing on updating annotations in an OMERO (Open Microscopy Environment) server. The tests cover creating, modifying, and deleting BooleanAnnotations, CommentAnnotations, and other types of annotations. They also test permissions management and session handling. The code complexity is moderate, with a size of approximately 1</t>
        </is>
      </c>
      <c r="M1313" t="n">
        <v>0.0039</v>
      </c>
      <c r="N1313" t="n">
        <v>0.08699999999999999</v>
      </c>
      <c r="O1313" t="n">
        <v>0.1128</v>
      </c>
    </row>
    <row r="1314">
      <c r="A1314" t="inlineStr">
        <is>
          <t>openmicroscopy</t>
        </is>
      </c>
      <c r="B1314" t="inlineStr">
        <is>
          <t>components/tools/OmeroJava/test/integration/ObjectPropertiesTest.java</t>
        </is>
      </c>
      <c r="C1314">
        <f>HYPERLINK("https://github.com/ome/openmicroscopy/blob/master/components/tools/OmeroJava/test/integration/ObjectPropertiesTest.java")</f>
        <v/>
      </c>
      <c r="D1314" t="inlineStr">
        <is>
          <t>The provided code is part of an OME (Open Microscopy Environment) project, specifically within the `integration` package. It appears to implement core algorithms related to rendering settings in image processing applications. The code uses Java and includes comments explaining its purpose and functionality. The complexity is rated at O(N), indicating linear time complexity, which suggests that the algorithm processes data items one by one. The code</t>
        </is>
      </c>
      <c r="E1314" t="n">
        <v>0.0033</v>
      </c>
      <c r="F1314" t="n">
        <v>0.08</v>
      </c>
      <c r="G1314" t="n">
        <v>0.2287</v>
      </c>
      <c r="H1314" t="inlineStr">
        <is>
          <t>The repository contains backend software components implementing core algorithms. The complexity is O(N), indicating linear time performance relative to input size.</t>
        </is>
      </c>
      <c r="I1314" t="n">
        <v>0.0109</v>
      </c>
      <c r="J1314" t="n">
        <v>0.2</v>
      </c>
      <c r="K1314" t="n">
        <v>0.2748</v>
      </c>
      <c r="L1314" t="inlineStr">
        <is>
          <t>The provided code integrates rendering settings into images using OMERO, a platform for managing biological image data. It includes methods to set up rendering parameters such as channel visibility and opacity, which are crucial for visualizing complex scientific datasets accurately. The code uses Java interfaces and models from the OMERO API to interact with the server and manipulate image properties.</t>
        </is>
      </c>
      <c r="M1314" t="n">
        <v>0.003</v>
      </c>
      <c r="N1314" t="n">
        <v>0.0294</v>
      </c>
      <c r="O1314" t="n">
        <v>0.07580000000000001</v>
      </c>
    </row>
    <row r="1315">
      <c r="A1315" t="inlineStr">
        <is>
          <t>openmicroscopy</t>
        </is>
      </c>
      <c r="B1315" t="inlineStr">
        <is>
          <t>components/tools/OmeroJava/test/integration/LightAdminRolesTest.java</t>
        </is>
      </c>
      <c r="C1315">
        <f>HYPERLINK("https://github.com/ome/openmicroscopy/blob/master/components/tools/OmeroJava/test/integration/LightAdminRolesTest.java")</f>
        <v/>
      </c>
      <c r="D1315" t="inlineStr">
        <is>
          <t>The provided Java code defines a package named `integration` which appears to contain backend software components related to data processing or analysis. The code includes imports for file handling, character encoding, list operations, and collections utilities. It also references a README file indicating that this repository contains backend software components. The complexity of the implementation is O(N), suggesting linear time complexity based on input size N. There are comments</t>
        </is>
      </c>
      <c r="E1315" t="n">
        <v>0.0031</v>
      </c>
      <c r="F1315" t="n">
        <v>0.0769</v>
      </c>
      <c r="G1315" t="n">
        <v>0.1418</v>
      </c>
      <c r="H1315" t="inlineStr">
        <is>
          <t>This repository contains backend software components implementing core algorithms. The complexity of the implementation is O(N), indicating linear time complexity relative to the input size. The comments provide an overview of the algorithm's purpose, while the commits indicate the initial creation of the codebase. The total code size is 1000 lines.</t>
        </is>
      </c>
      <c r="I1315" t="n">
        <v>0.0047</v>
      </c>
      <c r="J1315" t="n">
        <v>0.1311</v>
      </c>
      <c r="K1315" t="n">
        <v>0.1626</v>
      </c>
      <c r="L1315" t="inlineStr">
        <is>
          <t>This Java package `integration` appears to contain backend software components designed to handle file processing tasks. The code processes files using various methods such as reading from and writing to them, handling character encodings, and managing collections like lists and arrays. It includes comments indicating implementation of core algorithms and mentions initial commits. The overall complexity is moderate at O(N), suggesting some form of iteration over data structures.</t>
        </is>
      </c>
      <c r="M1315" t="n">
        <v>0.0038</v>
      </c>
      <c r="N1315" t="n">
        <v>0.1299</v>
      </c>
      <c r="O1315" t="n">
        <v>0.2143</v>
      </c>
    </row>
    <row r="1316">
      <c r="A1316" t="inlineStr">
        <is>
          <t>openmicroscopy</t>
        </is>
      </c>
      <c r="B1316" t="inlineStr">
        <is>
          <t>components/tools/OmeroJava/test/integration/AdminServiceTest.java</t>
        </is>
      </c>
      <c r="C1316">
        <f>HYPERLINK("https://github.com/ome/openmicroscopy/blob/master/components/tools/OmeroJava/test/integration/AdminServiceTest.java")</f>
        <v/>
      </c>
      <c r="D1316" t="inlineStr">
        <is>
          <t>The provided Java code appears to be part of a system for managing user permissions and groups within an OME (Open Microscopy Environment) server environment. The code includes classes such as `Integration`, which likely handles administrative tasks related to users and groups, using OME's API (`ServiceFactoryPrx`).
Key functionalities include:
1. **User Management**: Creating, updating, and deleting users through</t>
        </is>
      </c>
      <c r="E1316" t="n">
        <v>0.0031</v>
      </c>
      <c r="F1316" t="n">
        <v>0.0597</v>
      </c>
      <c r="G1316" t="n">
        <v>0.0769</v>
      </c>
      <c r="H1316" t="inlineStr">
        <is>
          <t>The repository contains backend software components that implement core algorithms. The complexity is O(N), indicating linear time complexity for operations involving collections or data structures with N elements. The comments describe the implementation as "core algorithms."</t>
        </is>
      </c>
      <c r="I1316" t="n">
        <v>0.0061</v>
      </c>
      <c r="J1316" t="n">
        <v>0.1333</v>
      </c>
      <c r="K1316" t="n">
        <v>0.1389</v>
      </c>
      <c r="L1316" t="inlineStr">
        <is>
          <t>This Java code integrates with an OMERO server using the OME Gateway API to manage user permissions and group memberships. It performs actions such as creating new users, groups, and assigning privileges, while also handling exceptions related to API usage, validation, and server errors. The code uses Java's `ArrayList`, `HashSet`, and other collections for data management and manipulation.</t>
        </is>
      </c>
      <c r="M1316" t="n">
        <v>0.0037</v>
      </c>
      <c r="N1316" t="n">
        <v>0.0597</v>
      </c>
      <c r="O1316" t="n">
        <v>0.1154</v>
      </c>
    </row>
    <row r="1317">
      <c r="A1317" t="inlineStr">
        <is>
          <t>openmicroscopy</t>
        </is>
      </c>
      <c r="B1317" t="inlineStr">
        <is>
          <t>components/tools/OmeroJava/test/integration/DeleteServicePermissionsTest.java</t>
        </is>
      </c>
      <c r="C1317">
        <f>HYPERLINK("https://github.com/ome/openmicroscopy/blob/master/components/tools/OmeroJava/test/integration/DeleteServicePermissionsTest.java")</f>
        <v/>
      </c>
      <c r="D1317" t="inlineStr">
        <is>
          <t>The provided Java code appears to be part of a larger system for managing image data within an OME (Open Microscopy Environment) environment. The code includes classes and methods related to deleting images, handling metadata annotations, and performing administrative tasks such as creating groups and users. It uses the OMERO API for interacting with the OME server. The complexity of the implementation is rated at O(N), indicating</t>
        </is>
      </c>
      <c r="E1317" t="n">
        <v>0.0027</v>
      </c>
      <c r="F1317" t="n">
        <v>0.0263</v>
      </c>
      <c r="G1317" t="n">
        <v>0.1079</v>
      </c>
      <c r="H1317" t="inlineStr">
        <is>
          <t>Manages image annotation links for datasets and images in an OMERO server environment. Complexity is O(N) due to potential processing of large datasets or images.</t>
        </is>
      </c>
      <c r="I1317" t="n">
        <v>0.0076</v>
      </c>
      <c r="J1317" t="n">
        <v>0.0588</v>
      </c>
      <c r="K1317" t="n">
        <v>0.0515</v>
      </c>
      <c r="L1317" t="inlineStr">
        <is>
          <t>This Java class provides methods for managing dataset images and annotations within an OMERO (Open Microscopy Environment) server. It includes functionalities such as deleting datasets, setting rendering settings, creating comments, and adding metadata annotations. The code uses various OMERO API classes like `IAdminPrx`, `IRenderingSettingsPrx`, and model objects to interact with the database and perform these operations.</t>
        </is>
      </c>
      <c r="M1317" t="n">
        <v>0.0039</v>
      </c>
      <c r="N1317" t="n">
        <v>0.09379999999999999</v>
      </c>
      <c r="O1317" t="n">
        <v>0.1172</v>
      </c>
    </row>
    <row r="1318">
      <c r="A1318" t="inlineStr">
        <is>
          <t>openmicroscopy</t>
        </is>
      </c>
      <c r="B1318" t="inlineStr">
        <is>
          <t>components/tools/OmeroJava/test/integration/ExtendedAnnotationTest.java</t>
        </is>
      </c>
      <c r="C1318">
        <f>HYPERLINK("https://github.com/ome/openmicroscopy/blob/master/components/tools/OmeroJava/test/integration/ExtendedAnnotationTest.java")</f>
        <v/>
      </c>
      <c r="D1318" t="inlineStr">
        <is>
          <t>The provided code is part of an integration package within a larger system, likely related to image processing or data analysis. It includes Java classes and methods designed to perform core algorithms and operations. The code uses UUIDs for unique identifiers and handles lists and maps efficiently. The complexity of the implementation is O(N), indicating linear time complexity relative to the size of input data. The comments suggest that the code implements</t>
        </is>
      </c>
      <c r="E1318" t="n">
        <v>0.0033</v>
      </c>
      <c r="F1318" t="n">
        <v>0.0494</v>
      </c>
      <c r="G1318" t="n">
        <v>0.1389</v>
      </c>
      <c r="H1318" t="inlineStr">
        <is>
          <t>The code implements core algorithms for a backend system, handling various data structures and operations efficiently. Complexity is O(N), indicating linear time complexity in some scenarios. The README provides information about the repository's purpose and structure.</t>
        </is>
      </c>
      <c r="I1318" t="n">
        <v>0.0121</v>
      </c>
      <c r="J1318" t="n">
        <v>0.1304</v>
      </c>
      <c r="K1318" t="n">
        <v>0.2366</v>
      </c>
      <c r="L1318" t="inlineStr">
        <is>
          <t>The provided Java code integrates various functionalities related to UUID generation, list manipulation, and iteration over maps. It includes methods for generating unique identifiers using `UUID`, handling lists with `ArrayList` and `Arrays`, iterating through map entries with `Iterator`, and managing collections efficiently. The code is part of a larger backend system designed to process data and perform complex operations.</t>
        </is>
      </c>
      <c r="M1318" t="n">
        <v>0.0031</v>
      </c>
      <c r="N1318" t="n">
        <v>0.0597</v>
      </c>
      <c r="O1318" t="n">
        <v>0.07630000000000001</v>
      </c>
    </row>
    <row r="1319">
      <c r="A1319" t="inlineStr">
        <is>
          <t>openmicroscopy</t>
        </is>
      </c>
      <c r="B1319" t="inlineStr">
        <is>
          <t>components/tools/OmeroJava/test/integration/ImportLibraryTest.java</t>
        </is>
      </c>
      <c r="C1319">
        <f>HYPERLINK("https://github.com/ome/openmicroscopy/blob/master/components/tools/OmeroJava/test/integration/ImportLibraryTest.java")</f>
        <v/>
      </c>
      <c r="D1319" t="inlineStr">
        <is>
          <t>The provided code is part of a Java package named `integration` within a larger project. It appears to contain implementation files for core algorithms, likely used in a system designed to handle data processing tasks efficiently. The complexity of the code is O(N), indicating linear time complexity, which suggests that the algorithm scales proportionally with the size of the input data. The comments indicate that this code implements essential functionalities</t>
        </is>
      </c>
      <c r="E1319" t="n">
        <v>0.0031</v>
      </c>
      <c r="F1319" t="n">
        <v>0.0759</v>
      </c>
      <c r="G1319" t="n">
        <v>0.1408</v>
      </c>
      <c r="H1319" t="inlineStr">
        <is>
          <t>The code implements core algorithms for a backend system, using Java packages and imports. It has a complexity of O(N), indicating linear time complexity, and includes comments explaining its implementation. The total size of the codebase is 1000 lines.</t>
        </is>
      </c>
      <c r="I1319" t="n">
        <v>0.0111</v>
      </c>
      <c r="J1319" t="n">
        <v>0.125</v>
      </c>
      <c r="K1319" t="n">
        <v>0.2843</v>
      </c>
      <c r="L1319" t="inlineStr">
        <is>
          <t>The provided code implements core algorithms within a backend software component repository. It processes data efficiently using a time complexity of \(O(N)\), leveraging existing comments and initial implementation commits. The code size is approximately 1000 lines, focusing on maintaining high readability and maintainability while handling complex data processing tasks.</t>
        </is>
      </c>
      <c r="M1319" t="n">
        <v>0.0094</v>
      </c>
      <c r="N1319" t="n">
        <v>0.1034</v>
      </c>
      <c r="O1319" t="n">
        <v>0.3074</v>
      </c>
    </row>
    <row r="1320">
      <c r="A1320" t="inlineStr">
        <is>
          <t>openmicroscopy</t>
        </is>
      </c>
      <c r="B1320" t="inlineStr">
        <is>
          <t>components/tools/OmeroJava/test/integration/TableTest.java</t>
        </is>
      </c>
      <c r="C1320">
        <f>HYPERLINK("https://github.com/ome/openmicroscopy/blob/master/components/tools/OmeroJava/test/integration/TableTest.java")</f>
        <v/>
      </c>
      <c r="D1320" t="inlineStr">
        <is>
          <t>The `TableTest` class is a test suite designed to verify the functionality of table operations within an OME (Open Microscopy Environment) server environment using Java's TestNG framework. It includes methods for setting up and tearing down the testing environment, as well as individual test cases that check various aspects of table data manipulation and retrieval. The class uses OMERO APIs to interact with the server and perform</t>
        </is>
      </c>
      <c r="E1320" t="n">
        <v>0.0032</v>
      </c>
      <c r="F1320" t="n">
        <v>0.0526</v>
      </c>
      <c r="G1320" t="n">
        <v>0.07190000000000001</v>
      </c>
      <c r="H1320" t="inlineStr">
        <is>
          <t>The repository contains backend software components that implement core algorithms. Complexity is O(N), indicating linear time complexity with respect to input size. Comments describe the implementation of these algorithms. Initial codebase commit was made. Total code size is 1000 lines.</t>
        </is>
      </c>
      <c r="I1320" t="n">
        <v>0.0055</v>
      </c>
      <c r="J1320" t="n">
        <v>0.1224</v>
      </c>
      <c r="K1320" t="n">
        <v>0.1339</v>
      </c>
      <c r="L1320" t="inlineStr">
        <is>
          <t>The `TableTest` class contains unit tests for table handling functionalities within an OMERO (Open Microscopy Environment) grid system. It uses TestNG annotations for setup and teardown methods, as well as assertions to verify expected outcomes. The test suite covers various aspects of table data manipulation, including creating tables, inserting rows, retrieving columns, and deleting records. The code utilizes OMERO's Java API to</t>
        </is>
      </c>
      <c r="M1320" t="n">
        <v>0.0029</v>
      </c>
      <c r="N1320" t="n">
        <v>0.0563</v>
      </c>
      <c r="O1320" t="n">
        <v>0.0746</v>
      </c>
    </row>
    <row r="1321">
      <c r="A1321" t="inlineStr">
        <is>
          <t>openmicroscopy</t>
        </is>
      </c>
      <c r="B1321" t="inlineStr">
        <is>
          <t>components/tools/OmeroJava/test/integration/MapAnnotationTest.java</t>
        </is>
      </c>
      <c r="C1321">
        <f>HYPERLINK("https://github.com/ome/openmicroscopy/blob/master/components/tools/OmeroJava/test/integration/MapAnnotationTest.java")</f>
        <v/>
      </c>
      <c r="D1321" t="inlineStr">
        <is>
          <t>The provided Java code snippet appears to be part of an OME (Open Microscopy Environment) project, specifically within the `integration` package. It defines a class that interacts with the OMERO server using its API to perform operations such as querying and updating data. The class uses Java's UUID library to generate unique identifiers and handles potential errors through exceptions like `ServerError`. The complexity of the implementation</t>
        </is>
      </c>
      <c r="E1321" t="n">
        <v>0.0028</v>
      </c>
      <c r="F1321" t="n">
        <v>0.0267</v>
      </c>
      <c r="G1321" t="n">
        <v>0.1087</v>
      </c>
      <c r="H1321" t="inlineStr">
        <is>
          <t>The repository contains backend software components implementing core algorithms. The complexity is O(N), indicating linear time complexity, which suggests the algorithm processes data proportional to its size. The README provides information about the copyright notice, license, and purpose of the project.</t>
        </is>
      </c>
      <c r="I1321" t="n">
        <v>0.0059</v>
      </c>
      <c r="J1321" t="n">
        <v>0.16</v>
      </c>
      <c r="K1321" t="n">
        <v>0.2793</v>
      </c>
      <c r="L1321" t="inlineStr">
        <is>
          <t>The code provides a basic implementation of querying and updating data using the OMERO server API. It includes methods for retrieving objects from the database and modifying them, utilizing Java's `ArrayList` and `Map` classes. The code is part of a larger system designed for managing biological image data, leveraging the OMERO platform for storage and retrieval.</t>
        </is>
      </c>
      <c r="M1321" t="n">
        <v>0.0033</v>
      </c>
      <c r="N1321" t="n">
        <v>0.0615</v>
      </c>
      <c r="O1321" t="n">
        <v>0.1172</v>
      </c>
    </row>
    <row r="1322">
      <c r="A1322" t="inlineStr">
        <is>
          <t>openmicroscopy</t>
        </is>
      </c>
      <c r="B1322" t="inlineStr">
        <is>
          <t>components/tools/OmeroJava/test/integration/RenderingSettingsServicePermissionsTest.java</t>
        </is>
      </c>
      <c r="C1322">
        <f>HYPERLINK("https://github.com/ome/openmicroscopy/blob/master/components/tools/OmeroJava/test/integration/RenderingSettingsServicePermissionsTest.java")</f>
        <v/>
      </c>
      <c r="D1322" t="inlineStr">
        <is>
          <t>The provided Java code is part of a test suite for testing the copying and pasting of rendering settings within an image processing application using the OMERO platform. The tests focus on ensuring that these operations respect user permissions based on their group membership. The code includes various imports from different modules of the OMERO API, such as `IRenderingSettingsPrx`, `IScriptPrx`, and `</t>
        </is>
      </c>
      <c r="E1322" t="n">
        <v>0.0029</v>
      </c>
      <c r="F1322" t="n">
        <v>0.058</v>
      </c>
      <c r="G1322" t="n">
        <v>0.1119</v>
      </c>
      <c r="H1322" t="inlineStr">
        <is>
          <t>The provided code implements core algorithms for a backend system. It includes classes such as `Image`, `Pixels`, `ChannelBinding`, `RenderingDef`, and others related to image processing and rendering. The complexity is high due to its extensive functionality and numerous dependencies within the system.</t>
        </is>
      </c>
      <c r="I1322" t="n">
        <v>0.0131</v>
      </c>
      <c r="J1322" t="n">
        <v>0.16</v>
      </c>
      <c r="K1322" t="n">
        <v>0.3289</v>
      </c>
      <c r="L1322" t="inlineStr">
        <is>
          <t>This test suite verifies that copying rendering settings works correctly based on the user's group permissions. It includes tests for different scenarios such as when the user has read-only access, write access, and no access at all. The tests use OMERO APIs to create images, set rendering settings, and check if these settings can be copied successfully under various permission levels.</t>
        </is>
      </c>
      <c r="M1322" t="n">
        <v>0.0036</v>
      </c>
      <c r="N1322" t="n">
        <v>0.0563</v>
      </c>
      <c r="O1322" t="n">
        <v>0.1128</v>
      </c>
    </row>
    <row r="1323">
      <c r="A1323" t="inlineStr">
        <is>
          <t>openmicroscopy</t>
        </is>
      </c>
      <c r="B1323" t="inlineStr">
        <is>
          <t>components/tools/OmeroJava/test/integration/PixelsServiceTest.java</t>
        </is>
      </c>
      <c r="C1323">
        <f>HYPERLINK("https://github.com/ome/openmicroscopy/blob/master/components/tools/OmeroJava/test/integration/PixelsServiceTest.java")</f>
        <v/>
      </c>
      <c r="D1323" t="inlineStr">
        <is>
          <t>The provided code appears to be part of a Java-based OME (Open Microscopy Environment) project for image processing and analysis. It includes classes related to various imaging parameters such as acquisition modes, contrast methods, illumination types, detector types, and more. The code uses OMERO's API to interact with image data stored in an OME database. The complexity level is moderate, indicated by the "</t>
        </is>
      </c>
      <c r="E1323" t="n">
        <v>0.0028</v>
      </c>
      <c r="F1323" t="n">
        <v>0.0274</v>
      </c>
      <c r="G1323" t="n">
        <v>0.0735</v>
      </c>
      <c r="H1323" t="inlineStr">
        <is>
          <t>Manages backend software components with implementations of core algorithms. Complexity is O(N).</t>
        </is>
      </c>
      <c r="I1323" t="n">
        <v>0.0203</v>
      </c>
      <c r="J1323" t="n">
        <v>0.2857</v>
      </c>
      <c r="K1323" t="n">
        <v>0.1786</v>
      </c>
      <c r="L1323" t="inlineStr">
        <is>
          <t>The provided Java code integrates various functionalities related to image processing and metadata management within the Open Microscopy Environment (OME). It includes methods for creating and manipulating different types of images, such as setting acquisition modes, contrast methods, and detector types. The code also handles pixel data and rendering settings using OMERO's API, which allows for comprehensive image analysis and storage.</t>
        </is>
      </c>
      <c r="M1323" t="n">
        <v>0.003</v>
      </c>
      <c r="N1323" t="n">
        <v>0.0571</v>
      </c>
      <c r="O1323" t="n">
        <v>0.0752</v>
      </c>
    </row>
    <row r="1324">
      <c r="A1324" t="inlineStr">
        <is>
          <t>openmicroscopy</t>
        </is>
      </c>
      <c r="B1324" t="inlineStr">
        <is>
          <t>components/tools/OmeroJava/test/integration/DiskUsageTest.java</t>
        </is>
      </c>
      <c r="C1324">
        <f>HYPERLINK("https://github.com/ome/openmicroscopy/blob/master/components/tools/OmeroJava/test/integration/DiskUsageTest.java")</f>
        <v/>
      </c>
      <c r="D1324" t="inlineStr">
        <is>
          <t>The provided Java code defines a class within the `integration` package that handles file operations. It includes methods for writing data to files using a `FileWriter`. The complexity of the implementation is O(1), indicating constant time operations regardless of input size. The comments suggest that this class implements core algorithms related to file handling. There are no commits listed in the README, so the exact history of changes</t>
        </is>
      </c>
      <c r="E1324" t="n">
        <v>0.0057</v>
      </c>
      <c r="F1324" t="n">
        <v>0.0779</v>
      </c>
      <c r="G1324" t="n">
        <v>0.2254</v>
      </c>
      <c r="H1324" t="inlineStr">
        <is>
          <t>This repository contains backend software components implementing core algorithms. The complexity is O(N), indicating linear time complexity. The implementation includes Java classes such as `File`, `Writer`, `ArrayList`, `Collection`, etc., which are used to handle file operations and data structures.</t>
        </is>
      </c>
      <c r="I1324" t="n">
        <v>0.0067</v>
      </c>
      <c r="J1324" t="n">
        <v>0.2083</v>
      </c>
      <c r="K1324" t="n">
        <v>0.2703</v>
      </c>
      <c r="L1324" t="inlineStr">
        <is>
          <t>The provided code integrates various functionalities related to file handling and data processing within a Java package named `integration`. It includes methods for writing files using `FileWriter` and managing collections of objects. The code complexity is moderate, with a size of approximately 1000 lines, and it appears to implement core algorithms for data storage and retrieval.</t>
        </is>
      </c>
      <c r="M1324" t="n">
        <v>0.0039</v>
      </c>
      <c r="N1324" t="n">
        <v>0.09379999999999999</v>
      </c>
      <c r="O1324" t="n">
        <v>0.2466</v>
      </c>
    </row>
    <row r="1325">
      <c r="A1325" t="inlineStr">
        <is>
          <t>openmicroscopy</t>
        </is>
      </c>
      <c r="B1325" t="inlineStr">
        <is>
          <t>components/tools/OmeroJava/test/integration/ConfigurationServiceTest.java</t>
        </is>
      </c>
      <c r="C1325">
        <f>HYPERLINK("https://github.com/ome/openmicroscopy/blob/master/components/tools/OmeroJava/test/integration/ConfigurationServiceTest.java")</f>
        <v/>
      </c>
      <c r="D1325" t="inlineStr">
        <is>
          <t>The provided code is a set of unit tests written using TestNG for testing the `IConfig` service in the OMERO (Open Microscopy Environment) framework. The tests cover various functionalities related to configuration settings within the OME system. Here's a concise summary:
### Key Features:
1. **Test Class**: `IntegrationTests`
2. **Package**: `integration`
3. **Dependencies</t>
        </is>
      </c>
      <c r="E1325" t="n">
        <v>0</v>
      </c>
      <c r="F1325" t="n">
        <v>0.0328</v>
      </c>
      <c r="G1325" t="n">
        <v>0.04</v>
      </c>
      <c r="H1325" t="inlineStr">
        <is>
          <t>Manages backend software components with implementations of core algorithms. Complexity is O(N), indicating linear time complexity. Comments describe implementation details. Initial codebase commit. Code size is 1000 lines.</t>
        </is>
      </c>
      <c r="I1325" t="n">
        <v>0.008</v>
      </c>
      <c r="J1325" t="n">
        <v>0.1622</v>
      </c>
      <c r="K1325" t="n">
        <v>0.15</v>
      </c>
      <c r="L1325" t="inlineStr">
        <is>
          <t>This Java test suite integrates various functionalities related to the `IConfig` service from the OMERO (Open Microscopy Environment) API. It includes data-driven tests that verify the correctness of methods such as retrieving configuration parameters and formats using `ImageReader`. The tests utilize Apache Commons BeanUtils for property manipulation and TestNG annotations for organizing and executing them. The code size is approximately 1000</t>
        </is>
      </c>
      <c r="M1325" t="n">
        <v>0.0036</v>
      </c>
      <c r="N1325" t="n">
        <v>0.0857</v>
      </c>
      <c r="O1325" t="n">
        <v>0.1128</v>
      </c>
    </row>
    <row r="1326">
      <c r="A1326" t="inlineStr">
        <is>
          <t>openmicroscopy</t>
        </is>
      </c>
      <c r="B1326" t="inlineStr">
        <is>
          <t>components/tools/OmeroJava/test/integration/MetadataServiceTest.java</t>
        </is>
      </c>
      <c r="C1326">
        <f>HYPERLINK("https://github.com/ome/openmicroscopy/blob/master/components/tools/OmeroJava/test/integration/MetadataServiceTest.java")</f>
        <v/>
      </c>
      <c r="D1326" t="inlineStr">
        <is>
          <t>The code appears to be part of an OME (Open Microscopy Environment) project, specifically related to integration tests or utilities for managing datasets and annotations within the OME system. It includes classes such as `IntegrationTest`, which likely handles various operations like creating datasets, adding annotations, and managing links between objects. The complexity rating suggests that it involves multiple steps and interactions with different parts of the O</t>
        </is>
      </c>
      <c r="E1326" t="n">
        <v>0.0027</v>
      </c>
      <c r="F1326" t="n">
        <v>0.0267</v>
      </c>
      <c r="G1326" t="n">
        <v>0.07190000000000001</v>
      </c>
      <c r="H1326" t="inlineStr">
        <is>
          <t>The repository contains backend software components that implement core algorithms. The complexity is O(N), indicating linear time complexity for operations involving collections or data structures with N elements.</t>
        </is>
      </c>
      <c r="I1326" t="n">
        <v>0.008</v>
      </c>
      <c r="J1326" t="n">
        <v>0.1622</v>
      </c>
      <c r="K1326" t="n">
        <v>0.2556</v>
      </c>
      <c r="L1326" t="inlineStr">
        <is>
          <t>This Java code package integrates various functionalities related to image processing and metadata management within an Open Microscopy Environment (OME). It includes classes for handling job handles, login sessions, API exceptions, server errors, and interactions with different OME services such as IAdminPrx, IMetadataPrx, and ServiceFactoryPrx. The code also manages annotations like BooleanAnnotations, CommentAnnotations, Arcs,</t>
        </is>
      </c>
      <c r="M1326" t="n">
        <v>0.004</v>
      </c>
      <c r="N1326" t="n">
        <v>0.0968</v>
      </c>
      <c r="O1326" t="n">
        <v>0.119</v>
      </c>
    </row>
    <row r="1327">
      <c r="A1327" t="inlineStr">
        <is>
          <t>openmicroscopy</t>
        </is>
      </c>
      <c r="B1327" t="inlineStr">
        <is>
          <t>components/tools/OmeroJava/test/integration/PermissionsTestAll.java</t>
        </is>
      </c>
      <c r="C1327">
        <f>HYPERLINK("https://github.com/ome/openmicroscopy/blob/master/components/tools/OmeroJava/test/integration/PermissionsTestAll.java")</f>
        <v/>
      </c>
      <c r="D1327" t="inlineStr">
        <is>
          <t>The provided code is part of an integration package within a larger system. It implements core algorithms and is written in Java. The complexity of the implementation is O(N), indicating linear time complexity relative to the input size N. The code is licensed under the GNU General Public License, which allows users to freely use, modify, and distribute the software. The repository contains backend software components and has been initialized with</t>
        </is>
      </c>
      <c r="E1327" t="n">
        <v>0.0064</v>
      </c>
      <c r="F1327" t="n">
        <v>0.075</v>
      </c>
      <c r="G1327" t="n">
        <v>0.2601</v>
      </c>
      <c r="H1327" t="inlineStr">
        <is>
          <t>The code implements core algorithms for a backend software component. It has a complexity of O(N), indicating linear time performance relative to input size. The implementation includes comments explaining its purpose and structure.</t>
        </is>
      </c>
      <c r="I1327" t="n">
        <v>0.0142</v>
      </c>
      <c r="J1327" t="n">
        <v>0.1429</v>
      </c>
      <c r="K1327" t="n">
        <v>0.3006</v>
      </c>
      <c r="L1327" t="inlineStr">
        <is>
          <t>This Java package `integration` likely contains backend software components designed to handle various data processing tasks within a larger system. The code appears to implement core algorithms necessary for these functionalities, though specific details about those algorithms are not provided in the given context. The code size is relatively small at 1000 lines, suggesting it may focus on simple yet essential operations.</t>
        </is>
      </c>
      <c r="M1327" t="n">
        <v>0.0039</v>
      </c>
      <c r="N1327" t="n">
        <v>0.1429</v>
      </c>
      <c r="O1327" t="n">
        <v>0.2355</v>
      </c>
    </row>
    <row r="1328">
      <c r="A1328" t="inlineStr">
        <is>
          <t>openmicroscopy</t>
        </is>
      </c>
      <c r="B1328" t="inlineStr">
        <is>
          <t>components/tools/OmeroJava/test/integration/ProjectionServiceTest.java</t>
        </is>
      </c>
      <c r="C1328">
        <f>HYPERLINK("https://github.com/ome/openmicroscopy/blob/master/components/tools/OmeroJava/test/integration/ProjectionServiceTest.java")</f>
        <v/>
      </c>
      <c r="D1328" t="inlineStr">
        <is>
          <t>The `ProjectionServiceTest` class tests various functionalities related to image projections using OME's ImageJ API. It includes:
1. **Testing Projections**: The test creates a binary image with specified dimensions (5 z-sections and 6 time points) and checks if the projection service correctly handles these images across different user roles and group types.
2. **Invalid Parameter Testing**: The test also</t>
        </is>
      </c>
      <c r="E1328" t="n">
        <v>0.0031</v>
      </c>
      <c r="F1328" t="n">
        <v>0.0588</v>
      </c>
      <c r="G1328" t="n">
        <v>0.0769</v>
      </c>
      <c r="H1328" t="inlineStr">
        <is>
          <t>The repository contains backend software components that implement core algorithms. The complexity is O(N), indicating linear time complexity for operations involving N elements. The comments describe the implementation as "core algorithms." The commits include an initial codebase commit. The total size of the codebase is 1000 lines.</t>
        </is>
      </c>
      <c r="I1328" t="n">
        <v>0.0046</v>
      </c>
      <c r="J1328" t="n">
        <v>0.1071</v>
      </c>
      <c r="K1328" t="n">
        <v>0.1261</v>
      </c>
      <c r="L1328" t="inlineStr">
        <is>
          <t>This test suite verifies the functionality of the projection service for images across various user roles and group types. It includes tests for valid projections and error handling for invalid input parameters. The tests ensure that the projection service correctly handles multiple z-slices and time points while adhering to security constraints imposed by user roles and group memberships.</t>
        </is>
      </c>
      <c r="M1328" t="n">
        <v>0.0041</v>
      </c>
      <c r="N1328" t="n">
        <v>0.0896</v>
      </c>
      <c r="O1328" t="n">
        <v>0.1154</v>
      </c>
    </row>
    <row r="1329">
      <c r="A1329" t="inlineStr">
        <is>
          <t>openmicroscopy</t>
        </is>
      </c>
      <c r="B1329" t="inlineStr">
        <is>
          <t>components/tools/OmeroJava/test/integration/DuplicationTest.java</t>
        </is>
      </c>
      <c r="C1329">
        <f>HYPERLINK("https://github.com/ome/openmicroscopy/blob/master/components/tools/OmeroJava/test/integration/DuplicationTest.java")</f>
        <v/>
      </c>
      <c r="D1329" t="inlineStr">
        <is>
          <t>The provided Java code snippet appears to be part of a larger project related to image processing or data analysis. It includes comments indicating its copyright notice, license information, and purpose. The code defines a package named `integration` which likely contains classes or methods involved in integrating different parts of a system or application. However, due to the incomplete nature of the code snippet, specific functionalities cannot be summarized accurately.</t>
        </is>
      </c>
      <c r="E1329" t="n">
        <v>0.0026</v>
      </c>
      <c r="F1329" t="n">
        <v>0.0256</v>
      </c>
      <c r="G1329" t="n">
        <v>0.0704</v>
      </c>
      <c r="H1329" t="inlineStr">
        <is>
          <t>The code implements core algorithms for backend software components. It uses Java and includes various data structures like ArrayLists, HashMaps, etc., and performs operations such as sorting and collection manipulation. The complexity is O(N), indicating linear time performance for certain operations.</t>
        </is>
      </c>
      <c r="I1329" t="n">
        <v>0.0113</v>
      </c>
      <c r="J1329" t="n">
        <v>0.12</v>
      </c>
      <c r="K1329" t="n">
        <v>0.3292</v>
      </c>
      <c r="L1329" t="inlineStr">
        <is>
          <t>The provided Java code integrates various functionalities related to data processing and analysis within a package named `integration`. It includes methods for handling collections, sorting, and mapping operations, which are essential for managing large datasets efficiently. The code demonstrates basic algorithmic principles such as using arrays and hash maps to store and retrieve data, showcasing fundamental programming concepts like loops, conditionals, and method calls.</t>
        </is>
      </c>
      <c r="M1329" t="n">
        <v>0.0028</v>
      </c>
      <c r="N1329" t="n">
        <v>0.0556</v>
      </c>
      <c r="O1329" t="n">
        <v>0.0735</v>
      </c>
    </row>
    <row r="1330">
      <c r="A1330" t="inlineStr">
        <is>
          <t>openmicroscopy</t>
        </is>
      </c>
      <c r="B1330" t="inlineStr">
        <is>
          <t>components/tools/OmeroJava/test/integration/AgentTest.java</t>
        </is>
      </c>
      <c r="C1330">
        <f>HYPERLINK("https://github.com/ome/openmicroscopy/blob/master/components/tools/OmeroJava/test/integration/AgentTest.java")</f>
        <v/>
      </c>
      <c r="D1330" t="inlineStr">
        <is>
          <t>The `AgentTest` class is a test case that verifies the ability to change the User-Agent header when creating OME-OME sessions using the OMERO API. It uses TestNG annotations to define setup and test methods. The test checks if the session context correctly includes the specified agent name during session creation. The `TEST_AGENT` constant defines the user-agent string, and `TEST_AGENT_CONTEXT`</t>
        </is>
      </c>
      <c r="E1330" t="n">
        <v>0.0031</v>
      </c>
      <c r="F1330" t="n">
        <v>0.0274</v>
      </c>
      <c r="G1330" t="n">
        <v>0.07630000000000001</v>
      </c>
      <c r="H1330" t="inlineStr">
        <is>
          <t>The code implements tests for changing the UserAgent when creating sessions using OMERO's API. It includes setting up test configurations, making requests to change session timeouts, and verifying responses with assertions. The complexity is high due to multiple interactions with the OMERO services and handling various data types.</t>
        </is>
      </c>
      <c r="I1330" t="n">
        <v>0.0045</v>
      </c>
      <c r="J1330" t="n">
        <v>0.0702</v>
      </c>
      <c r="K1330" t="n">
        <v>0.125</v>
      </c>
      <c r="L1330" t="inlineStr">
        <is>
          <t>The `AgentTest` class tests the ability to change the User-Agent header when creating sessions using the OMERO server's command-line interface (CLI). It uses TestNG annotations to define test methods and sets up a configuration map with a custom agent name. The test verifies that the session creation request includes the specified User-Agent header by checking the response from the server.</t>
        </is>
      </c>
      <c r="M1330" t="n">
        <v>0.003</v>
      </c>
      <c r="N1330" t="n">
        <v>0.0278</v>
      </c>
      <c r="O1330" t="n">
        <v>0.07580000000000001</v>
      </c>
    </row>
    <row r="1331">
      <c r="A1331" t="inlineStr">
        <is>
          <t>openmicroscopy</t>
        </is>
      </c>
      <c r="B1331" t="inlineStr">
        <is>
          <t>components/tools/OmeroJava/test/integration/RenderingEngineTest.java</t>
        </is>
      </c>
      <c r="C1331">
        <f>HYPERLINK("https://github.com/ome/openmicroscopy/blob/master/components/tools/OmeroJava/test/integration/RenderingEngineTest.java")</f>
        <v/>
      </c>
      <c r="D1331" t="inlineStr">
        <is>
          <t>The provided code appears to be part of a Java-based image processing library or framework for handling OME (Open Microscopy Environment) images. It includes classes and methods related to reading, writing, and manipulating image data using AWT libraries such as `BufferedImage`, `DataBuffer`, and `WritableRaster`. The code also interacts with OME's API through proxies (`IRenderingSettingsPrx</t>
        </is>
      </c>
      <c r="E1331" t="n">
        <v>0.0034</v>
      </c>
      <c r="F1331" t="n">
        <v>0.0312</v>
      </c>
      <c r="G1331" t="n">
        <v>0.0794</v>
      </c>
      <c r="H1331" t="inlineStr">
        <is>
          <t>The repository contains backend software components implementing core algorithms for image processing and analysis. The complexity is high due to the extensive implementation of various image manipulation functions and data structures.</t>
        </is>
      </c>
      <c r="I1331" t="n">
        <v>0.007900000000000001</v>
      </c>
      <c r="J1331" t="n">
        <v>0.2564</v>
      </c>
      <c r="K1331" t="n">
        <v>0.3612</v>
      </c>
      <c r="L1331" t="inlineStr">
        <is>
          <t>The code integrates image processing functionalities using Java's AWT library for handling images and OMERO API for interacting with biological data storage systems. It includes methods for reading images from files, converting them into BufferedImage objects, applying rendering settings, and writing them back as XML specifications. The code also supports basic image manipulation tasks such as resizing and color conversion.</t>
        </is>
      </c>
      <c r="M1331" t="n">
        <v>0.003</v>
      </c>
      <c r="N1331" t="n">
        <v>0.058</v>
      </c>
      <c r="O1331" t="n">
        <v>0.07580000000000001</v>
      </c>
    </row>
    <row r="1332">
      <c r="A1332" t="inlineStr">
        <is>
          <t>openmicroscopy</t>
        </is>
      </c>
      <c r="B1332" t="inlineStr">
        <is>
          <t>components/tools/OmeroJava/test/integration/RepositoryServiceTest.java</t>
        </is>
      </c>
      <c r="C1332">
        <f>HYPERLINK("https://github.com/ome/openmicroscopy/blob/master/components/tools/OmeroJava/test/integration/RepositoryServiceTest.java")</f>
        <v/>
      </c>
      <c r="D1332" t="inlineStr">
        <is>
          <t>The provided Java code defines a test suite for the `Repository` service within the OMERO (Open Microscopy Environment) framework. The tests focus on verifying the functionality of methods related to retrieving free space information from the repository. Specifically:
1. **Class**: `RepositoryServiceTest`
2. **Package**: `integration`
3. **Purpose**: To ensure that the `Repository` service correctly reports</t>
        </is>
      </c>
      <c r="E1332" t="n">
        <v>0.0034</v>
      </c>
      <c r="F1332" t="n">
        <v>0.0323</v>
      </c>
      <c r="G1332" t="n">
        <v>0.0397</v>
      </c>
      <c r="H1332" t="inlineStr">
        <is>
          <t>The repository contains backend software components that implement core algorithms. Complexity is O(N), indicating linear time complexity with respect to input size. The implementation includes comments explaining its purpose and functionality. Initial codebase commit was made. Total code size is 1000 lines.</t>
        </is>
      </c>
      <c r="I1332" t="n">
        <v>0.0058</v>
      </c>
      <c r="J1332" t="n">
        <v>0.1569</v>
      </c>
      <c r="K1332" t="n">
        <v>0.1754</v>
      </c>
      <c r="L1332" t="inlineStr">
        <is>
          <t>This test suite verifies the functionality of the `Repository` service by testing the `getFreeSpaceInKilobytes` method using TestNG annotations. It ensures that the method returns accurate free space data from the repository, which is crucial for managing storage resources effectively. The implementation complexity is O(1), indicating constant time complexity, as it relies solely on retrieving stored data without iterating over large datasets</t>
        </is>
      </c>
      <c r="M1332" t="n">
        <v>0.0036</v>
      </c>
      <c r="N1332" t="n">
        <v>0.0571</v>
      </c>
      <c r="O1332" t="n">
        <v>0.1128</v>
      </c>
    </row>
    <row r="1333">
      <c r="A1333" t="inlineStr">
        <is>
          <t>openmicroscopy</t>
        </is>
      </c>
      <c r="B1333" t="inlineStr">
        <is>
          <t>components/tools/OmeroJava/test/integration/DeleteServiceTest.java</t>
        </is>
      </c>
      <c r="C1333">
        <f>HYPERLINK("https://github.com/ome/openmicroscopy/blob/master/components/tools/OmeroJava/test/integration/DeleteServiceTest.java")</f>
        <v/>
      </c>
      <c r="D1333" t="inlineStr">
        <is>
          <t>The provided code appears to be part of a large project that handles OME (Open Microscopy Environment) metadata storage and retrieval using Java. It includes classes for managing datasets, channels, annotations, arcs, and other related objects within an OME server. The code uses OMERO's API to interact with the server, including creating, updating, and deleting data entities such as images, datasets, and</t>
        </is>
      </c>
      <c r="E1333" t="n">
        <v>0.0029</v>
      </c>
      <c r="F1333" t="n">
        <v>0.0282</v>
      </c>
      <c r="G1333" t="n">
        <v>0.0746</v>
      </c>
      <c r="H1333" t="inlineStr">
        <is>
          <t>Manages backend software components with implementations of core algorithms. Complexity is O(N).</t>
        </is>
      </c>
      <c r="I1333" t="n">
        <v>0.0203</v>
      </c>
      <c r="J1333" t="n">
        <v>0.2857</v>
      </c>
      <c r="K1333" t="n">
        <v>0.1786</v>
      </c>
      <c r="L1333" t="inlineStr">
        <is>
          <t>The provided Java code integrates various functionalities related to image processing and metadata management within an Open Microscopy Environment (OME). It includes classes for handling datasets, annotations, channels, arcs, and raw file stores. The code uses OMERO API calls to interact with the OME server, manage metadata, and perform operations such as deleting images and managing tables. The complexity of the code is high due to its</t>
        </is>
      </c>
      <c r="M1333" t="n">
        <v>0.0027</v>
      </c>
      <c r="N1333" t="n">
        <v>0.0533</v>
      </c>
      <c r="O1333" t="n">
        <v>0.07190000000000001</v>
      </c>
    </row>
    <row r="1334">
      <c r="A1334" t="inlineStr">
        <is>
          <t>openmicroscopy</t>
        </is>
      </c>
      <c r="B1334" t="inlineStr">
        <is>
          <t>components/tools/OmeroJava/test/integration/ModelMockFactory.java</t>
        </is>
      </c>
      <c r="C1334">
        <f>HYPERLINK("https://github.com/ome/openmicroscopy/blob/master/components/tools/OmeroJava/test/integration/ModelMockFactory.java")</f>
        <v/>
      </c>
      <c r="D1334" t="inlineStr">
        <is>
          <t>The provided Java code appears to be part of a larger system for managing image data within an OME (Open Microscopy Environment) framework. The main purpose of this class seems to be to handle various aspects related to creating and manipulating images, including:
1. **Image I/O**: It uses `javax.imageio` to read and write images from files or streams.
2. **Unit Conversion**:</t>
        </is>
      </c>
      <c r="E1334" t="n">
        <v>0.003</v>
      </c>
      <c r="F1334" t="n">
        <v>0.0563</v>
      </c>
      <c r="G1334" t="n">
        <v>0.1128</v>
      </c>
      <c r="H1334" t="inlineStr">
        <is>
          <t>The repository contains backend software components implementing core algorithms. The complexity is O(N), indicating linear time complexity for operations that depend on input size N. The implementation includes helper classes and methods for processing data related to projects, datasets, plates, acquisitions, and screens within an image analysis framework.</t>
        </is>
      </c>
      <c r="I1334" t="n">
        <v>0.005</v>
      </c>
      <c r="J1334" t="n">
        <v>0.1404</v>
      </c>
      <c r="K1334" t="n">
        <v>0.1667</v>
      </c>
      <c r="L1334" t="inlineStr">
        <is>
          <t>This Java class provides helper methods for managing image data within an OMERO (Open Microscopy Environment) server environment. It includes functionalities such as creating new images from files, converting images between different formats, and handling metadata associated with these images. The class uses Google Guava's `ImmutableList` for efficient list management and leverages reflection to dynamically access OMERO API classes.</t>
        </is>
      </c>
      <c r="M1334" t="n">
        <v>0.0037</v>
      </c>
      <c r="N1334" t="n">
        <v>0.0882</v>
      </c>
      <c r="O1334" t="n">
        <v>0.1145</v>
      </c>
    </row>
    <row r="1335">
      <c r="A1335" t="inlineStr">
        <is>
          <t>openmicroscopy</t>
        </is>
      </c>
      <c r="B1335" t="inlineStr">
        <is>
          <t>components/tools/OmeroJava/test/integration/RawPixelsStoreTest.java</t>
        </is>
      </c>
      <c r="C1335">
        <f>HYPERLINK("https://github.com/ome/openmicroscopy/blob/master/components/tools/OmeroJava/test/integration/RawPixelsStoreTest.java")</f>
        <v/>
      </c>
      <c r="D1335" t="inlineStr">
        <is>
          <t>The provided code is part of a backend software component within a larger project. It includes comments indicating its copyright notice, license information, and purpose. The complexity of the implementation is O(N), suggesting linear time complexity relative to input size N. The code is designed to implement core algorithms, which are crucial for processing data efficiently. The README file mentions that this repository contains backend software components, while the commits</t>
        </is>
      </c>
      <c r="E1335" t="n">
        <v>0.0034</v>
      </c>
      <c r="F1335" t="n">
        <v>0.0759</v>
      </c>
      <c r="G1335" t="n">
        <v>0.3003</v>
      </c>
      <c r="H1335" t="inlineStr">
        <is>
          <t>The repository contains backend software components implementing core algorithms. The complexity of the implementation is O(N), indicating linear time complexity. The code size is 1000 lines.</t>
        </is>
      </c>
      <c r="I1335" t="n">
        <v>0.0086</v>
      </c>
      <c r="J1335" t="n">
        <v>0.1714</v>
      </c>
      <c r="K1335" t="n">
        <v>0.1531</v>
      </c>
      <c r="L1335" t="inlineStr">
        <is>
          <t>This Java package `integration` likely contains backend software components designed to handle data processing tasks efficiently. The code appears to implement core algorithms with a time complexity of \(O(N)\), suggesting efficient handling of large datasets. Key operations involve input/output management and algorithmic execution, which are essential for maintaining system performance and reliability.</t>
        </is>
      </c>
      <c r="M1335" t="n">
        <v>0.005</v>
      </c>
      <c r="N1335" t="n">
        <v>0.1613</v>
      </c>
      <c r="O1335" t="n">
        <v>0.3</v>
      </c>
    </row>
    <row r="1336">
      <c r="A1336" t="inlineStr">
        <is>
          <t>openmicroscopy</t>
        </is>
      </c>
      <c r="B1336" t="inlineStr">
        <is>
          <t>components/tools/OmeroJava/test/integration/ExporterTest.java</t>
        </is>
      </c>
      <c r="C1336">
        <f>HYPERLINK("https://github.com/ome/openmicroscopy/blob/master/components/tools/OmeroJava/test/integration/ExporterTest.java")</f>
        <v/>
      </c>
      <c r="D1336" t="inlineStr">
        <is>
          <t>The provided Java code appears to be part of a larger system for integrating various components into a backend environment. It includes classes related to XML parsing, transformation, file I/O operations, and data handling. The code uses JAXP (Java API for XML Processing) for XML processing tasks such as parsing documents, transforming them using XSLT templates, and writing results back to files or streams. The</t>
        </is>
      </c>
      <c r="E1336" t="n">
        <v>0.0028</v>
      </c>
      <c r="F1336" t="n">
        <v>0.027</v>
      </c>
      <c r="G1336" t="n">
        <v>0.073</v>
      </c>
      <c r="H1336" t="inlineStr">
        <is>
          <t>The code implements core algorithms for a backend system, handling various data structures and transformations using XML parsing and transformation techniques. Complexity is O(N) due to potential operations on large datasets or complex tree structures.</t>
        </is>
      </c>
      <c r="I1336" t="n">
        <v>0.0124</v>
      </c>
      <c r="J1336" t="n">
        <v>0.1364</v>
      </c>
      <c r="K1336" t="n">
        <v>0.295</v>
      </c>
      <c r="L1336" t="inlineStr">
        <is>
          <t>This Java package contains backend software components that handle XML parsing and transformation using JAXP (Java API for XML Processing). The code processes files containing XML data, reads them into memory, performs transformations based on predefined templates, and writes the transformed output back to files. It uses standard libraries such as `DocumentBuilder`, `Transformer`, and `StreamResult` to achieve these tasks efficiently.</t>
        </is>
      </c>
      <c r="M1336" t="n">
        <v>0.004</v>
      </c>
      <c r="N1336" t="n">
        <v>0.0882</v>
      </c>
      <c r="O1336" t="n">
        <v>0.1515</v>
      </c>
    </row>
    <row r="1337">
      <c r="A1337" t="inlineStr">
        <is>
          <t>openmicroscopy</t>
        </is>
      </c>
      <c r="B1337" t="inlineStr">
        <is>
          <t>components/tools/OmeroJava/test/integration/AbstractServerImportTest.java</t>
        </is>
      </c>
      <c r="C1337">
        <f>HYPERLINK("https://github.com/ome/openmicroscopy/blob/master/components/tools/OmeroJava/test/integration/AbstractServerImportTest.java")</f>
        <v/>
      </c>
      <c r="D1337" t="inlineStr">
        <is>
          <t>The code appears to be part of an OME (Open Microscopy Environment) project, specifically within the `integration` package. It includes a class named `FakeReader`, which likely serves as a mock reader for testing purposes. The class extends a base class from the Loci library (`loci.formats.in.FakeReader`) and implements methods related to reading files. The comments indicate that this</t>
        </is>
      </c>
      <c r="E1337" t="n">
        <v>0.0038</v>
      </c>
      <c r="F1337" t="n">
        <v>0.0294</v>
      </c>
      <c r="G1337" t="n">
        <v>0.155</v>
      </c>
      <c r="H1337" t="inlineStr">
        <is>
          <t>The repository contains backend software components implementing core algorithms. The complexity is O(N), indicating linear time complexity based on input size N.</t>
        </is>
      </c>
      <c r="I1337" t="n">
        <v>0.0103</v>
      </c>
      <c r="J1337" t="n">
        <v>0.1935</v>
      </c>
      <c r="K1337" t="n">
        <v>0.2719</v>
      </c>
      <c r="L1337" t="inlineStr">
        <is>
          <t>This Java package contains backend software components designed to integrate data from various sources into an OME metadata store using a fake reader library. The code processes files and extracts relevant metadata, which is then stored in the specified OMERO database.</t>
        </is>
      </c>
      <c r="M1337" t="n">
        <v>0.0059</v>
      </c>
      <c r="N1337" t="n">
        <v>0.1224</v>
      </c>
      <c r="O1337" t="n">
        <v>0.177</v>
      </c>
    </row>
    <row r="1338">
      <c r="A1338" t="inlineStr">
        <is>
          <t>openmicroscopy</t>
        </is>
      </c>
      <c r="B1338" t="inlineStr">
        <is>
          <t>components/tools/OmeroJava/test/integration/FindParentsChildrenTest.java</t>
        </is>
      </c>
      <c r="C1338">
        <f>HYPERLINK("https://github.com/ome/openmicroscopy/blob/master/components/tools/OmeroJava/test/integration/FindParentsChildrenTest.java")</f>
        <v/>
      </c>
      <c r="D1338" t="inlineStr">
        <is>
          <t>The code appears to implement core algorithms within a Java package named `integration`. It uses Apache Commons Collections for collection operations and TestNG for testing. The complexity of the implementation is O(N), indicating linear time complexity. There are no comments provided in the given code snippet, so the specific functionality cannot be summarized directly from this information alone.</t>
        </is>
      </c>
      <c r="E1338" t="n">
        <v>0.0041</v>
      </c>
      <c r="F1338" t="n">
        <v>0.0896</v>
      </c>
      <c r="G1338" t="n">
        <v>0.1923</v>
      </c>
      <c r="H1338" t="inlineStr">
        <is>
          <t>The repository contains backend software components implementing core algorithms. The complexity is O(N), indicating linear time complexity. The comments describe the implementation of these algorithms. The commits include an initial codebase commit. The total size of the code is 1000 lines.</t>
        </is>
      </c>
      <c r="I1338" t="n">
        <v>0.0054</v>
      </c>
      <c r="J1338" t="n">
        <v>0.12</v>
      </c>
      <c r="K1338" t="n">
        <v>0.1327</v>
      </c>
      <c r="L1338" t="inlineStr">
        <is>
          <t>This Java package contains backend software components designed to integrate various functionalities. The code utilizes Apache Commons Collections for collection manipulation and TestNG assertions for testing purposes. It includes methods for handling lists and ensuring data integrity through common utility functions.</t>
        </is>
      </c>
      <c r="M1338" t="n">
        <v>0.0059</v>
      </c>
      <c r="N1338" t="n">
        <v>0.1633</v>
      </c>
      <c r="O1338" t="n">
        <v>0.1327</v>
      </c>
    </row>
    <row r="1339">
      <c r="A1339" t="inlineStr">
        <is>
          <t>openmicroscopy</t>
        </is>
      </c>
      <c r="B1339" t="inlineStr">
        <is>
          <t>components/tools/OmeroJava/test/integration/UpdateServiceTest.java</t>
        </is>
      </c>
      <c r="C1339">
        <f>HYPERLINK("https://github.com/ome/openmicroscopy/blob/master/components/tools/OmeroJava/test/integration/UpdateServiceTest.java")</f>
        <v/>
      </c>
      <c r="D1339" t="inlineStr">
        <is>
          <t>The code appears to be part of an OME (Open Microscopy Environment) project, specifically within its integration package. It includes classes for handling script repositories, managing annotations on datasets, and performing deletions using the OME API. The complexity is rated as O(N), indicating that it may involve operations proportional to the size of input data. The comments suggest that this implementation focuses on core algorithms related</t>
        </is>
      </c>
      <c r="E1339" t="n">
        <v>0.0033</v>
      </c>
      <c r="F1339" t="n">
        <v>0.08</v>
      </c>
      <c r="G1339" t="n">
        <v>0.1812</v>
      </c>
      <c r="H1339" t="inlineStr">
        <is>
          <t>Manages backend software components with core algorithm implementations. Complexity is O(N).</t>
        </is>
      </c>
      <c r="I1339" t="n">
        <v>0.0224</v>
      </c>
      <c r="J1339" t="n">
        <v>0.2</v>
      </c>
      <c r="K1339" t="n">
        <v>0.1205</v>
      </c>
      <c r="L1339" t="inlineStr">
        <is>
          <t>This Java class provides methods for managing annotations in an OMERO server using the OME API. It includes functionalities such as creating, deleting, and retrieving various types of annotations (Boolean, Comment), linking them to datasets, and handling annotation links between different entities. The class uses the `ScriptRepoHelper` for script execution and handles exceptions related to server errors and validation issues.</t>
        </is>
      </c>
      <c r="M1339" t="n">
        <v>0.0036</v>
      </c>
      <c r="N1339" t="n">
        <v>0.0882</v>
      </c>
      <c r="O1339" t="n">
        <v>0.1136</v>
      </c>
    </row>
    <row r="1340">
      <c r="A1340" t="inlineStr">
        <is>
          <t>openmicroscopy</t>
        </is>
      </c>
      <c r="B1340" t="inlineStr">
        <is>
          <t>components/tools/OmeroJava/test/integration/PyramidMinMaxTest.java</t>
        </is>
      </c>
      <c r="C1340">
        <f>HYPERLINK("https://github.com/ome/openmicroscopy/blob/master/components/tools/OmeroJava/test/integration/PyramidMinMaxTest.java")</f>
        <v/>
      </c>
      <c r="D1340" t="inlineStr">
        <is>
          <t>The provided code is part of an integration package within a larger system. It includes comments indicating its copyright and licensing information, which state it is free software under the GNU General Public License. The complexity of the implementation is O(N), suggesting linear time complexity relative to input size N. The code appears to implement core algorithms necessary for integrating various components into the system. There are no specific functions defined in the</t>
        </is>
      </c>
      <c r="E1340" t="n">
        <v>0.0033</v>
      </c>
      <c r="F1340" t="n">
        <v>0.09760000000000001</v>
      </c>
      <c r="G1340" t="n">
        <v>0.2566</v>
      </c>
      <c r="H1340" t="inlineStr">
        <is>
          <t>The code implements core algorithms for backend software components. Complexity is O(N), indicating linear time complexity. The implementation includes comments explaining its purpose and structure.</t>
        </is>
      </c>
      <c r="I1340" t="n">
        <v>0.0191</v>
      </c>
      <c r="J1340" t="n">
        <v>0.1765</v>
      </c>
      <c r="K1340" t="n">
        <v>0.3254</v>
      </c>
      <c r="L1340" t="inlineStr">
        <is>
          <t>This Java package `integration` likely contains backend software components designed to handle data integration tasks within a larger system. The code appears to implement core algorithms necessary for processing and managing data from various sources efficiently. The complexity of the implementation is O(N), indicating linear time complexity, which suggests efficient handling of large datasets. The existing comments provide context about the initial codebase commit, while the README indicates that this</t>
        </is>
      </c>
      <c r="M1340" t="n">
        <v>0.0037</v>
      </c>
      <c r="N1340" t="n">
        <v>0.1266</v>
      </c>
      <c r="O1340" t="n">
        <v>0.1761</v>
      </c>
    </row>
    <row r="1341">
      <c r="A1341" t="inlineStr">
        <is>
          <t>openmicroscopy</t>
        </is>
      </c>
      <c r="B1341" t="inlineStr">
        <is>
          <t>components/tools/OmeroJava/test/integration/ScriptServiceTest.java</t>
        </is>
      </c>
      <c r="C1341">
        <f>HYPERLINK("https://github.com/ome/openmicroscopy/blob/master/components/tools/OmeroJava/test/integration/ScriptServiceTest.java")</f>
        <v/>
      </c>
      <c r="D1341" t="inlineStr">
        <is>
          <t>The provided code is part of a backend software component within a repository named "integration". It includes comments indicating its copyright, license, and purpose. The complexity of the implementation is O(N), suggesting linear time complexity based on input size N. The code is written in Java and appears to contain core algorithms necessary for the system's operation. There are no specific commits mentioned, only an initial codebase commit</t>
        </is>
      </c>
      <c r="E1341" t="n">
        <v>0.0035</v>
      </c>
      <c r="F1341" t="n">
        <v>0.0769</v>
      </c>
      <c r="G1341" t="n">
        <v>0.1786</v>
      </c>
      <c r="H1341" t="inlineStr">
        <is>
          <t>This repository contains backend software components implementing core algorithms. The complexity of these implementations is O(N), indicating linear time complexity. The README provides information about the copyright notice, license, and general purpose of the repository.</t>
        </is>
      </c>
      <c r="I1341" t="n">
        <v>0.0075</v>
      </c>
      <c r="J1341" t="n">
        <v>0.2273</v>
      </c>
      <c r="K1341" t="n">
        <v>0.2336</v>
      </c>
      <c r="L1341" t="inlineStr">
        <is>
          <t>The provided code integrates various backend software components, implementing core algorithms efficiently within a complexity of \(O(N)\). It includes comments explaining implementation details and adheres to best practices for code readability and maintainability. The code size is 1000 lines, reflecting its comprehensive nature in handling complex data processing tasks.</t>
        </is>
      </c>
      <c r="M1341" t="n">
        <v>0.0049</v>
      </c>
      <c r="N1341" t="n">
        <v>0.1379</v>
      </c>
      <c r="O1341" t="n">
        <v>0.1653</v>
      </c>
    </row>
    <row r="1342">
      <c r="A1342" t="inlineStr">
        <is>
          <t>openmicroscopy</t>
        </is>
      </c>
      <c r="B1342" t="inlineStr">
        <is>
          <t>components/tools/OmeroJava/test/integration/ImportAsTest.java</t>
        </is>
      </c>
      <c r="C1342">
        <f>HYPERLINK("https://github.com/ome/openmicroscopy/blob/master/components/tools/OmeroJava/test/integration/ImportAsTest.java")</f>
        <v/>
      </c>
      <c r="D1342" t="inlineStr">
        <is>
          <t>The provided code is part of a backend software component within a larger project. It implements core algorithms using O(1) complexity, which means its execution time does not depend on the size of the input data. The code is written in Java and uses the OMERO library, indicating it may interact with biological image data from the Open Microscopy Environment. The repository contains initial codebase commits and has a</t>
        </is>
      </c>
      <c r="E1342" t="n">
        <v>0.0066</v>
      </c>
      <c r="F1342" t="n">
        <v>0.1026</v>
      </c>
      <c r="G1342" t="n">
        <v>0.2638</v>
      </c>
      <c r="H1342" t="inlineStr">
        <is>
          <t>The code implements core algorithms for a backend system, using Java packages and classes from the `omer` library. It has a complexity of O(N), indicating linear time complexity, and includes comments explaining its implementation. The README provides information about the repository's purpose and structure.</t>
        </is>
      </c>
      <c r="I1342" t="n">
        <v>0.0098</v>
      </c>
      <c r="J1342" t="n">
        <v>0.1111</v>
      </c>
      <c r="K1342" t="n">
        <v>0.2721</v>
      </c>
      <c r="L1342" t="inlineStr">
        <is>
          <t>The provided Java code defines a package named `integration` which appears to contain backend software components. The code complexity is high at \(O(N)\), indicating significant processing requirements based on input size. It includes comments describing implementation of core algorithms and has been committed initially. The total code size is 1000 lines, suggesting substantial functionality within the package.</t>
        </is>
      </c>
      <c r="M1342" t="n">
        <v>0.0045</v>
      </c>
      <c r="N1342" t="n">
        <v>0.1212</v>
      </c>
      <c r="O1342" t="n">
        <v>0.1938</v>
      </c>
    </row>
    <row r="1343">
      <c r="A1343" t="inlineStr">
        <is>
          <t>openmicroscopy</t>
        </is>
      </c>
      <c r="B1343" t="inlineStr">
        <is>
          <t>components/tools/OmeroJava/test/integration/PojosServiceTest.java</t>
        </is>
      </c>
      <c r="C1343">
        <f>HYPERLINK("https://github.com/ome/openmicroscopy/blob/master/components/tools/OmeroJava/test/integration/PojosServiceTest.java")</f>
        <v/>
      </c>
      <c r="D1343" t="inlineStr">
        <is>
          <t>The provided Java code appears to be part of a larger system for managing image data within an OME (Open Microscopy Environment) environment. The code includes classes and methods related to dataset management, annotation creation, and user/group interactions. It uses various OMERO API interfaces such as `ServiceFactory`, `IContainer`, `IQuery`, `IUpdate`, etc., to interact with the OME</t>
        </is>
      </c>
      <c r="E1343" t="n">
        <v>0.0033</v>
      </c>
      <c r="F1343" t="n">
        <v>0.0308</v>
      </c>
      <c r="G1343" t="n">
        <v>0.0781</v>
      </c>
      <c r="H1343" t="inlineStr">
        <is>
          <t>The repository contains backend software components implementing core algorithms. Complexity is O(N), with comments indicating implementation details. Initial codebase commit was made. The total size of the codebase is 1000 lines.</t>
        </is>
      </c>
      <c r="I1343" t="n">
        <v>0.0072</v>
      </c>
      <c r="J1343" t="n">
        <v>0.15</v>
      </c>
      <c r="K1343" t="n">
        <v>0.1456</v>
      </c>
      <c r="L1343" t="inlineStr">
        <is>
          <t>The provided Java code integrates various functionalities related to managing datasets, images, comments, and users within an OMERO (Open Microscopy Environment) server environment. It includes methods for creating new datasets, adding images to them, linking annotations such as comments, and managing user permissions through group memberships. The code uses OME's API to interact with the database and perform these tasks efficiently.</t>
        </is>
      </c>
      <c r="M1343" t="n">
        <v>0.003</v>
      </c>
      <c r="N1343" t="n">
        <v>0.0571</v>
      </c>
      <c r="O1343" t="n">
        <v>0.0752</v>
      </c>
    </row>
    <row r="1344">
      <c r="A1344" t="inlineStr">
        <is>
          <t>openmicroscopy</t>
        </is>
      </c>
      <c r="B1344" t="inlineStr">
        <is>
          <t>components/tools/OmeroJava/test/integration/RawFileStoreTest.java</t>
        </is>
      </c>
      <c r="C1344">
        <f>HYPERLINK("https://github.com/ome/openmicroscopy/blob/master/components/tools/OmeroJava/test/integration/RawFileStoreTest.java")</f>
        <v/>
      </c>
      <c r="D1344" t="inlineStr">
        <is>
          <t>The `RawFileStoreTest` class is a test suite designed to verify the functionality of the `RawFileStore` service within the OME (Open Microscopy Environment) framework. It includes several test cases that cover various aspects of uploading files using the `write` method. The tests use annotations from TestNG to organize them into different groups and ensure they run correctly under specific conditions. The class</t>
        </is>
      </c>
      <c r="E1344" t="n">
        <v>0.0036</v>
      </c>
      <c r="F1344" t="n">
        <v>0.058</v>
      </c>
      <c r="G1344" t="n">
        <v>0.0752</v>
      </c>
      <c r="H1344" t="inlineStr">
        <is>
          <t>The provided code is a Java test suite for the `RawFileStore` service within the OMERO project. It includes various tests to verify the functionality of uploading files using this service. The complexity of the implementation is high due to the extensive testing required to ensure robustness across different scenarios. The comments indicate that this code implements core algorithms necessary for handling raw data storage in the OMERO environment. The</t>
        </is>
      </c>
      <c r="I1344" t="n">
        <v>0.0062</v>
      </c>
      <c r="J1344" t="n">
        <v>0.0779</v>
      </c>
      <c r="K1344" t="n">
        <v>0.2238</v>
      </c>
      <c r="L1344" t="inlineStr">
        <is>
          <t>The `RawFileStoreTest` class contains unit tests for the `RawFileStore` service, which handles raw data storage in an OMERO server environment. The tests focus on uploading files using the `write` method and verifying that the uploaded files can be accessed correctly through the `IScript` interface. The test suite includes assertions to ensure that the file metadata (such as size and checksum)</t>
        </is>
      </c>
      <c r="M1344" t="n">
        <v>0.003</v>
      </c>
      <c r="N1344" t="n">
        <v>0.0294</v>
      </c>
      <c r="O1344" t="n">
        <v>0.07580000000000001</v>
      </c>
    </row>
    <row r="1345">
      <c r="A1345" t="inlineStr">
        <is>
          <t>openmicroscopy</t>
        </is>
      </c>
      <c r="B1345" t="inlineStr">
        <is>
          <t>components/tools/OmeroJava/test/integration/ClientUsageTest.java</t>
        </is>
      </c>
      <c r="C1345">
        <f>HYPERLINK("https://github.com/ome/openmicroscopy/blob/master/components/tools/OmeroJava/test/integration/ClientUsageTest.java")</f>
        <v/>
      </c>
      <c r="D1345" t="inlineStr">
        <is>
          <t>The `ClientUsageTest` class in the `integration` package tests various functionalities of the `omero.client` object using the OMERO server. It includes methods for creating users, groups, and permissions, as well as closing sessions properly. The tests rely on the ICE_CONFIG environment variable for configuration settings.</t>
        </is>
      </c>
      <c r="E1345" t="n">
        <v>0.0042</v>
      </c>
      <c r="F1345" t="n">
        <v>0.0741</v>
      </c>
      <c r="G1345" t="n">
        <v>0.0862</v>
      </c>
      <c r="H1345" t="inlineStr">
        <is>
          <t>The repository contains backend software components with complexity O(N), implementing core algorithms. The code size is 1000 lines, and it includes comments describing its implementation.</t>
        </is>
      </c>
      <c r="I1345" t="n">
        <v>0.01</v>
      </c>
      <c r="J1345" t="n">
        <v>0.2353</v>
      </c>
      <c r="K1345" t="n">
        <v>0.3254</v>
      </c>
      <c r="L1345" t="inlineStr">
        <is>
          <t>This Java unit test suite for `ClientUsageTest` within the `integration` package demonstrates various functionalities using the `omero.client` object. It includes tests that verify the proper closure of sessions and access to server resources through the client interface. The test methods utilize annotations such as `@Test` to indicate their intended use cases.</t>
        </is>
      </c>
      <c r="M1345" t="n">
        <v>0.0043</v>
      </c>
      <c r="N1345" t="n">
        <v>0.1</v>
      </c>
      <c r="O1345" t="n">
        <v>0.122</v>
      </c>
    </row>
    <row r="1346">
      <c r="A1346" t="inlineStr">
        <is>
          <t>openmicroscopy</t>
        </is>
      </c>
      <c r="B1346" t="inlineStr">
        <is>
          <t>components/tools/OmeroJava/test/integration/RolesTests.java</t>
        </is>
      </c>
      <c r="C1346">
        <f>HYPERLINK("https://github.com/ome/openmicroscopy/blob/master/components/tools/OmeroJava/test/integration/RolesTests.java")</f>
        <v/>
      </c>
      <c r="D1346" t="inlineStr">
        <is>
          <t>The provided Java code is part of an integration package within a larger system. It includes methods for handling file operations, such as reading from files and checking their contents. The code uses Apache Commons Lang's `StringUtils` class for string manipulation. The complexity of the implementation is O(N), where N represents the number of elements being processed. The comments indicate that the code implements core algorithms related to data processing</t>
        </is>
      </c>
      <c r="E1346" t="n">
        <v>0.0061</v>
      </c>
      <c r="F1346" t="n">
        <v>0.05</v>
      </c>
      <c r="G1346" t="n">
        <v>0.2223</v>
      </c>
      <c r="H1346" t="inlineStr">
        <is>
          <t>The repository contains backend software components implementing core algorithms. The complexity is O(N), indicating linear time complexity.</t>
        </is>
      </c>
      <c r="I1346" t="n">
        <v>0.0137</v>
      </c>
      <c r="J1346" t="n">
        <v>0.2308</v>
      </c>
      <c r="K1346" t="n">
        <v>0.2871</v>
      </c>
      <c r="L1346" t="inlineStr">
        <is>
          <t>This Java package contains backend software components designed to handle integration tasks involving files and directories. The code processes files and directories using Apache Commons Lang's StringUtils for string manipulation and handles potential IOExceptions during file operations. It includes methods for listing directory contents, checking file existence, and performing basic file operations such as reading and writing data.</t>
        </is>
      </c>
      <c r="M1346" t="n">
        <v>0.0041</v>
      </c>
      <c r="N1346" t="n">
        <v>0.0896</v>
      </c>
      <c r="O1346" t="n">
        <v>0.1538</v>
      </c>
    </row>
    <row r="1347">
      <c r="A1347" t="inlineStr">
        <is>
          <t>openmicroscopy</t>
        </is>
      </c>
      <c r="B1347" t="inlineStr">
        <is>
          <t>components/tools/OmeroJava/test/integration/BfPixelBufferTest.java</t>
        </is>
      </c>
      <c r="C1347">
        <f>HYPERLINK("https://github.com/ome/openmicroscopy/blob/master/components/tools/OmeroJava/test/integration/BfPixelBufferTest.java")</f>
        <v/>
      </c>
      <c r="D1347" t="inlineStr">
        <is>
          <t>The `BfPixelBufferTest` class is part of an integration test suite for handling pixel buffers using Bio-Formats library with OMERO's raw pixels store API. It sets up a temporary file, reads image data from it using ImageReader, and then writes that data back into the raw pixels store as a buffer. The test verifies that the written data matches the original read data by comparing their</t>
        </is>
      </c>
      <c r="E1347" t="n">
        <v>0.0028</v>
      </c>
      <c r="F1347" t="n">
        <v>0.0267</v>
      </c>
      <c r="G1347" t="n">
        <v>0.073</v>
      </c>
      <c r="H1347" t="inlineStr">
        <is>
          <t>The repository contains backend software components with complexity O(N), implementing core algorithms. The code size is 1000 lines, and it includes comments describing its implementation.</t>
        </is>
      </c>
      <c r="I1347" t="n">
        <v>0.01</v>
      </c>
      <c r="J1347" t="n">
        <v>0.2353</v>
      </c>
      <c r="K1347" t="n">
        <v>0.3254</v>
      </c>
      <c r="L1347" t="inlineStr">
        <is>
          <t>The `BfPixelBufferTest` class tests the `BfPixelBuffer` implementation for reading raw pixel data from an image using BioFormats. It sets up test files, reads pixels from them using the `RawPixelsStore`, and verifies that the data matches expected values. The test uses TestNG annotations and assertions to ensure correctness.</t>
        </is>
      </c>
      <c r="M1347" t="n">
        <v>0.0039</v>
      </c>
      <c r="N1347" t="n">
        <v>0.0727</v>
      </c>
      <c r="O1347" t="n">
        <v>0.1261</v>
      </c>
    </row>
    <row r="1348">
      <c r="A1348" t="inlineStr">
        <is>
          <t>openmicroscopy</t>
        </is>
      </c>
      <c r="B1348" t="inlineStr">
        <is>
          <t>components/tools/OmeroJava/test/integration/UpgradeCheckTest.java</t>
        </is>
      </c>
      <c r="C1348">
        <f>HYPERLINK("https://github.com/ome/openmicroscopy/blob/master/components/tools/OmeroJava/test/integration/UpgradeCheckTest.java")</f>
        <v/>
      </c>
      <c r="D1348" t="inlineStr">
        <is>
          <t>The provided code is part of an OME system's backend software components repository. It includes a Java class named `Integration` which implements core algorithms. The complexity of the implementation is O(N), indicating linear time complexity relative to the input size N. The code does not contain any comments, so its functionality is unclear from the given information alone. The repository was initially created on January 7,</t>
        </is>
      </c>
      <c r="E1348" t="n">
        <v>0.0069</v>
      </c>
      <c r="F1348" t="n">
        <v>0.1053</v>
      </c>
      <c r="G1348" t="n">
        <v>0.2287</v>
      </c>
      <c r="H1348" t="inlineStr">
        <is>
          <t>The code implements core algorithms for backend software components. Complexity is O(N). The README provides information about the repository containing backend software components.</t>
        </is>
      </c>
      <c r="I1348" t="n">
        <v>0.0194</v>
      </c>
      <c r="J1348" t="n">
        <v>0.125</v>
      </c>
      <c r="K1348" t="n">
        <v>0.269</v>
      </c>
      <c r="L1348" t="inlineStr">
        <is>
          <t>The code implements core algorithms for backend software components using Java, focusing on efficient data processing and manipulation. It handles various input/output operations and integrates seamlessly into the larger system architecture. The implementation complexity is moderate, with comments indicating the use of existing algorithms.</t>
        </is>
      </c>
      <c r="M1348" t="n">
        <v>0.0105</v>
      </c>
      <c r="N1348" t="n">
        <v>0.1132</v>
      </c>
      <c r="O1348" t="n">
        <v>0.3207</v>
      </c>
    </row>
    <row r="1349">
      <c r="A1349" t="inlineStr">
        <is>
          <t>openmicroscopy</t>
        </is>
      </c>
      <c r="B1349" t="inlineStr">
        <is>
          <t>components/tools/OmeroJava/test/integration/AbstractServerTest.java</t>
        </is>
      </c>
      <c r="C1349">
        <f>HYPERLINK("https://github.com/ome/openmicroscopy/blob/master/components/tools/OmeroJava/test/integration/AbstractServerTest.java")</f>
        <v/>
      </c>
      <c r="D1349" t="inlineStr">
        <is>
          <t>The provided Java code appears to be part of an OME (Open Microscopy Environment) project, specifically within its import module. The code defines several classes and interfaces related to handling image imports into the OME system. Here's a high-level summary of its functionality:
### Key Components and Classes
1. **Import Candidates**: Represents potential images or datasets that can be imported into the OME database</t>
        </is>
      </c>
      <c r="E1349" t="n">
        <v>0.0028</v>
      </c>
      <c r="F1349" t="n">
        <v>0.0822</v>
      </c>
      <c r="G1349" t="n">
        <v>0.0735</v>
      </c>
      <c r="H1349" t="inlineStr">
        <is>
          <t>Manages backend software components with core algorithm implementations. Complexity is O(N), indicating linear time complexity for certain operations. The repository includes an import library for handling file imports using OMERO metadata store client.</t>
        </is>
      </c>
      <c r="I1349" t="n">
        <v>0.0067</v>
      </c>
      <c r="J1349" t="n">
        <v>0.09520000000000001</v>
      </c>
      <c r="K1349" t="n">
        <v>0.1429</v>
      </c>
      <c r="L1349" t="inlineStr">
        <is>
          <t>The code appears to be part of an image import system for the Open Microscopy Environment (OME). It defines classes and methods related to importing images from various sources into the OME database using Java reflection and concurrent processing. The primary function involves parsing metadata, handling multiple files simultaneously, and storing them in the OMEROMetadataStoreClient.</t>
        </is>
      </c>
      <c r="M1349" t="n">
        <v>0.0033</v>
      </c>
      <c r="N1349" t="n">
        <v>0.0635</v>
      </c>
      <c r="O1349" t="n">
        <v>0.07870000000000001</v>
      </c>
    </row>
    <row r="1350">
      <c r="A1350" t="inlineStr">
        <is>
          <t>openmicroscopy</t>
        </is>
      </c>
      <c r="B1350" t="inlineStr">
        <is>
          <t>components/tools/OmeroJava/test/integration/LightAdminPrivilegesTest.java</t>
        </is>
      </c>
      <c r="C1350">
        <f>HYPERLINK("https://github.com/ome/openmicroscopy/blob/master/components/tools/OmeroJava/test/integration/LightAdminPrivilegesTest.java")</f>
        <v/>
      </c>
      <c r="D1350" t="inlineStr">
        <is>
          <t>The provided Java code defines a package named `integration` which appears to contain backend software components. The code includes comments explaining its purpose, copyright information, license details, and general implementation notes. It does not include actual source code, so no specific functionality can be summarized from the given text alone.</t>
        </is>
      </c>
      <c r="E1350" t="n">
        <v>0.0048</v>
      </c>
      <c r="F1350" t="n">
        <v>0.1034</v>
      </c>
      <c r="G1350" t="n">
        <v>0.1639</v>
      </c>
      <c r="H1350" t="inlineStr">
        <is>
          <t>The code implements core algorithms for a backend software component. It uses Java and includes various data structures such as ArrayLists, Arrays, Collections, and HashSets. The complexity is O(N), indicating linear time operations on average.</t>
        </is>
      </c>
      <c r="I1350" t="n">
        <v>0.0134</v>
      </c>
      <c r="J1350" t="n">
        <v>0.1364</v>
      </c>
      <c r="K1350" t="n">
        <v>0.3477</v>
      </c>
      <c r="L1350" t="inlineStr">
        <is>
          <t>This Java package `integration` contains backend software components designed to handle data processing tasks efficiently. The code implements core algorithms using a time complexity of \(O(N)\), focusing on input/output operations and maintaining high readability and maintainability through well-documented comments and initial implementation messages. The total size of the codebase is approximately 1000 lines, reflecting its comprehensive nature in handling various data processing</t>
        </is>
      </c>
      <c r="M1350" t="n">
        <v>0.0078</v>
      </c>
      <c r="N1350" t="n">
        <v>0.137</v>
      </c>
      <c r="O1350" t="n">
        <v>0.3182</v>
      </c>
    </row>
    <row r="1351">
      <c r="A1351" t="inlineStr">
        <is>
          <t>openmicroscopy</t>
        </is>
      </c>
      <c r="B1351" t="inlineStr">
        <is>
          <t>components/tools/OmeroJava/test/integration/ImporterTest.java</t>
        </is>
      </c>
      <c r="C1351">
        <f>HYPERLINK("https://github.com/ome/openmicroscopy/blob/master/components/tools/OmeroJava/test/integration/ImporterTest.java")</f>
        <v/>
      </c>
      <c r="D1351" t="inlineStr">
        <is>
          <t>The provided code appears to be part of a larger system for managing image data within an OME (Open Microscopy Environment) framework. It includes classes and methods related to creating, manipulating, and deleting images, datasets, annotations, and other metadata associated with them. The code uses Java and interacts with various OME API interfaces such as `IAdminPrx`, `IRoiPrx`, and</t>
        </is>
      </c>
      <c r="E1351" t="n">
        <v>0.0031</v>
      </c>
      <c r="F1351" t="n">
        <v>0.0303</v>
      </c>
      <c r="G1351" t="n">
        <v>0.0769</v>
      </c>
      <c r="H1351" t="inlineStr">
        <is>
          <t>This repository contains backend software components implementing core algorithms. The complexity is O(N), indicating linear time complexity for operations that depend on input size N. The README provides information about the project's purpose and structure.</t>
        </is>
      </c>
      <c r="I1351" t="n">
        <v>0.0075</v>
      </c>
      <c r="J1351" t="n">
        <v>0.2222</v>
      </c>
      <c r="K1351" t="n">
        <v>0.3477</v>
      </c>
      <c r="L1351" t="inlineStr">
        <is>
          <t>This Java package `integration` appears to be part of a larger system for managing image data within an Open Microscopy Environment (OME). The primary function seems to involve creating and manipulating ROIs (Regions of Interest), annotations, and other metadata associated with images stored in an OME database. Key functionalities include generating XML representations of datasets and their contents, as well as handling administrative tasks such as deleting objects</t>
        </is>
      </c>
      <c r="M1351" t="n">
        <v>0.0032</v>
      </c>
      <c r="N1351" t="n">
        <v>0.0789</v>
      </c>
      <c r="O1351" t="n">
        <v>0.1071</v>
      </c>
    </row>
    <row r="1352">
      <c r="A1352" t="inlineStr">
        <is>
          <t>openmicroscopy</t>
        </is>
      </c>
      <c r="B1352" t="inlineStr">
        <is>
          <t>components/tools/OmeroJava/test/integration/gateway/GatewayUsageTest.java</t>
        </is>
      </c>
      <c r="C1352">
        <f>HYPERLINK("https://github.com/ome/openmicroscopy/blob/master/components/tools/OmeroJava/test/integration/gateway/GatewayUsageTest.java")</f>
        <v/>
      </c>
      <c r="D1352" t="inlineStr">
        <is>
          <t>The provided code is part of a backend gateway component within a larger system. It implements core algorithms and handles data processing tasks efficiently. The complexity of the implementation is O(N), indicating linear time performance relative to the size of the input data. The comments suggest that this code forms the foundation for complex operations and may include additional features such as error handling, logging, and security measures. The repository also includes</t>
        </is>
      </c>
      <c r="E1352" t="n">
        <v>0.0059</v>
      </c>
      <c r="F1352" t="n">
        <v>0.0741</v>
      </c>
      <c r="G1352" t="n">
        <v>0.2583</v>
      </c>
      <c r="H1352" t="inlineStr">
        <is>
          <t>Implements core algorithms for backend software components. Complexity is O(N).</t>
        </is>
      </c>
      <c r="I1352" t="n">
        <v>0.0251</v>
      </c>
      <c r="J1352" t="n">
        <v>0.2105</v>
      </c>
      <c r="K1352" t="n">
        <v>0.3117</v>
      </c>
      <c r="L1352" t="inlineStr">
        <is>
          <t>This Java package `integration.gateway` contains backend software components designed to handle gateway functionalities, likely involving data processing, communication protocols, or API integrations within a larger system. The code complexity is moderate at \(O(N)\), suggesting it involves significant computational tasks related to input handling, transformation, and output generation. The implementation focuses on core algorithms essential for efficient data exchange and service interactions.</t>
        </is>
      </c>
      <c r="M1352" t="n">
        <v>0.0042</v>
      </c>
      <c r="N1352" t="n">
        <v>0.1408</v>
      </c>
      <c r="O1352" t="n">
        <v>0.188</v>
      </c>
    </row>
    <row r="1353">
      <c r="A1353" t="inlineStr">
        <is>
          <t>openmicroscopy</t>
        </is>
      </c>
      <c r="B1353" t="inlineStr">
        <is>
          <t>components/tools/OmeroJava/test/integration/gateway/GatewayTest.java</t>
        </is>
      </c>
      <c r="C1353">
        <f>HYPERLINK("https://github.com/ome/openmicroscopy/blob/master/components/tools/OmeroJava/test/integration/gateway/GatewayTest.java")</f>
        <v/>
      </c>
      <c r="D1353" t="inlineStr">
        <is>
          <t>The provided code is part of a backend gateway component within a larger system designed to handle data processing tasks efficiently. It implements core algorithms necessary for integrating various services and ensuring smooth communication between different systems. The complexity of the implementation is O(N), indicating linear time complexity relative to the size of the input data. The code is written in Java and is part of a larger project focused on providing robust data handling</t>
        </is>
      </c>
      <c r="E1353" t="n">
        <v>0.0057</v>
      </c>
      <c r="F1353" t="n">
        <v>0.07140000000000001</v>
      </c>
      <c r="G1353" t="n">
        <v>0.2147</v>
      </c>
      <c r="H1353" t="inlineStr">
        <is>
          <t>Implements core algorithms for backend software components. Complexity is O(N).</t>
        </is>
      </c>
      <c r="I1353" t="n">
        <v>0.0251</v>
      </c>
      <c r="J1353" t="n">
        <v>0.2105</v>
      </c>
      <c r="K1353" t="n">
        <v>0.3117</v>
      </c>
      <c r="L1353" t="inlineStr">
        <is>
          <t>This Java package `integration.gateway` likely contains backend software components designed to facilitate communication between different systems within an integrated environment. The code appears to implement core algorithms necessary for handling data exchanges and ensuring system interoperability.</t>
        </is>
      </c>
      <c r="M1353" t="n">
        <v>0.0073</v>
      </c>
      <c r="N1353" t="n">
        <v>0.2222</v>
      </c>
      <c r="O1353" t="n">
        <v>0.3444</v>
      </c>
    </row>
    <row r="1354">
      <c r="A1354" t="inlineStr">
        <is>
          <t>openmicroscopy</t>
        </is>
      </c>
      <c r="B1354" t="inlineStr">
        <is>
          <t>components/tools/OmeroJava/test/integration/gateway/RawDataFacilityTest.java</t>
        </is>
      </c>
      <c r="C1354">
        <f>HYPERLINK("https://github.com/ome/openmicroscopy/blob/master/components/tools/OmeroJava/test/integration/gateway/RawDataFacilityTest.java")</f>
        <v/>
      </c>
      <c r="D1354" t="inlineStr">
        <is>
          <t>The code implements core algorithms for a gateway system, which processes data from various sources. The complexity of the implementation is O(N), indicating linear time performance relative to the size of the input data. The code is part of a larger project focused on integrating different systems within a university environment.</t>
        </is>
      </c>
      <c r="E1354" t="n">
        <v>0.0076</v>
      </c>
      <c r="F1354" t="n">
        <v>0.0667</v>
      </c>
      <c r="G1354" t="n">
        <v>0.2078</v>
      </c>
      <c r="H1354" t="inlineStr">
        <is>
          <t>The code implements core algorithms for a backend gateway component, which processes data efficiently. The complexity is O(N), indicating linear time performance, and the implementation includes comments explaining its purpose and usage.</t>
        </is>
      </c>
      <c r="I1354" t="n">
        <v>0.0137</v>
      </c>
      <c r="J1354" t="n">
        <v>0.1463</v>
      </c>
      <c r="K1354" t="n">
        <v>0.2457</v>
      </c>
      <c r="L1354" t="inlineStr">
        <is>
          <t>This Java package `integration.gateway` likely contains classes responsible for handling gateway functionalities within a larger system, possibly related to data integration or communication between different systems. The code appears to implement core algorithms necessary for these interactions, though specific details about those algorithms are not provided in the given context. The code size suggests it may handle significant amounts of data or complex processing tasks.</t>
        </is>
      </c>
      <c r="M1354" t="n">
        <v>0.0033</v>
      </c>
      <c r="N1354" t="n">
        <v>0.08110000000000001</v>
      </c>
      <c r="O1354" t="n">
        <v>0.2304</v>
      </c>
    </row>
    <row r="1355">
      <c r="A1355" t="inlineStr">
        <is>
          <t>openmicroscopy</t>
        </is>
      </c>
      <c r="B1355" t="inlineStr">
        <is>
          <t>components/tools/OmeroJava/test/integration/gateway/LoadFacilityTest.java</t>
        </is>
      </c>
      <c r="C1355">
        <f>HYPERLINK("https://github.com/ome/openmicroscopy/blob/master/components/tools/OmeroJava/test/integration/gateway/LoadFacilityTest.java")</f>
        <v/>
      </c>
      <c r="D1355" t="inlineStr">
        <is>
          <t>The provided code is part of a backend gateway component within a larger system. It implements core algorithms and handles data processing tasks efficiently. The complexity of the implementation is O(N), indicating linear time complexity relative to the size of the input data. The code is written in Java and includes comments explaining its purpose and functionality. The repository also mentions that it contains other backend software components and provides information about its license</t>
        </is>
      </c>
      <c r="E1355" t="n">
        <v>0.0062</v>
      </c>
      <c r="F1355" t="n">
        <v>0.0964</v>
      </c>
      <c r="G1355" t="n">
        <v>0.2548</v>
      </c>
      <c r="H1355" t="inlineStr">
        <is>
          <t>This repository contains backend software components implementing core algorithms. The complexity of the implementation is O(N), indicating linear time complexity relative to input size N. The README provides information about the copyright, license, and purpose of the repository.</t>
        </is>
      </c>
      <c r="I1355" t="n">
        <v>0.0069</v>
      </c>
      <c r="J1355" t="n">
        <v>0.2128</v>
      </c>
      <c r="K1355" t="n">
        <v>0.2273</v>
      </c>
      <c r="L1355" t="inlineStr">
        <is>
          <t>The provided code implements core algorithms within a backend software component, focusing on efficient data processing and handling. It processes large datasets using an O(N) complexity algorithm, ensuring optimal performance while maintaining high code quality through comments and documentation. The code size is manageable at 1000 lines, making it easy to understand and maintain.</t>
        </is>
      </c>
      <c r="M1355" t="n">
        <v>0.008500000000000001</v>
      </c>
      <c r="N1355" t="n">
        <v>0.09520000000000001</v>
      </c>
      <c r="O1355" t="n">
        <v>0.2952</v>
      </c>
    </row>
    <row r="1356">
      <c r="A1356" t="inlineStr">
        <is>
          <t>openmicroscopy</t>
        </is>
      </c>
      <c r="B1356" t="inlineStr">
        <is>
          <t>components/tools/OmeroJava/test/integration/gateway/TablesFacilityTest.java</t>
        </is>
      </c>
      <c r="C1356">
        <f>HYPERLINK("https://github.com/ome/openmicroscopy/blob/master/components/tools/OmeroJava/test/integration/gateway/TablesFacilityTest.java")</f>
        <v/>
      </c>
      <c r="D1356" t="inlineStr">
        <is>
          <t>The provided Java code defines a package `integration.gateway` containing classes related to gateway functionalities. It includes methods for handling file operations, such as reading from files, managing collections, and sorting data. The complexity of the implementation is O(N), indicating linear time complexity for certain operations like iterating over collections. The code uses comments to describe its purpose and functionality, making it easier to understand for developers.</t>
        </is>
      </c>
      <c r="E1356" t="n">
        <v>0.0028</v>
      </c>
      <c r="F1356" t="n">
        <v>0.0526</v>
      </c>
      <c r="G1356" t="n">
        <v>0.1087</v>
      </c>
      <c r="H1356" t="inlineStr">
        <is>
          <t>The repository contains backend software components implementing core algorithms. The complexity is O(N), indicating linear time complexity for certain operations.</t>
        </is>
      </c>
      <c r="I1356" t="n">
        <v>0.0115</v>
      </c>
      <c r="J1356" t="n">
        <v>0.2069</v>
      </c>
      <c r="K1356" t="n">
        <v>0.2778</v>
      </c>
      <c r="L1356" t="inlineStr">
        <is>
          <t>This Java package `integration.gateway` contains backend software components designed to handle data gateway functionalities. It includes classes for processing files, managing collections, and implementing core algorithms necessary for integrating various systems. The code complexity is moderate, with a size of approximately 1000 lines, and it has been implemented based on existing comments and initial commits. The primary focus is on providing robust data handling solutions through</t>
        </is>
      </c>
      <c r="M1356" t="n">
        <v>0.0039</v>
      </c>
      <c r="N1356" t="n">
        <v>0.1333</v>
      </c>
      <c r="O1356" t="n">
        <v>0.1812</v>
      </c>
    </row>
    <row r="1357">
      <c r="A1357" t="inlineStr">
        <is>
          <t>openmicroscopy</t>
        </is>
      </c>
      <c r="B1357" t="inlineStr">
        <is>
          <t>components/tools/OmeroJava/test/integration/gateway/BrowseFacilityTest.java</t>
        </is>
      </c>
      <c r="C1357">
        <f>HYPERLINK("https://github.com/ome/openmicroscopy/blob/master/components/tools/OmeroJava/test/integration/gateway/BrowseFacilityTest.java")</f>
        <v/>
      </c>
      <c r="D1357" t="inlineStr">
        <is>
          <t>The provided code is part of a backend system designed for integrating various gateway functionalities. It includes comments indicating its implementation of core algorithms and mentions a complexity of O(N), suggesting linear time performance. The README file describes the repository's contents as containing backend software components. The total size of the codebase is 1000 lines.</t>
        </is>
      </c>
      <c r="E1357" t="n">
        <v>0.0044</v>
      </c>
      <c r="F1357" t="n">
        <v>0.09229999999999999</v>
      </c>
      <c r="G1357" t="n">
        <v>0.1969</v>
      </c>
      <c r="H1357" t="inlineStr">
        <is>
          <t>Implements core algorithms for backend software components. Complexity is O(N).</t>
        </is>
      </c>
      <c r="I1357" t="n">
        <v>0.0251</v>
      </c>
      <c r="J1357" t="n">
        <v>0.2105</v>
      </c>
      <c r="K1357" t="n">
        <v>0.3117</v>
      </c>
      <c r="L1357" t="inlineStr">
        <is>
          <t>This Java package `integration.gateway` contains backend software components designed to handle gateway functionalities, likely involving data exchange between different systems. The code complexity is moderate at O(N), indicating potential performance optimizations could enhance efficiency. Key operations focus on implementing core algorithms necessary for seamless communication and data processing within the system.</t>
        </is>
      </c>
      <c r="M1357" t="n">
        <v>0.0051</v>
      </c>
      <c r="N1357" t="n">
        <v>0.1639</v>
      </c>
      <c r="O1357" t="n">
        <v>0.3024</v>
      </c>
    </row>
    <row r="1358">
      <c r="A1358" t="inlineStr">
        <is>
          <t>openmicroscopy</t>
        </is>
      </c>
      <c r="B1358" t="inlineStr">
        <is>
          <t>components/tools/OmeroJava/test/integration/gateway/MetadataFacilityTest.java</t>
        </is>
      </c>
      <c r="C1358">
        <f>HYPERLINK("https://github.com/ome/openmicroscopy/blob/master/components/tools/OmeroJava/test/integration/gateway/MetadataFacilityTest.java")</f>
        <v/>
      </c>
      <c r="D1358" t="inlineStr">
        <is>
          <t>The provided code is part of a backend software component within a repository called "integration-gateway." It implements core algorithms and is written in Java. The complexity of the implementation is O(N), indicating linear time complexity. The code size is approximately 1000 lines. The comments indicate that this is the initial codebase commit.</t>
        </is>
      </c>
      <c r="E1358" t="n">
        <v>0.0089</v>
      </c>
      <c r="F1358" t="n">
        <v>0.129</v>
      </c>
      <c r="G1358" t="n">
        <v>0.3439</v>
      </c>
      <c r="H1358" t="inlineStr">
        <is>
          <t>This repository contains backend software components implementing core algorithms. The complexity is O(N), indicating linear time complexity.</t>
        </is>
      </c>
      <c r="I1358" t="n">
        <v>0.0151</v>
      </c>
      <c r="J1358" t="n">
        <v>0.3077</v>
      </c>
      <c r="K1358" t="n">
        <v>0.3546</v>
      </c>
      <c r="L1358" t="inlineStr">
        <is>
          <t>This Java package `integration.gateway` likely contains classes responsible for handling gateway-level integrations within a larger system. The code appears to implement core algorithms necessary for data exchange between different systems or services. The complexity is moderate, indicated by the use of O(N) notation, suggesting linear time complexity in certain parts of the code. The existing comments provide implementation details, while the initial commit message indicates the creation</t>
        </is>
      </c>
      <c r="M1358" t="n">
        <v>0.0032</v>
      </c>
      <c r="N1358" t="n">
        <v>0.0769</v>
      </c>
      <c r="O1358" t="n">
        <v>0.1439</v>
      </c>
    </row>
    <row r="1359">
      <c r="A1359" t="inlineStr">
        <is>
          <t>openmicroscopy</t>
        </is>
      </c>
      <c r="B1359" t="inlineStr">
        <is>
          <t>components/tools/OmeroJava/test/integration/gateway/AdminFacilityTest.java</t>
        </is>
      </c>
      <c r="C1359">
        <f>HYPERLINK("https://github.com/ome/openmicroscopy/blob/master/components/tools/OmeroJava/test/integration/gateway/AdminFacilityTest.java")</f>
        <v/>
      </c>
      <c r="D1359" t="inlineStr">
        <is>
          <t>The provided code is part of a backend software component within a larger system called "integration.gateway." It implements core algorithms and is written in Java. The complexity of the implementation is O(N), indicating linear time complexity relative to the size of the input data. The code is licensed under the GNU General Public License, which allows users to freely use, modify, and distribute the software. The repository contains initial</t>
        </is>
      </c>
      <c r="E1359" t="n">
        <v>0.0066</v>
      </c>
      <c r="F1359" t="n">
        <v>0.1013</v>
      </c>
      <c r="G1359" t="n">
        <v>0.2638</v>
      </c>
      <c r="H1359" t="inlineStr">
        <is>
          <t>The code implements core algorithms for a backend gateway component. It has a complexity of O(N), indicating linear time complexity, which suggests that its performance scales linearly with input size N. The implementation includes comments explaining the purpose and functionality of the code. The repository contains the initial codebase commit.</t>
        </is>
      </c>
      <c r="I1359" t="n">
        <v>0.0092</v>
      </c>
      <c r="J1359" t="n">
        <v>0.1017</v>
      </c>
      <c r="K1359" t="n">
        <v>0.2587</v>
      </c>
      <c r="L1359" t="inlineStr">
        <is>
          <t>This Java package contains backend software components designed to integrate with various gateways, likely for data exchange or service orchestration purposes. The code complexity is moderate at O(N), indicating potential performance optimizations could enhance efficiency. The implementation focuses on core algorithms necessary for gateway interaction and communication.</t>
        </is>
      </c>
      <c r="M1359" t="n">
        <v>0.0055</v>
      </c>
      <c r="N1359" t="n">
        <v>0.1786</v>
      </c>
      <c r="O1359" t="n">
        <v>0.2101</v>
      </c>
    </row>
    <row r="1360">
      <c r="A1360" t="inlineStr">
        <is>
          <t>openmicroscopy</t>
        </is>
      </c>
      <c r="B1360" t="inlineStr">
        <is>
          <t>components/tools/OmeroJava/test/integration/gateway/SearchFacilityTest.java</t>
        </is>
      </c>
      <c r="C1360">
        <f>HYPERLINK("https://github.com/ome/openmicroscopy/blob/master/components/tools/OmeroJava/test/integration/gateway/SearchFacilityTest.java")</f>
        <v/>
      </c>
      <c r="D1360" t="inlineStr">
        <is>
          <t>The provided code is part of a backend software component within a larger system. It implements core algorithms and is written in Java. The complexity of the implementation is O(N), indicating linear time complexity relative to the size of the input data. The code is licensed under the GNU General Public License, which allows users to freely use, modify, and distribute the software. The README file indicates that this repository contains</t>
        </is>
      </c>
      <c r="E1360" t="n">
        <v>0.0064</v>
      </c>
      <c r="F1360" t="n">
        <v>0.1</v>
      </c>
      <c r="G1360" t="n">
        <v>0.2982</v>
      </c>
      <c r="H1360" t="inlineStr">
        <is>
          <t>Implements core algorithms for backend software components. Complexity is O(N).</t>
        </is>
      </c>
      <c r="I1360" t="n">
        <v>0.0251</v>
      </c>
      <c r="J1360" t="n">
        <v>0.2105</v>
      </c>
      <c r="K1360" t="n">
        <v>0.3117</v>
      </c>
      <c r="L1360" t="inlineStr">
        <is>
          <t>This Java package `integration.gateway` likely contains backend software components designed to facilitate communication between different systems within an integrated environment. The code complexity suggests it involves handling various data interactions efficiently, possibly using algorithms optimized for performance. The existing comments indicate that the implementation focuses on core algorithmic functions, which could involve data processing, network communications, or other critical functionalities essential for system integration. The README context provides additional</t>
        </is>
      </c>
      <c r="M1360" t="n">
        <v>0.0035</v>
      </c>
      <c r="N1360" t="n">
        <v>0.1282</v>
      </c>
      <c r="O1360" t="n">
        <v>0.1773</v>
      </c>
    </row>
    <row r="1361">
      <c r="A1361" t="inlineStr">
        <is>
          <t>openmicroscopy</t>
        </is>
      </c>
      <c r="B1361" t="inlineStr">
        <is>
          <t>components/tools/OmeroJava/test/integration/gateway/ROIFacilityTest.java</t>
        </is>
      </c>
      <c r="C1361">
        <f>HYPERLINK("https://github.com/ome/openmicroscopy/blob/master/components/tools/OmeroJava/test/integration/gateway/ROIFacilityTest.java")</f>
        <v/>
      </c>
      <c r="D1361" t="inlineStr">
        <is>
          <t>The provided code implements core algorithms within a gateway package of a software system. It is written in Java and adheres to the GPL license. The complexity of the implementation is O(N), indicating linear time complexity relative to input size N. The code includes comments explaining its purpose and functionality, and there has been one initial commit to the repository containing the complete source code.</t>
        </is>
      </c>
      <c r="E1361" t="n">
        <v>0.007</v>
      </c>
      <c r="F1361" t="n">
        <v>0.1081</v>
      </c>
      <c r="G1361" t="n">
        <v>0.2304</v>
      </c>
      <c r="H1361" t="inlineStr">
        <is>
          <t>Implements core algorithms for backend software components. Complexity is O(N).</t>
        </is>
      </c>
      <c r="I1361" t="n">
        <v>0.0251</v>
      </c>
      <c r="J1361" t="n">
        <v>0.2105</v>
      </c>
      <c r="K1361" t="n">
        <v>0.3117</v>
      </c>
      <c r="L1361" t="inlineStr">
        <is>
          <t>This Java package contains backend software components designed to integrate with various gateways, likely used in applications dealing with data exchange between different systems. The code appears to implement core algorithms necessary for handling these integrations efficiently, with a time complexity of O(N).</t>
        </is>
      </c>
      <c r="M1361" t="n">
        <v>0.0056</v>
      </c>
      <c r="N1361" t="n">
        <v>0.1538</v>
      </c>
      <c r="O1361" t="n">
        <v>0.3235</v>
      </c>
    </row>
    <row r="1362">
      <c r="A1362" t="inlineStr">
        <is>
          <t>openmicroscopy</t>
        </is>
      </c>
      <c r="B1362" t="inlineStr">
        <is>
          <t>components/tools/OmeroJava/test/integration/gateway/DataManagerFacilityTest.java</t>
        </is>
      </c>
      <c r="C1362">
        <f>HYPERLINK("https://github.com/ome/openmicroscopy/blob/master/components/tools/OmeroJava/test/integration/gateway/DataManagerFacilityTest.java")</f>
        <v/>
      </c>
      <c r="D1362" t="inlineStr">
        <is>
          <t>The provided code is part of a backend software component within a repository named `integration-gateway`. It implements core algorithms and is written in Java. The complexity of the implementation is O(N), indicating linear time complexity relative to the input size N. The code does not contain any specific comments or detailed documentation beyond its license information. The repository itself has been initialized with initial codebase commits. The total size</t>
        </is>
      </c>
      <c r="E1362" t="n">
        <v>0.0066</v>
      </c>
      <c r="F1362" t="n">
        <v>0.1013</v>
      </c>
      <c r="G1362" t="n">
        <v>0.2638</v>
      </c>
      <c r="H1362" t="inlineStr">
        <is>
          <t>The code implements core algorithms for backend software components. It has a complexity of O(N), indicating linear time complexity, and includes comments explaining its implementation. The code size is 1000 lines.</t>
        </is>
      </c>
      <c r="I1362" t="n">
        <v>0.0152</v>
      </c>
      <c r="J1362" t="n">
        <v>0.15</v>
      </c>
      <c r="K1362" t="n">
        <v>0.3064</v>
      </c>
      <c r="L1362" t="inlineStr">
        <is>
          <t>The code implements backend software components, focusing on core algorithms with a time complexity of O(N). It includes initial implementation comments and no specific context about input/output parameters. The total size of the codebase is 1000 lines.</t>
        </is>
      </c>
      <c r="M1362" t="n">
        <v>0.0071</v>
      </c>
      <c r="N1362" t="n">
        <v>0.1277</v>
      </c>
      <c r="O1362" t="n">
        <v>0.1835</v>
      </c>
    </row>
    <row r="1363">
      <c r="A1363" t="inlineStr">
        <is>
          <t>openmicroscopy</t>
        </is>
      </c>
      <c r="B1363" t="inlineStr">
        <is>
          <t>components/tools/OmeroJava/test/integration/thumbnail/BatchLoadingTest.java</t>
        </is>
      </c>
      <c r="C1363">
        <f>HYPERLINK("https://github.com/ome/openmicroscopy/blob/master/components/tools/OmeroJava/test/integration/thumbnail/BatchLoadingTest.java")</f>
        <v/>
      </c>
      <c r="D1363" t="inlineStr">
        <is>
          <t>The code appears to be part of a Java project related to image processing and thumbnail generation within an OME environment. It includes classes from the `integration` package, which likely handle server tests and model mock factories. The code uses Google Guava's Immutable collections and is designed to run on a Unix-like system with a complexity of O(N). The comments indicate that it implements core algorithms for handling images</t>
        </is>
      </c>
      <c r="E1363" t="n">
        <v>0.0062</v>
      </c>
      <c r="F1363" t="n">
        <v>0.05</v>
      </c>
      <c r="G1363" t="n">
        <v>0.2238</v>
      </c>
      <c r="H1363" t="inlineStr">
        <is>
          <t>This repository contains backend software components implementing core algorithms. The complexity is O(N), indicating linear time complexity. The README provides information about the copyright notice, license, and purpose of the project.</t>
        </is>
      </c>
      <c r="I1363" t="n">
        <v>0.008500000000000001</v>
      </c>
      <c r="J1363" t="n">
        <v>0.25</v>
      </c>
      <c r="K1363" t="n">
        <v>0.3612</v>
      </c>
      <c r="L1363" t="inlineStr">
        <is>
          <t>This Java package `integration.thumbnail` contains backend software components responsible for generating thumbnails from images using Google Guava's Immutable List for efficient data handling. The class `AbstractServerTest` serves as a base for server tests, while `ModelMockFactory` provides mock objects for model testing. The code size is 1000 lines, focusing on implementing core algorithms for thumbnail generation within the context of</t>
        </is>
      </c>
      <c r="M1363" t="n">
        <v>0.0041</v>
      </c>
      <c r="N1363" t="n">
        <v>0.1159</v>
      </c>
      <c r="O1363" t="n">
        <v>0.284</v>
      </c>
    </row>
    <row r="1364">
      <c r="A1364" t="inlineStr">
        <is>
          <t>openmicroscopy</t>
        </is>
      </c>
      <c r="B1364" t="inlineStr">
        <is>
          <t>components/tools/OmeroJava/test/integration/thumbnail/SkipThumbnailsPermissionsTest.java</t>
        </is>
      </c>
      <c r="C1364">
        <f>HYPERLINK("https://github.com/ome/openmicroscopy/blob/master/components/tools/OmeroJava/test/integration/thumbnail/SkipThumbnailsPermissionsTest.java")</f>
        <v/>
      </c>
      <c r="D1364" t="inlineStr">
        <is>
          <t>The provided code is part of a server import test suite for OME (Open Microscopy Environment), specifically focusing on thumbnail generation. It includes classes such as `AbstractServerImportTest` and `ImportConfig`, which are used to configure and run tests related to importing images into the OME system. The code uses the OMERO API for rendering thumbnails and handling image imports. The complexity level is</t>
        </is>
      </c>
      <c r="E1364" t="n">
        <v>0.0029</v>
      </c>
      <c r="F1364" t="n">
        <v>0.0286</v>
      </c>
      <c r="G1364" t="n">
        <v>0.0746</v>
      </c>
      <c r="H1364" t="inlineStr">
        <is>
          <t>The code implements core algorithms for thumbnail generation within an image processing framework. It includes classes such as `AbstractServerImportTest` and `Renderin`, which handle server import configurations and rendering tasks respectively. The complexity is high due to its extensive implementation of various algorithms necessary for efficient thumbnail creation.</t>
        </is>
      </c>
      <c r="I1364" t="n">
        <v>0.0091</v>
      </c>
      <c r="J1364" t="n">
        <v>0.1091</v>
      </c>
      <c r="K1364" t="n">
        <v>0.2148</v>
      </c>
      <c r="L1364" t="inlineStr">
        <is>
          <t>This Java package `integration.thumbnail` contains server-side tests for thumbnail generation functionalities using the OMERO imaging system. The class `AbstractServerImportTest` serves as a base class for these tests, utilizing the `ImportConfig` class to configure import settings. The primary function appears to involve rendering images into thumbnails based on specified configurations, which could be used in applications like image management systems or web interfaces.</t>
        </is>
      </c>
      <c r="M1364" t="n">
        <v>0.0029</v>
      </c>
      <c r="N1364" t="n">
        <v>0.0556</v>
      </c>
      <c r="O1364" t="n">
        <v>0.0746</v>
      </c>
    </row>
    <row r="1365">
      <c r="A1365" t="inlineStr">
        <is>
          <t>openmicroscopy</t>
        </is>
      </c>
      <c r="B1365" t="inlineStr">
        <is>
          <t>components/tools/OmeroJava/test/integration/thumbnail/Utils.java</t>
        </is>
      </c>
      <c r="C1365">
        <f>HYPERLINK("https://github.com/ome/openmicroscopy/blob/master/components/tools/OmeroJava/test/integration/thumbnail/Utils.java")</f>
        <v/>
      </c>
      <c r="D1365" t="inlineStr">
        <is>
          <t>The provided code is part of a backend system designed to handle thumbnail generation functionalities within a larger project. It includes comments explaining its purpose, copyright information, license details, and complexity analysis. The code size is specified as 1000 lines, indicating its overall length.</t>
        </is>
      </c>
      <c r="E1365" t="n">
        <v>0.0042</v>
      </c>
      <c r="F1365" t="n">
        <v>0.0769</v>
      </c>
      <c r="G1365" t="n">
        <v>0.0862</v>
      </c>
      <c r="H1365" t="inlineStr">
        <is>
          <t>The code implements core algorithms for thumbnail generation in a backend system. It includes comments explaining its purpose and complexity, which is O(N). The repository size is 1000 lines.</t>
        </is>
      </c>
      <c r="I1365" t="n">
        <v>0.0151</v>
      </c>
      <c r="J1365" t="n">
        <v>0.1579</v>
      </c>
      <c r="K1365" t="n">
        <v>0.253</v>
      </c>
      <c r="L1365" t="inlineStr">
        <is>
          <t>This Java package `integration.thumbnail` likely contains classes responsible for generating thumbnails from images using various image processing libraries such as Apache Commons Imaging or ImageMagick. The code appears to implement core algorithms for thumbnail generation, which may involve resizing, cropping, and possibly applying filters to optimize image quality while maintaining size constraints. The implementation complexity is indicated as \(O(N)\), suggesting linear time complexity relative to the</t>
        </is>
      </c>
      <c r="M1365" t="n">
        <v>0.0036</v>
      </c>
      <c r="N1365" t="n">
        <v>0.1053</v>
      </c>
      <c r="O1365" t="n">
        <v>0.1812</v>
      </c>
    </row>
    <row r="1366">
      <c r="A1366" t="inlineStr">
        <is>
          <t>openmicroscopy</t>
        </is>
      </c>
      <c r="B1366" t="inlineStr">
        <is>
          <t>components/tools/OmeroJava/test/integration/thumbnail/SingleFileTest.java</t>
        </is>
      </c>
      <c r="C1366">
        <f>HYPERLINK("https://github.com/ome/openmicroscopy/blob/master/components/tools/OmeroJava/test/integration/thumbnail/SingleFileTest.java")</f>
        <v/>
      </c>
      <c r="D1366" t="inlineStr">
        <is>
          <t>The code appears to be part of an OME (Open Microscopy Environment) project, specifically within its thumbnail generation module. It includes classes such as `AbstractServerTest`, `ModelMockFactory`, and `OMEROMetadataStoreClient`. The code seems to implement core algorithms related to generating thumbnails from image data stored in an OME database. The complexity level is rated at O(N), indicating</t>
        </is>
      </c>
      <c r="E1366" t="n">
        <v>0.004</v>
      </c>
      <c r="F1366" t="n">
        <v>0.09379999999999999</v>
      </c>
      <c r="G1366" t="n">
        <v>0.2485</v>
      </c>
      <c r="H1366" t="inlineStr">
        <is>
          <t>The repository contains backend software components implementing core algorithms. Complexity is O(N), indicating linear time complexity. The README describes the implementation of these core algorithms within the context of a server test framework using OMERO metadata store client.</t>
        </is>
      </c>
      <c r="I1366" t="n">
        <v>0.0058</v>
      </c>
      <c r="J1366" t="n">
        <v>0.1277</v>
      </c>
      <c r="K1366" t="n">
        <v>0.1818</v>
      </c>
      <c r="L1366" t="inlineStr">
        <is>
          <t>The code provides a test suite for thumbnail generation using the AbstractServerTest class from the integration package. It utilizes ModelMockFactory for creating mock models and OMEROMetadataStoreClient for accessing metadata. The primary function appears to be testing the ability to generate thumbnails based on model data.</t>
        </is>
      </c>
      <c r="M1366" t="n">
        <v>0.0041</v>
      </c>
      <c r="N1366" t="n">
        <v>0.0377</v>
      </c>
      <c r="O1366" t="n">
        <v>0.08550000000000001</v>
      </c>
    </row>
    <row r="1367">
      <c r="A1367" t="inlineStr">
        <is>
          <t>openmicroscopy</t>
        </is>
      </c>
      <c r="B1367" t="inlineStr">
        <is>
          <t>components/tools/OmeroJava/test/integration/delete/AdditionalDeleteTest.java</t>
        </is>
      </c>
      <c r="C1367">
        <f>HYPERLINK("https://github.com/ome/openmicroscopy/blob/master/components/tools/OmeroJava/test/integration/delete/AdditionalDeleteTest.java")</f>
        <v/>
      </c>
      <c r="D1367" t="inlineStr">
        <is>
          <t>The provided code is part of a larger system designed for managing image data within an OME (Open Microscopy Environment) environment. It includes classes and methods for deleting objects such as images, datasets, annotations, and external information from the server. The code uses the OMERO API to interact with the database and perform deletions based on specified criteria or IDs. The complexity of this implementation is high due</t>
        </is>
      </c>
      <c r="E1367" t="n">
        <v>0.0027</v>
      </c>
      <c r="F1367" t="n">
        <v>0.0526</v>
      </c>
      <c r="G1367" t="n">
        <v>0.1429</v>
      </c>
      <c r="H1367" t="inlineStr">
        <is>
          <t>Manages backend software components with implementation of core algorithms. Complexity is O(N).</t>
        </is>
      </c>
      <c r="I1367" t="n">
        <v>0.0203</v>
      </c>
      <c r="J1367" t="n">
        <v>0.2857</v>
      </c>
      <c r="K1367" t="n">
        <v>0.1786</v>
      </c>
      <c r="L1367" t="inlineStr">
        <is>
          <t>This Java class integrates tests for deleting objects from an OMERO server using the `Delete2` command. It extends `AbstractServerTest`, which likely provides common setup and teardown methods for OMERO server interactions. The class uses various OMERO model classes such as `Dataset`, `Image`, `FileAnnotation`, etc., to construct delete requests. The `Requests.delete()` method is used to send these</t>
        </is>
      </c>
      <c r="M1367" t="n">
        <v>0.0039</v>
      </c>
      <c r="N1367" t="n">
        <v>0.0615</v>
      </c>
      <c r="O1367" t="n">
        <v>0.1172</v>
      </c>
    </row>
    <row r="1368">
      <c r="A1368" t="inlineStr">
        <is>
          <t>presto</t>
        </is>
      </c>
      <c r="B1368" t="inlineStr">
        <is>
          <t>presto-tests/src/main/java/com/facebook/presto/tests/StatefulSleepingSum.java</t>
        </is>
      </c>
      <c r="C1368">
        <f>HYPERLINK("https://github.com/prestodb/presto/blob/master/presto-tests/src/main/java/com/facebook/presto/tests/StatefulSleepingSum.java")</f>
        <v/>
      </c>
      <c r="D1368" t="inlineStr">
        <is>
          <t>The code defines a Presto SQL scalar function that takes two arguments: `input` and `threshold`. It returns true if the absolute value of `input` is greater than `threshold`, otherwise false. The implementation uses Java's built-in Math.abs() method to calculate the absolute value of the input. This function can be used in SQL queries to filter data based on whether the absolute value of a</t>
        </is>
      </c>
      <c r="E1368" t="n">
        <v>0.0034</v>
      </c>
      <c r="F1368" t="n">
        <v>0.0533</v>
      </c>
      <c r="G1368" t="n">
        <v>0.1471</v>
      </c>
      <c r="H1368" t="inlineStr">
        <is>
          <t>This repository contains backend software components implementing core algorithms. The complexity is O(N), indicating linear time complexity for certain operations.</t>
        </is>
      </c>
      <c r="I1368" t="n">
        <v>0.0127</v>
      </c>
      <c r="J1368" t="n">
        <v>0.2759</v>
      </c>
      <c r="K1368" t="n">
        <v>0.3431</v>
      </c>
      <c r="L1368" t="inlineStr">
        <is>
          <t>The provided code implements a set of built-in scalar functions used in Presto SQL queries. It includes methods to retrieve function implementations based on their names and signatures, as well as metadata about these functions such as kind and parameters. The implementation uses `BoundVariables`, `SqlScalarFunction`, and other classes from the Presto metadata package to manage and provide details about scalar functions.</t>
        </is>
      </c>
      <c r="M1368" t="n">
        <v>0.0036</v>
      </c>
      <c r="N1368" t="n">
        <v>0.0857</v>
      </c>
      <c r="O1368" t="n">
        <v>0.1128</v>
      </c>
    </row>
    <row r="1369">
      <c r="A1369" t="inlineStr">
        <is>
          <t>presto</t>
        </is>
      </c>
      <c r="B1369" t="inlineStr">
        <is>
          <t>presto-tests/src/main/java/com/facebook/presto/tests/AbstractTestingPrestoClient.java</t>
        </is>
      </c>
      <c r="C1369">
        <f>HYPERLINK("https://github.com/prestodb/presto/blob/master/presto-tests/src/main/java/com/facebook/presto/tests/AbstractTestingPrestoClient.java")</f>
        <v/>
      </c>
      <c r="D1369" t="inlineStr">
        <is>
          <t>The provided code appears to be part of a Presto testing framework within the Facebook ecosystem. It includes classes such as `JsonCodec`, `Duration`, `Session`, `ClientSession`, `Column`, `QueryError`, `QueryStatusInfo`, `StatementClient`, and others related to handling queries and sessions in Presto. The complexity is O(N), indicating that it processes data linearly based on</t>
        </is>
      </c>
      <c r="E1369" t="n">
        <v>0.0036</v>
      </c>
      <c r="F1369" t="n">
        <v>0.0333</v>
      </c>
      <c r="G1369" t="n">
        <v>0.0813</v>
      </c>
      <c r="H1369" t="inlineStr">
        <is>
          <t>The repository contains backend software components that implement core algorithms. The complexity is O(N), indicating linear time complexity, which means the performance increases proportionally with the size of the input data. The README provides information about the license, package name, and purpose of the repository.</t>
        </is>
      </c>
      <c r="I1369" t="n">
        <v>0.0054</v>
      </c>
      <c r="J1369" t="n">
        <v>0.1481</v>
      </c>
      <c r="K1369" t="n">
        <v>0.2698</v>
      </c>
      <c r="L1369" t="inlineStr">
        <is>
          <t>The provided code implements a test suite for Presto SQL queries using the Airflow library. It includes functionalities such as executing queries, handling query errors, monitoring query status, and parsing JSON responses from the Presto client. The code uses annotations like `@Test` to define individual test cases within the class.</t>
        </is>
      </c>
      <c r="M1369" t="n">
        <v>0.0044</v>
      </c>
      <c r="N1369" t="n">
        <v>0.1034</v>
      </c>
      <c r="O1369" t="n">
        <v>0.123</v>
      </c>
    </row>
    <row r="1370">
      <c r="A1370" t="inlineStr">
        <is>
          <t>presto</t>
        </is>
      </c>
      <c r="B1370" t="inlineStr">
        <is>
          <t>presto-tests/src/main/java/com/facebook/presto/tests/CustomRank.java</t>
        </is>
      </c>
      <c r="C1370">
        <f>HYPERLINK("https://github.com/prestodb/presto/blob/master/presto-tests/src/main/java/com/facebook/presto/tests/CustomRank.java")</f>
        <v/>
      </c>
      <c r="D1370" t="inlineStr">
        <is>
          <t>The `CustomRank` class implements a custom ranking window function in Presto, which assigns ranks based on a specified order within a window. The function takes a block builder as input and returns a bigint value representing the rank. It uses a simple counter (`ra`) to keep track of the current rank during processing. The complexity of the implementation is O(N), where N is the number of elements processed</t>
        </is>
      </c>
      <c r="E1370" t="n">
        <v>0.0032</v>
      </c>
      <c r="F1370" t="n">
        <v>0.0779</v>
      </c>
      <c r="G1370" t="n">
        <v>0.1071</v>
      </c>
      <c r="H1370" t="inlineStr">
        <is>
          <t>This repository contains backend software components that implement core algorithms. The complexity of these implementations is O(N), indicating they process data linearly relative to its size. The comments provide details about the implementation's purpose and structure. The commits indicate the initial creation of the codebase. The total code size is 1000 lines.</t>
        </is>
      </c>
      <c r="I1370" t="n">
        <v>0.005</v>
      </c>
      <c r="J1370" t="n">
        <v>0.1613</v>
      </c>
      <c r="K1370" t="n">
        <v>0.2016</v>
      </c>
      <c r="L1370" t="inlineStr">
        <is>
          <t>This Java class implements a custom ranking window function named `custom_rank` that returns a bigint value representing the rank of each row within a partition based on a specified order. The function uses a block builder to construct the result and operates over rows in a window defined by the input parameters.</t>
        </is>
      </c>
      <c r="M1370" t="n">
        <v>0.0046</v>
      </c>
      <c r="N1370" t="n">
        <v>0.1311</v>
      </c>
      <c r="O1370" t="n">
        <v>0.1613</v>
      </c>
    </row>
    <row r="1371">
      <c r="A1371" t="inlineStr">
        <is>
          <t>presto</t>
        </is>
      </c>
      <c r="B1371" t="inlineStr">
        <is>
          <t>presto-tests/src/main/java/com/facebook/presto/tests/H2ConnectionModule.java</t>
        </is>
      </c>
      <c r="C1371">
        <f>HYPERLINK("https://github.com/prestodb/presto/blob/master/presto-tests/src/main/java/com/facebook/presto/tests/H2ConnectionModule.java")</f>
        <v/>
      </c>
      <c r="D1371" t="inlineStr">
        <is>
          <t>The code defines a Guice module that configures dependencies related to MySQL function namespaces for Presto. It includes bindings for `FunctionNamespaceDao` and `MySqlFunctionNamespaceManagerConfig`, as well as a predestroy method to clean up resources when the injector is destroyed. The complexity is O(1) due to its straightforward dependency injection setup.</t>
        </is>
      </c>
      <c r="E1371" t="n">
        <v>0.0045</v>
      </c>
      <c r="F1371" t="n">
        <v>0.1034</v>
      </c>
      <c r="G1371" t="n">
        <v>0.124</v>
      </c>
      <c r="H1371" t="inlineStr">
        <is>
          <t>This repository contains backend software components that implement core algorithms using Google Guice dependency injection framework. The complexity of the implementation is O(N), where N represents the number of dependencies injected into the system.</t>
        </is>
      </c>
      <c r="I1371" t="n">
        <v>0.0072</v>
      </c>
      <c r="J1371" t="n">
        <v>0.186</v>
      </c>
      <c r="K1371" t="n">
        <v>0.2358</v>
      </c>
      <c r="L1371" t="inlineStr">
        <is>
          <t>This Java code defines a Guice module that configures dependencies for Presto's MySQL function namespace manager. It includes bindings for `MySqlFunctionNamespaceManagerConfig`, `FunctionNamespaceDao`, and other related classes, ensuring proper initialization and cleanup during application lifecycle. The module uses annotations like `@PreDestroy` to manage resources effectively.</t>
        </is>
      </c>
      <c r="M1371" t="n">
        <v>0.0055</v>
      </c>
      <c r="N1371" t="n">
        <v>0.1509</v>
      </c>
      <c r="O1371" t="n">
        <v>0.1724</v>
      </c>
    </row>
    <row r="1372">
      <c r="A1372" t="inlineStr">
        <is>
          <t>presto</t>
        </is>
      </c>
      <c r="B1372" t="inlineStr">
        <is>
          <t>presto-tests/src/main/java/com/facebook/presto/tests/H2ConnectionConfig.java</t>
        </is>
      </c>
      <c r="C1372">
        <f>HYPERLINK("https://github.com/prestodb/presto/blob/master/presto-tests/src/main/java/com/facebook/presto/tests/H2ConnectionConfig.java")</f>
        <v/>
      </c>
      <c r="D1372" t="inlineStr">
        <is>
          <t>The provided Java code defines a configuration class `H2ConnectionConfig` that allows setting the name of the database connection using the property `database-name`. The class uses the Airline library's `@Config` annotation to bind this property to the field `databaseName`. This setup enables dynamic configuration of the database connection name through environment variables or command-line arguments when running Presto tests.</t>
        </is>
      </c>
      <c r="E1372" t="n">
        <v>0.0031</v>
      </c>
      <c r="F1372" t="n">
        <v>0.029</v>
      </c>
      <c r="G1372" t="n">
        <v>0.0769</v>
      </c>
      <c r="H1372" t="inlineStr">
        <is>
          <t>The code defines a configuration class `H2ConnectionConfig` that allows setting the name of the database connection using a property named `database-name`. It includes comments explaining its purpose and usage, as well as metadata about its complexity and size.</t>
        </is>
      </c>
      <c r="I1372" t="n">
        <v>0.0049</v>
      </c>
      <c r="J1372" t="n">
        <v>0.0426</v>
      </c>
      <c r="K1372" t="n">
        <v>0.09089999999999999</v>
      </c>
      <c r="L1372" t="inlineStr">
        <is>
          <t>This Java class defines a configuration object for connecting to an H2 database using Presto. It includes a property `databaseName` that specifies the name of the database to connect to. The class uses the Airflow library's `@Config` annotation to bind the `databaseName` property to a configuration parameter named "database-name". The setter method returns the current instance of the class to allow chaining</t>
        </is>
      </c>
      <c r="M1372" t="n">
        <v>0.0029</v>
      </c>
      <c r="N1372" t="n">
        <v>0.0278</v>
      </c>
      <c r="O1372" t="n">
        <v>0.0746</v>
      </c>
    </row>
    <row r="1373">
      <c r="A1373" t="inlineStr">
        <is>
          <t>presto</t>
        </is>
      </c>
      <c r="B1373" t="inlineStr">
        <is>
          <t>presto-tests/src/main/java/com/facebook/presto/tests/AbstractTestOrderByQueries.java</t>
        </is>
      </c>
      <c r="C1373">
        <f>HYPERLINK("https://github.com/prestodb/presto/blob/master/presto-tests/src/main/java/com/facebook/presto/tests/AbstractTestOrderByQueries.java")</f>
        <v/>
      </c>
      <c r="D1373" t="inlineStr">
        <is>
          <t>The provided code is part of a test suite for Presto, a columnar processing engine used for big data analytics. It includes tests that verify the correctness of various SQL queries executed against Presto's distributed system. The code uses TestNG annotations to define test cases, which involve setting up sessions with different configurations such as `DISTRIBUTED_SORT` and `EXPLOIT_CONSTRAINTS`. Each</t>
        </is>
      </c>
      <c r="E1373" t="n">
        <v>0.0031</v>
      </c>
      <c r="F1373" t="n">
        <v>0.0286</v>
      </c>
      <c r="G1373" t="n">
        <v>0.07630000000000001</v>
      </c>
      <c r="H1373" t="inlineStr">
        <is>
          <t>The code implements core algorithms for backend software components. It includes test cases using TestNG annotations and uses MaterializedResults from Presto testing framework. The complexity is O(N), indicating linear time complexity.</t>
        </is>
      </c>
      <c r="I1373" t="n">
        <v>0.0152</v>
      </c>
      <c r="J1373" t="n">
        <v>0.15</v>
      </c>
      <c r="K1373" t="n">
        <v>0.3612</v>
      </c>
      <c r="L1373" t="inlineStr">
        <is>
          <t>This Java test suite uses TestNG annotations to define tests that verify Presto's query execution capabilities. The `MaterializedResult` class is used to store and compare expected results from queries executed against a Presto session. Key configurations such as `DISTRIBUTED_SORT` and `EXPLOIT_CONSTRAINTS` are set to influence how data is sorted and processed during testing. Each test method executes</t>
        </is>
      </c>
      <c r="M1373" t="n">
        <v>0.0038</v>
      </c>
      <c r="N1373" t="n">
        <v>0.0588</v>
      </c>
      <c r="O1373" t="n">
        <v>0.1163</v>
      </c>
    </row>
    <row r="1374">
      <c r="A1374" t="inlineStr">
        <is>
          <t>presto</t>
        </is>
      </c>
      <c r="B1374" t="inlineStr">
        <is>
          <t>presto-tests/src/main/java/com/facebook/presto/tests/TestingPrestoClient.java</t>
        </is>
      </c>
      <c r="C1374">
        <f>HYPERLINK("https://github.com/prestodb/presto/blob/master/presto-tests/src/main/java/com/facebook/presto/tests/TestingPrestoClient.java")</f>
        <v/>
      </c>
      <c r="D1374" t="inlineStr">
        <is>
          <t>The provided code is part of a Presto database system test suite. It includes classes and methods for executing queries against a Presto cluster using the Presto client library. The code handles various data types such as `IntervalDayTime`, `IntervalYearMonth`, and arrays, and it uses session objects to manage transactions. The complexity of the implementation is O(N), where N represents the number of operations</t>
        </is>
      </c>
      <c r="E1374" t="n">
        <v>0.0029</v>
      </c>
      <c r="F1374" t="n">
        <v>0.0278</v>
      </c>
      <c r="G1374" t="n">
        <v>0.1111</v>
      </c>
      <c r="H1374" t="inlineStr">
        <is>
          <t>The code implements core algorithms for Presto, a columnar processing engine used for big data analytics. It includes classes such as `Session`, `IntervalDayTime`, `IntervalYearMonth`, `QueryData`, `QueryStatusInfo`, `TransactionId`, `ArrayType`, and `BigintEnumType`. The complexity is O(N), indicating that it processes data linearly based on input size.</t>
        </is>
      </c>
      <c r="I1374" t="n">
        <v>0.0098</v>
      </c>
      <c r="J1374" t="n">
        <v>0.1132</v>
      </c>
      <c r="K1374" t="n">
        <v>0.2721</v>
      </c>
      <c r="L1374" t="inlineStr">
        <is>
          <t>This Java package contains tests for Presto SQL queries, focusing on session management, interval handling, query execution status, transaction IDs, array types, and bigint enums. The code uses the Presto client library to interact with Presto databases and perform various test cases related to these functionalities.</t>
        </is>
      </c>
      <c r="M1374" t="n">
        <v>0.0048</v>
      </c>
      <c r="N1374" t="n">
        <v>0.0741</v>
      </c>
      <c r="O1374" t="n">
        <v>0.1271</v>
      </c>
    </row>
    <row r="1375">
      <c r="A1375" t="inlineStr">
        <is>
          <t>presto</t>
        </is>
      </c>
      <c r="B1375" t="inlineStr">
        <is>
          <t>presto-tests/src/main/java/com/facebook/presto/tests/ResultsSession.java</t>
        </is>
      </c>
      <c r="C1375">
        <f>HYPERLINK("https://github.com/prestodb/presto/blob/master/presto-tests/src/main/java/com/facebook/presto/tests/ResultsSession.java")</f>
        <v/>
      </c>
      <c r="D1375" t="inlineStr">
        <is>
          <t>The provided Java code defines an `ResultsSession` interface that represents a session for managing query results in a Presto database system. It includes methods for setting update information and retrieving various types of data such as query status, warnings, and updates. The interface extends several interfaces from the Presto client library and uses annotations like `@Nullable`. The complexity of the implementation is O(N), indicating linear time</t>
        </is>
      </c>
      <c r="E1375" t="n">
        <v>0.0028</v>
      </c>
      <c r="F1375" t="n">
        <v>0.0267</v>
      </c>
      <c r="G1375" t="n">
        <v>0.1087</v>
      </c>
      <c r="H1375" t="inlineStr">
        <is>
          <t>This repository contains backend software components that implement core algorithms. The complexity of these implementations is O(N), indicating linear time complexity relative to the size of the input data.</t>
        </is>
      </c>
      <c r="I1375" t="n">
        <v>0.008500000000000001</v>
      </c>
      <c r="J1375" t="n">
        <v>0.2105</v>
      </c>
      <c r="K1375" t="n">
        <v>0.198</v>
      </c>
      <c r="L1375" t="inlineStr">
        <is>
          <t>The `ResultsSession` interface defines methods for managing query results and updates in Presto, including setting update information, handling warnings, and retrieving query status and data. It provides a framework for tracking progress and outcomes during database queries.</t>
        </is>
      </c>
      <c r="M1375" t="n">
        <v>0.005</v>
      </c>
      <c r="N1375" t="n">
        <v>0.0444</v>
      </c>
      <c r="O1375" t="n">
        <v>0.0459</v>
      </c>
    </row>
    <row r="1376">
      <c r="A1376" t="inlineStr">
        <is>
          <t>presto</t>
        </is>
      </c>
      <c r="B1376" t="inlineStr">
        <is>
          <t>presto-tests/src/main/java/com/facebook/presto/tests/AbstractTestDistributedQueries.java</t>
        </is>
      </c>
      <c r="C1376">
        <f>HYPERLINK("https://github.com/prestodb/presto/blob/master/presto-tests/src/main/java/com/facebook/presto/tests/AbstractTestDistributedQueries.java")</f>
        <v/>
      </c>
      <c r="D1376" t="inlineStr">
        <is>
          <t>The provided code is part of Presto, a columnar processing engine designed for big data analytics. It includes classes and methods related to query execution and management within Presto's system session properties. The `SystemSessionProperties` class manages various configuration settings that affect how queries run, such as timeouts and memory limits. The `DispatchManager` handles distributing incoming queries across available worker nodes, while the `</t>
        </is>
      </c>
      <c r="E1376" t="n">
        <v>0.0029</v>
      </c>
      <c r="F1376" t="n">
        <v>0.0282</v>
      </c>
      <c r="G1376" t="n">
        <v>0.0741</v>
      </c>
      <c r="H1376" t="inlineStr">
        <is>
          <t>The repository contains backend software components that implement core algorithms. The complexity of these implementations is O(N), indicating linear time complexity relative to the size of the input data. The code base has been initialized with a single commit.</t>
        </is>
      </c>
      <c r="I1376" t="n">
        <v>0.0056</v>
      </c>
      <c r="J1376" t="n">
        <v>0.125</v>
      </c>
      <c r="K1376" t="n">
        <v>0.1351</v>
      </c>
      <c r="L1376" t="inlineStr">
        <is>
          <t>The provided code implements tests for Presto's query execution system, focusing on verifying that queries run correctly within specified time limits and handling various session properties. It uses assertions to ensure expected outcomes based on test cases. The code includes methods for setting up sessions, executing queries, and checking query results against expected values.</t>
        </is>
      </c>
      <c r="M1376" t="n">
        <v>0.004</v>
      </c>
      <c r="N1376" t="n">
        <v>0.0635</v>
      </c>
      <c r="O1376" t="n">
        <v>0.119</v>
      </c>
    </row>
    <row r="1377">
      <c r="A1377" t="inlineStr">
        <is>
          <t>presto</t>
        </is>
      </c>
      <c r="B1377" t="inlineStr">
        <is>
          <t>presto-tests/src/main/java/com/facebook/presto/tests/TestingCoordinatorPlugin.java</t>
        </is>
      </c>
      <c r="C1377">
        <f>HYPERLINK("https://github.com/prestodb/presto/blob/master/presto-tests/src/main/java/com/facebook/presto/tests/TestingCoordinatorPlugin.java")</f>
        <v/>
      </c>
      <c r="D1377" t="inlineStr">
        <is>
          <t>The provided Java code defines a `TestingCoordinatorPlugin` class that implements the `CoordinatorPlugin` interface from the Presto database system. This plugin does not provide any actual implementation of function namespace manager factories but instead throws a runtime exception when called. The purpose seems to be testing or demonstration purposes, as it lacks functional logic related to managing functions within a Presto cluster.</t>
        </is>
      </c>
      <c r="E1377" t="n">
        <v>0.0036</v>
      </c>
      <c r="F1377" t="n">
        <v>0.1159</v>
      </c>
      <c r="G1377" t="n">
        <v>0.1128</v>
      </c>
      <c r="H1377" t="inlineStr">
        <is>
          <t>The code provides a Java implementation of a Presto coordinator plugin, which includes a method to retrieve function namespace manager factories. The README describes it as part of a larger project containing backend software components, implementing core algorithms, and has a complexity of O(N). It also mentions the size of the codebase as 1000 lines.</t>
        </is>
      </c>
      <c r="I1377" t="n">
        <v>0.0044</v>
      </c>
      <c r="J1377" t="n">
        <v>0.125</v>
      </c>
      <c r="K1377" t="n">
        <v>0.2929</v>
      </c>
      <c r="L1377" t="inlineStr">
        <is>
          <t>The `TestingCoordinatorPlugin` class extends `CoordinatorPlugin`, implementing the necessary methods to manage function namespaces within Presto's coordinator layer. It includes a method `getFunctionNamespaceManagerFactories()` which throws a runtime exception indicating that the plugin has been called. The implementation complexity is O(1), as it involves a simple conditional check and exception handling. The code size is 1000</t>
        </is>
      </c>
      <c r="M1377" t="n">
        <v>0.0034</v>
      </c>
      <c r="N1377" t="n">
        <v>0.09379999999999999</v>
      </c>
      <c r="O1377" t="n">
        <v>0.119</v>
      </c>
    </row>
    <row r="1378">
      <c r="A1378" t="inlineStr">
        <is>
          <t>presto</t>
        </is>
      </c>
      <c r="B1378" t="inlineStr">
        <is>
          <t>presto-tests/src/main/java/com/facebook/presto/tests/QueryAssertions.java</t>
        </is>
      </c>
      <c r="C1378">
        <f>HYPERLINK("https://github.com/prestodb/presto/blob/master/presto-tests/src/main/java/com/facebook/presto/tests/QueryAssertions.java")</f>
        <v/>
      </c>
      <c r="D1378" t="inlineStr">
        <is>
          <t>The provided code defines a class `ExpectedQueryRunner` within the package `com.facebook.presto.tests`. This class appears to be part of Presto's testing framework, designed to facilitate running expected queries against a Presto cluster. The class includes methods for executing SQL queries, managing sessions, and handling warnings during query execution. It leverages various utilities from libraries like Airflow and Presto itself</t>
        </is>
      </c>
      <c r="E1378" t="n">
        <v>0.0037</v>
      </c>
      <c r="F1378" t="n">
        <v>0.0571</v>
      </c>
      <c r="G1378" t="n">
        <v>0.1154</v>
      </c>
      <c r="H1378" t="inlineStr">
        <is>
          <t>The code implements core algorithms for a backend software component. It includes comments explaining its implementation and complexity analysis. The README provides information about the repository's contents and structure.</t>
        </is>
      </c>
      <c r="I1378" t="n">
        <v>0.0163</v>
      </c>
      <c r="J1378" t="n">
        <v>0.1579</v>
      </c>
      <c r="K1378" t="n">
        <v>0.3125</v>
      </c>
      <c r="L1378" t="inlineStr">
        <is>
          <t>The code provides a framework for testing Presto SQL queries using `ExpectedQueryRunner`. It includes methods for executing queries, asserting results, and managing transactions. The implementation complexity is O(N), where N represents the number of test cases.</t>
        </is>
      </c>
      <c r="M1378" t="n">
        <v>0.0052</v>
      </c>
      <c r="N1378" t="n">
        <v>0.0444</v>
      </c>
      <c r="O1378" t="n">
        <v>0.1389</v>
      </c>
    </row>
    <row r="1379">
      <c r="A1379" t="inlineStr">
        <is>
          <t>presto</t>
        </is>
      </c>
      <c r="B1379" t="inlineStr">
        <is>
          <t>presto-tests/src/main/java/com/facebook/presto/tests/CustomSum.java</t>
        </is>
      </c>
      <c r="C1379">
        <f>HYPERLINK("https://github.com/prestodb/presto/blob/master/presto-tests/src/main/java/com/facebook/presto/tests/CustomSum.java")</f>
        <v/>
      </c>
      <c r="D1379" t="inlineStr">
        <is>
          <t>The provided code defines an aggregation function in Presto that calculates the sum of bigint values using a stateful approach. It includes methods for initializing the state, adding new values, combining states from multiple inputs, and finalizing the result. The implementation uses a `NullableLongState` to store intermediate results during aggregation.</t>
        </is>
      </c>
      <c r="E1379" t="n">
        <v>0.0037</v>
      </c>
      <c r="F1379" t="n">
        <v>0.06900000000000001</v>
      </c>
      <c r="G1379" t="n">
        <v>0.1639</v>
      </c>
      <c r="H1379" t="inlineStr">
        <is>
          <t>This repository contains backend software components that implement core algorithms. The complexity of these implementations is O(N), indicating linear time performance relative to the input size. The code size is 1000 lines, making it relatively large but focused on providing essential functionalities.</t>
        </is>
      </c>
      <c r="I1379" t="n">
        <v>0.0058</v>
      </c>
      <c r="J1379" t="n">
        <v>0.1961</v>
      </c>
      <c r="K1379" t="n">
        <v>0.1754</v>
      </c>
      <c r="L1379" t="inlineStr">
        <is>
          <t>This Java class provides Presto SQL aggregation functions that compute various statistical measures such as sum, average, count, minimum, maximum, and variance. The implementation uses stateful objects (`NullableLongState`) to accumulate intermediate results during the aggregation process. The `CombineFunc` method merges two states, while the `OutputFunc` method writes the aggregated result into a block builder. The code is designed to</t>
        </is>
      </c>
      <c r="M1379" t="n">
        <v>0.0037</v>
      </c>
      <c r="N1379" t="n">
        <v>0.0896</v>
      </c>
      <c r="O1379" t="n">
        <v>0.1527</v>
      </c>
    </row>
    <row r="1380">
      <c r="A1380" t="inlineStr">
        <is>
          <t>presto</t>
        </is>
      </c>
      <c r="B1380" t="inlineStr">
        <is>
          <t>presto-tests/src/main/java/com/facebook/presto/tests/TestingProcedures.java</t>
        </is>
      </c>
      <c r="C1380">
        <f>HYPERLINK("https://github.com/prestodb/presto/blob/master/presto-tests/src/main/java/com/facebook/presto/tests/TestingProcedures.java")</f>
        <v/>
      </c>
      <c r="D1380" t="inlineStr">
        <is>
          <t>The provided code defines a `Procedure` class that implements a custom Presto procedure using Java's MethodHandles API. The procedure takes two arguments: a string and an integer, and returns no value. It uses reflection to invoke a method based on the input parameters. This implementation is part of a larger system designed for testing purposes within Facebook's Presto database engine.</t>
        </is>
      </c>
      <c r="E1380" t="n">
        <v>0.004</v>
      </c>
      <c r="F1380" t="n">
        <v>0.0571</v>
      </c>
      <c r="G1380" t="n">
        <v>0.1515</v>
      </c>
      <c r="H1380" t="inlineStr">
        <is>
          <t>This repository contains backend software components implementing core algorithms. The complexity of the implementation is O(N), indicating that it scales linearly with input size.</t>
        </is>
      </c>
      <c r="I1380" t="n">
        <v>0.0104</v>
      </c>
      <c r="J1380" t="n">
        <v>0.2424</v>
      </c>
      <c r="K1380" t="n">
        <v>0.2083</v>
      </c>
      <c r="L1380" t="inlineStr">
        <is>
          <t>This Java class implements a Presto procedure that allows users to execute SQL queries within a session using a specified connector. The procedure takes a `ConnectorSession` object and a list of arguments representing the query parameters. It uses reflection to invoke the appropriate method from the connector's implementation to execute the query and return the results as a `PrestoResult`. If any exceptions occur during execution, they are</t>
        </is>
      </c>
      <c r="M1380" t="n">
        <v>0.0036</v>
      </c>
      <c r="N1380" t="n">
        <v>0.0789</v>
      </c>
      <c r="O1380" t="n">
        <v>0.1439</v>
      </c>
    </row>
    <row r="1381">
      <c r="A1381" t="inlineStr">
        <is>
          <t>presto</t>
        </is>
      </c>
      <c r="B1381" t="inlineStr">
        <is>
          <t>presto-tests/src/main/java/com/facebook/presto/tests/AbstractTestIndexedQueries.java</t>
        </is>
      </c>
      <c r="C1381">
        <f>HYPERLINK("https://github.com/prestodb/presto/blob/master/presto-tests/src/main/java/com/facebook/presto/tests/AbstractTestIndexedQueries.java")</f>
        <v/>
      </c>
      <c r="D1381" t="inlineStr">
        <is>
          <t>The provided code is part of a test suite for Presto, a columnar processing engine used for big data analytics. It includes tests that verify the correctness of various SQL queries against a TPC-H database schema. The code uses TestNG annotations to define test cases and interacts with Presto's session management and query execution capabilities. The `TpchIndexSpec` class is used to specify indexing strategies</t>
        </is>
      </c>
      <c r="E1381" t="n">
        <v>0.0028</v>
      </c>
      <c r="F1381" t="n">
        <v>0.027</v>
      </c>
      <c r="G1381" t="n">
        <v>0.0735</v>
      </c>
      <c r="H1381" t="inlineStr">
        <is>
          <t>The repository contains backend software components implementing core algorithms. The complexity is O(N), indicating linear time performance.</t>
        </is>
      </c>
      <c r="I1381" t="n">
        <v>0.0137</v>
      </c>
      <c r="J1381" t="n">
        <v>0.2308</v>
      </c>
      <c r="K1381" t="n">
        <v>0.2871</v>
      </c>
      <c r="L1381" t="inlineStr">
        <is>
          <t>This Java test suite uses Presto's testing framework to verify the correctness of TPC-H queries against a materialized view index. It includes tests that check various join conditions and ensures data integrity across different tables in the TPC-H schema. The tests utilize the `TpchIndexSpec` builder to define indexing strategies and validate query results using `MaterializedResult`.</t>
        </is>
      </c>
      <c r="M1381" t="n">
        <v>0.004</v>
      </c>
      <c r="N1381" t="n">
        <v>0.0606</v>
      </c>
      <c r="O1381" t="n">
        <v>0.1181</v>
      </c>
    </row>
    <row r="1382">
      <c r="A1382" t="inlineStr">
        <is>
          <t>presto</t>
        </is>
      </c>
      <c r="B1382" t="inlineStr">
        <is>
          <t>presto-tests/src/main/java/com/facebook/presto/tests/AbstractTestEngineOnlyQueries.java</t>
        </is>
      </c>
      <c r="C1382">
        <f>HYPERLINK("https://github.com/prestodb/presto/blob/master/presto-tests/src/main/java/com/facebook/presto/tests/AbstractTestEngineOnlyQueries.java")</f>
        <v/>
      </c>
      <c r="D1382" t="inlineStr">
        <is>
          <t>The provided Java code defines test cases using TestNG for Presto SQL queries. It includes tests for various date-time operations such as `LocalDate`, `LocalDateTime`, `LocalTime`, `OffsetTime`, `ZonedDateTime`, and `TimeZoneKey`. The code uses annotations from IntelliJ IDEA for language support and comments explaining its purpose and implementation details. The complexity is O(N) due to potential loop</t>
        </is>
      </c>
      <c r="E1382" t="n">
        <v>0.0033</v>
      </c>
      <c r="F1382" t="n">
        <v>0.0308</v>
      </c>
      <c r="G1382" t="n">
        <v>0.1181</v>
      </c>
      <c r="H1382" t="inlineStr">
        <is>
          <t>The repository contains backend software components implementing core algorithms. The complexity is O(N), indicating linear time complexity. The README provides information about the license and structure of the project.</t>
        </is>
      </c>
      <c r="I1382" t="n">
        <v>0.008500000000000001</v>
      </c>
      <c r="J1382" t="n">
        <v>0.2105</v>
      </c>
      <c r="K1382" t="n">
        <v>0.3125</v>
      </c>
      <c r="L1382" t="inlineStr">
        <is>
          <t>This Java test suite uses TestNG annotations to define tests that verify Presto SQL queries against various data types such as LocalDate, LocalDateTime, LocalTime, OffsetTime, ZoneId, TimeZoneKey, ZonedDateTime, and DateTimeFormatter. The tests ensure correctness across different time zones and date formats.</t>
        </is>
      </c>
      <c r="M1382" t="n">
        <v>0.0054</v>
      </c>
      <c r="N1382" t="n">
        <v>0.08160000000000001</v>
      </c>
      <c r="O1382" t="n">
        <v>0.1327</v>
      </c>
    </row>
    <row r="1383">
      <c r="A1383" t="inlineStr">
        <is>
          <t>presto</t>
        </is>
      </c>
      <c r="B1383" t="inlineStr">
        <is>
          <t>presto-tests/src/main/java/com/facebook/presto/tests/AbstractTestVerboseMemoryExceededErrors.java</t>
        </is>
      </c>
      <c r="C1383">
        <f>HYPERLINK("https://github.com/prestodb/presto/blob/master/presto-tests/src/main/java/com/facebook/presto/tests/AbstractTestVerboseMemoryExceededErrors.java")</f>
        <v/>
      </c>
      <c r="D1383" t="inlineStr">
        <is>
          <t>The provided Java code snippet appears to be part of a test suite for Presto, a columnar processing engine used for big data analytics. The code includes several classes and methods that are likely related to testing various operators within Presto's query execution framework:
1. **Session**: Represents the session context for executing queries, including configuration settings and user information.
2. **HashAggregationOperator** and</t>
        </is>
      </c>
      <c r="E1383" t="n">
        <v>0.0029</v>
      </c>
      <c r="F1383" t="n">
        <v>0.0282</v>
      </c>
      <c r="G1383" t="n">
        <v>0.0746</v>
      </c>
      <c r="H1383" t="inlineStr">
        <is>
          <t>The code implements core algorithms for Presto's backend system, which includes session management, hash aggregation operators, hash builder operators, task memory reservation summaries, window operators, and test annotations. The complexity is O(N), indicating that it processes data linearly based on input size.</t>
        </is>
      </c>
      <c r="I1383" t="n">
        <v>0.0103</v>
      </c>
      <c r="J1383" t="n">
        <v>0.1154</v>
      </c>
      <c r="K1383" t="n">
        <v>0.2242</v>
      </c>
      <c r="L1383" t="inlineStr">
        <is>
          <t>This Java test suite uses TestNG annotations to define tests that verify various aspects of Presto's query execution pipeline, including hash aggregation, window functions, and task memory reservations. The tests utilize classes like `Session`, `HashAggregationOperator`, `HashBuilderOperator`, `TaskMemoryReservationSummary`, and `WindowOperator` from the Presto project. The tests aim to ensure correctness and performance of</t>
        </is>
      </c>
      <c r="M1383" t="n">
        <v>0.0042</v>
      </c>
      <c r="N1383" t="n">
        <v>0.0984</v>
      </c>
      <c r="O1383" t="n">
        <v>0.121</v>
      </c>
    </row>
    <row r="1384">
      <c r="A1384" t="inlineStr">
        <is>
          <t>presto</t>
        </is>
      </c>
      <c r="B1384" t="inlineStr">
        <is>
          <t>presto-tests/src/main/java/com/facebook/presto/tests/AbstractTestWindowQueries.java</t>
        </is>
      </c>
      <c r="C1384">
        <f>HYPERLINK("https://github.com/prestodb/presto/blob/master/presto-tests/src/main/java/com/facebook/presto/tests/AbstractTestWindowQueries.java")</f>
        <v/>
      </c>
      <c r="D1384" t="inlineStr">
        <is>
          <t>The code defines test cases for Presto SQL queries using TestNG annotations. It includes methods that execute various SQL queries and compare their results against expected MaterializedResults. The tests cover different data types such as BIGINT, DOUBLE, and VARCHAR, ensuring comprehensive testing of Presto's query execution capabilities.</t>
        </is>
      </c>
      <c r="E1384" t="n">
        <v>0.0039</v>
      </c>
      <c r="F1384" t="n">
        <v>0.0357</v>
      </c>
      <c r="G1384" t="n">
        <v>0.08400000000000001</v>
      </c>
      <c r="H1384" t="inlineStr">
        <is>
          <t>This repository contains backend software components that implement core algorithms. The complexity of these implementations is O(N), indicating linear time complexity relative to the input size. The README provides information about the license, package structure, and test suite used for verifying the correctness of the implemented algorithms. The total code size is 1000 lines.</t>
        </is>
      </c>
      <c r="I1384" t="n">
        <v>0.0048</v>
      </c>
      <c r="J1384" t="n">
        <v>0.1587</v>
      </c>
      <c r="K1384" t="n">
        <v>0.2381</v>
      </c>
      <c r="L1384" t="inlineStr">
        <is>
          <t>This Java test suite uses TestNG annotations to define tests that verify Presto's query execution capabilities. It includes methods that execute SQL queries against Presto clusters using MaterializedResults to compare expected outcomes with actual results. The tests cover various data types such as BIGINT, DOUBLE, VARCHAR, and others, ensuring comprehensive testing of Presto's query processing and result handling functionalities.</t>
        </is>
      </c>
      <c r="M1384" t="n">
        <v>0.0037</v>
      </c>
      <c r="N1384" t="n">
        <v>0.058</v>
      </c>
      <c r="O1384" t="n">
        <v>0.1145</v>
      </c>
    </row>
    <row r="1385">
      <c r="A1385" t="inlineStr">
        <is>
          <t>presto</t>
        </is>
      </c>
      <c r="B1385" t="inlineStr">
        <is>
          <t>presto-tests/src/main/java/com/facebook/presto/tests/H2FunctionNamespaceManagerFactory.java</t>
        </is>
      </c>
      <c r="C1385">
        <f>HYPERLINK("https://github.com/prestodb/presto/blob/master/presto-tests/src/main/java/com/facebook/presto/tests/H2FunctionNamespaceManagerFactory.java")</f>
        <v/>
      </c>
      <c r="D1385" t="inlineStr">
        <is>
          <t>The provided code is part of a Presto testing framework that includes modules for setting up a Drift client, managing MySQL function namespaces, and executing SQL functions using simple addresses. The code is licensed under the Apache License 2.0. It appears to be used for integration tests within the Presto project.</t>
        </is>
      </c>
      <c r="E1385" t="n">
        <v>0.0036</v>
      </c>
      <c r="F1385" t="n">
        <v>0.1</v>
      </c>
      <c r="G1385" t="n">
        <v>0.122</v>
      </c>
      <c r="H1385" t="inlineStr">
        <is>
          <t>This repository contains backend software components that implement core algorithms. The complexity is O(N), indicating linear time complexity. The README provides information about the license and copyright, as well as details about the project's structure and purpose. The code size is 1000 lines.</t>
        </is>
      </c>
      <c r="I1385" t="n">
        <v>0.0061</v>
      </c>
      <c r="J1385" t="n">
        <v>0.1887</v>
      </c>
      <c r="K1385" t="n">
        <v>0.3235</v>
      </c>
      <c r="L1385" t="inlineStr">
        <is>
          <t>The provided code is part of a Presto testing framework that initializes various modules necessary for running tests against MySQL function namespaces using Thrift-based communication over Netty. The code sets up dependencies such as `DriftNettyClientModule` for network transport, `SimpleAddressSqlFunctionExecutorsModule` for executing SQL functions, and `MySqlFunctionNamespaceManagerModule` specifically for managing MySQL function namespaces</t>
        </is>
      </c>
      <c r="M1385" t="n">
        <v>0.0036</v>
      </c>
      <c r="N1385" t="n">
        <v>0.1</v>
      </c>
      <c r="O1385" t="n">
        <v>0.122</v>
      </c>
    </row>
    <row r="1386">
      <c r="A1386" t="inlineStr">
        <is>
          <t>presto</t>
        </is>
      </c>
      <c r="B1386" t="inlineStr">
        <is>
          <t>presto-tests/src/main/java/com/facebook/presto/tests/AbstractTestRepartitionQueries.java</t>
        </is>
      </c>
      <c r="C1386">
        <f>HYPERLINK("https://github.com/prestodb/presto/blob/master/presto-tests/src/main/java/com/facebook/presto/tests/AbstractTestRepartitionQueries.java")</f>
        <v/>
      </c>
      <c r="D1386" t="inlineStr">
        <is>
          <t>The provided Java code defines an abstract test class `AbstractTestRepartitionQueries` that extends another abstract class `AbstractTestQueryFramework`. This class includes a single test method named `testBoolean`, which uses TestNG annotations to mark it as a test case. The test method executes a SQL query against Presto, specifically targeting a table named `lineitem_ex`. It then asserts that the result matches</t>
        </is>
      </c>
      <c r="E1386" t="n">
        <v>0.0031</v>
      </c>
      <c r="F1386" t="n">
        <v>0.0299</v>
      </c>
      <c r="G1386" t="n">
        <v>0.0769</v>
      </c>
      <c r="H1386" t="inlineStr">
        <is>
          <t>This repository contains backend software components that implement core algorithms. The complexity is O(N), indicating linear time complexity, which means the performance scales proportionally with the input size. The comments describe the implementation of these algorithms, while the commits indicate the initial creation of the codebase. The total code size is 1000 lines.</t>
        </is>
      </c>
      <c r="I1386" t="n">
        <v>0.0045</v>
      </c>
      <c r="J1386" t="n">
        <v>0.129</v>
      </c>
      <c r="K1386" t="n">
        <v>0.16</v>
      </c>
      <c r="L1386" t="inlineStr">
        <is>
          <t>This Java code defines an abstract test suite `AbstractTestRepartitionQueries` that extends another abstract class `AbstractTestQueryFramework`. The primary function of this class is to contain test cases related to repartitioning queries using TestNG annotations. It includes a single test method `testBoolean`, which uses assertions from TestNG to verify the correctness of query results involving boolean data types within a hypothetical database</t>
        </is>
      </c>
      <c r="M1386" t="n">
        <v>0.003</v>
      </c>
      <c r="N1386" t="n">
        <v>0.0588</v>
      </c>
      <c r="O1386" t="n">
        <v>0.07580000000000001</v>
      </c>
    </row>
    <row r="1387">
      <c r="A1387" t="inlineStr">
        <is>
          <t>presto</t>
        </is>
      </c>
      <c r="B1387" t="inlineStr">
        <is>
          <t>presto-tests/src/main/java/com/facebook/presto/tests/AbstractTestSqlInvokedFunctions.java</t>
        </is>
      </c>
      <c r="C1387">
        <f>HYPERLINK("https://github.com/prestodb/presto/blob/master/presto-tests/src/main/java/com/facebook/presto/tests/AbstractTestSqlInvokedFunctions.java")</f>
        <v/>
      </c>
      <c r="D1387" t="inlineStr">
        <is>
          <t>The provided code defines test cases using TestNG annotations for testing Presto system session properties related to key-based sampling. It includes methods to set up sessions with different configurations for based sampling enabled, function, and percentage, and then runs assertions to verify that these settings are correctly applied during query execution. The complexity of the implementation is O(1) as it involves setting simple boolean flags and percentages without any</t>
        </is>
      </c>
      <c r="E1387" t="n">
        <v>0.0026</v>
      </c>
      <c r="F1387" t="n">
        <v>0.0506</v>
      </c>
      <c r="G1387" t="n">
        <v>0.1064</v>
      </c>
      <c r="H1387" t="inlineStr">
        <is>
          <t>This repository contains backend software components implementing core algorithms. The complexity is O(N), indicating linear time performance relative to input size. The implementation includes comments explaining the purpose and functionality of each part of the code.</t>
        </is>
      </c>
      <c r="I1387" t="n">
        <v>0.0077</v>
      </c>
      <c r="J1387" t="n">
        <v>0.2222</v>
      </c>
      <c r="K1387" t="n">
        <v>0.2778</v>
      </c>
      <c r="L1387" t="inlineStr">
        <is>
          <t>The code provides test cases for Presto's system session properties related to based sampling, including enabling it, setting the sampling function, and configuring the percentage. It uses TestNG annotations to define tests that verify these configurations work as expected. The code size is 1000 lines, and comments indicate implementation of core algorithms.</t>
        </is>
      </c>
      <c r="M1387" t="n">
        <v>0.0042</v>
      </c>
      <c r="N1387" t="n">
        <v>0.06560000000000001</v>
      </c>
      <c r="O1387" t="n">
        <v>0.1613</v>
      </c>
    </row>
    <row r="1388">
      <c r="A1388" t="inlineStr">
        <is>
          <t>presto</t>
        </is>
      </c>
      <c r="B1388" t="inlineStr">
        <is>
          <t>presto-tests/src/main/java/com/facebook/presto/tests/AbstractTestNativeTpchConnectorQueries.java</t>
        </is>
      </c>
      <c r="C1388">
        <f>HYPERLINK("https://github.com/prestodb/presto/blob/master/presto-tests/src/main/java/com/facebook/presto/tests/AbstractTestNativeTpchConnectorQueries.java")</f>
        <v/>
      </c>
      <c r="D1388" t="inlineStr">
        <is>
          <t>The provided code defines an abstract base class `AbstractTestNativeTpchConnectorQueries` that extends another class `AbstractTestQueryFramework`. This class includes a method annotated with `@Test`, which tests various TPC-H tables using SQL queries against a native TPCH connector. The purpose of these tests is to ensure the correctness of data retrieval operations from the TPCH database schema.</t>
        </is>
      </c>
      <c r="E1388" t="n">
        <v>0.0034</v>
      </c>
      <c r="F1388" t="n">
        <v>0.0317</v>
      </c>
      <c r="G1388" t="n">
        <v>0.0794</v>
      </c>
      <c r="H1388" t="inlineStr">
        <is>
          <t>This repository contains backend software components that implement core algorithms. The complexity of these implementations is O(N), indicating linear time complexity relative to the size of the input data. The code base has been initialized with a single commit containing the initial implementation. The total size of the codebase is 1000 lines.</t>
        </is>
      </c>
      <c r="I1388" t="n">
        <v>0.0046</v>
      </c>
      <c r="J1388" t="n">
        <v>0.1311</v>
      </c>
      <c r="K1388" t="n">
        <v>0.1613</v>
      </c>
      <c r="L1388" t="inlineStr">
        <is>
          <t>This abstract test suite for Presto's native TPCH connector includes several tests that verify query performance against small-scale TPCH tables using TestNG annotations. The `testTpchTinyTables` method asserts the correctness of queries against various TPCH tables such as `customer`, `lineitem`, `orders`, and `nation`.</t>
        </is>
      </c>
      <c r="M1388" t="n">
        <v>0.0052</v>
      </c>
      <c r="N1388" t="n">
        <v>0.0769</v>
      </c>
      <c r="O1388" t="n">
        <v>0.1316</v>
      </c>
    </row>
    <row r="1389">
      <c r="A1389" t="inlineStr">
        <is>
          <t>presto</t>
        </is>
      </c>
      <c r="B1389" t="inlineStr">
        <is>
          <t>presto-tests/src/main/java/com/facebook/presto/tests/StandaloneQueryRunner.java</t>
        </is>
      </c>
      <c r="C1389">
        <f>HYPERLINK("https://github.com/prestodb/presto/blob/master/presto-tests/src/main/java/com/facebook/presto/tests/StandaloneQueryRunner.java")</f>
        <v/>
      </c>
      <c r="D1389" t="inlineStr">
        <is>
          <t>The code defines a class `TestUtils` within the package `com.facebook.presto.tests`. It includes methods for testing Presto-related functionalities such as session management, metadata retrieval, cost calculation, node information, and property handling. The implementation uses Airflow's testing utilities and Presto's internal classes like `Session`, `QualifiedObjectName`, `StatsCalculator`, `AllNodes`, `InternalNode</t>
        </is>
      </c>
      <c r="E1389" t="n">
        <v>0.004</v>
      </c>
      <c r="F1389" t="n">
        <v>0.0667</v>
      </c>
      <c r="G1389" t="n">
        <v>0.1271</v>
      </c>
      <c r="H1389" t="inlineStr">
        <is>
          <t>The code implements core algorithms for backend software components, using the Apache License version 2.0. It includes classes such as `Closeables`, `Session`, `QualifiedObjectName`, `StatsCalculator`, `AllNodes`, `InternalNode`, `Metadata`, and `SessionPropertyManager`. The complexity is O(N), indicating that it processes data linearly based on input size.</t>
        </is>
      </c>
      <c r="I1389" t="n">
        <v>0.0108</v>
      </c>
      <c r="J1389" t="n">
        <v>0.1132</v>
      </c>
      <c r="K1389" t="n">
        <v>0.3235</v>
      </c>
      <c r="L1389" t="inlineStr">
        <is>
          <t>The provided code is part of Presto's test suite, specifically focusing on testing query execution costs using various metadata and session configurations. It includes methods for calculating query statistics, retrieving node information, and managing sessions, all within the context of Presto's internal architecture. The code uses Airflow's `Closeables` utility for resource management and interacts with Presto's metadata system to perform cost calculations based</t>
        </is>
      </c>
      <c r="M1389" t="n">
        <v>0.0029</v>
      </c>
      <c r="N1389" t="n">
        <v>0.0267</v>
      </c>
      <c r="O1389" t="n">
        <v>0.0741</v>
      </c>
    </row>
    <row r="1390">
      <c r="A1390" t="inlineStr">
        <is>
          <t>presto</t>
        </is>
      </c>
      <c r="B1390" t="inlineStr">
        <is>
          <t>presto-tests/src/main/java/com/facebook/presto/tests/CustomStructWithoutPassthrough.java</t>
        </is>
      </c>
      <c r="C1390">
        <f>HYPERLINK("https://github.com/prestodb/presto/blob/master/presto-tests/src/main/java/com/facebook/presto/tests/CustomStructWithoutPassthrough.java")</f>
        <v/>
      </c>
      <c r="D1390" t="inlineStr">
        <is>
          <t>The provided Java code defines a Presto SQL function `CustomStructWithoutPassthrough` that takes two parameters: a block of rows (`Block`) and another block of rows (`Block`). The function returns a new block containing only those rows from the first input block where the corresponding row in the second input block matches a specified condition. This implementation does not pass through any data directly; instead, it filters</t>
        </is>
      </c>
      <c r="E1390" t="n">
        <v>0.0033</v>
      </c>
      <c r="F1390" t="n">
        <v>0.0548</v>
      </c>
      <c r="G1390" t="n">
        <v>0.146</v>
      </c>
      <c r="H1390" t="inlineStr">
        <is>
          <t>This repository contains backend software components that implement core algorithms. The complexity of these implementations is O(N), indicating linear time complexity relative to the input size. The code base includes comments explaining the implementation details and has been committed initially. The total code size is 1000 lines.</t>
        </is>
      </c>
      <c r="I1390" t="n">
        <v>0.0055</v>
      </c>
      <c r="J1390" t="n">
        <v>0.1786</v>
      </c>
      <c r="K1390" t="n">
        <v>0.2101</v>
      </c>
      <c r="L1390" t="inlineStr">
        <is>
          <t>The `CustomStructWithoutPassthrough` class provides a scalar function that takes two blocks as input and returns a new block containing custom struct data without passing through any intermediate transformations. The function uses type parameters to specify the structure of the output row.</t>
        </is>
      </c>
      <c r="M1390" t="n">
        <v>0.0045</v>
      </c>
      <c r="N1390" t="n">
        <v>0.08160000000000001</v>
      </c>
      <c r="O1390" t="n">
        <v>0.0885</v>
      </c>
    </row>
    <row r="1391">
      <c r="A1391" t="inlineStr">
        <is>
          <t>presto</t>
        </is>
      </c>
      <c r="B1391" t="inlineStr">
        <is>
          <t>presto-tests/src/main/java/com/facebook/presto/tests/StructuralTestUtil.java</t>
        </is>
      </c>
      <c r="C1391">
        <f>HYPERLINK("https://github.com/prestodb/presto/blob/master/presto-tests/src/main/java/com/facebook/presto/tests/StructuralTestUtil.java")</f>
        <v/>
      </c>
      <c r="D1391" t="inlineStr">
        <is>
          <t>The provided code is part of a Presto testing framework within Facebook's Presto database system. It includes utilities for creating test blocks and types, such as DecimalType, MapType, RowType, and StandardTypes. The complexity is O(N), indicating that it processes data linearly based on input size. The comments describe its implementation of core algorithms used in Presto tests.</t>
        </is>
      </c>
      <c r="E1391" t="n">
        <v>0.0038</v>
      </c>
      <c r="F1391" t="n">
        <v>0.0597</v>
      </c>
      <c r="G1391" t="n">
        <v>0.155</v>
      </c>
      <c r="H1391" t="inlineStr">
        <is>
          <t>Implements core algorithms for Presto's backend software components. Complexity depends on algorithm implementation.</t>
        </is>
      </c>
      <c r="I1391" t="n">
        <v>0.0185</v>
      </c>
      <c r="J1391" t="n">
        <v>0.1818</v>
      </c>
      <c r="K1391" t="n">
        <v>0.3007</v>
      </c>
      <c r="L1391" t="inlineStr">
        <is>
          <t>The provided code implements test utilities for Presto, a columnar storage engine used for big data processing. It includes methods for creating blocks of various types such as decimal, map, row, and standard types, which can be useful for testing query execution and performance. The code uses the Presto common library to handle block creation and type management.</t>
        </is>
      </c>
      <c r="M1391" t="n">
        <v>0.0037</v>
      </c>
      <c r="N1391" t="n">
        <v>0.0606</v>
      </c>
      <c r="O1391" t="n">
        <v>0.1154</v>
      </c>
    </row>
    <row r="1392">
      <c r="A1392" t="inlineStr">
        <is>
          <t>presto</t>
        </is>
      </c>
      <c r="B1392" t="inlineStr">
        <is>
          <t>presto-tests/src/main/java/com/facebook/presto/tests/CustomAdd.java</t>
        </is>
      </c>
      <c r="C1392">
        <f>HYPERLINK("https://github.com/prestodb/presto/blob/master/presto-tests/src/main/java/com/facebook/presto/tests/CustomAdd.java")</f>
        <v/>
      </c>
      <c r="D1392" t="inlineStr">
        <is>
          <t>The provided code defines a Presto SQL function named `customAdd` that takes two BIGINT parameters and returns their sum as a BIGINT. This function is part of a larger system designed to perform complex calculations within Presto's query engine. The implementation complexity is O(N), indicating linear time complexity, which suggests it processes each input value once. The comments indicate that this function implements core algorithms used</t>
        </is>
      </c>
      <c r="E1392" t="n">
        <v>0.0069</v>
      </c>
      <c r="F1392" t="n">
        <v>0.0789</v>
      </c>
      <c r="G1392" t="n">
        <v>0.2696</v>
      </c>
      <c r="H1392" t="inlineStr">
        <is>
          <t>The code defines a Presto SQL function `customAdd` that takes two BIGINT parameters and returns their sum as a BIGINT. It includes comments explaining its purpose and implementation details. The complexity is marked as O(N), but without further context, it's unclear what N refers to. The README provides information about the repository containing backend software components and mentions the initial codebase commit.</t>
        </is>
      </c>
      <c r="I1392" t="n">
        <v>0.0035</v>
      </c>
      <c r="J1392" t="n">
        <v>0.0556</v>
      </c>
      <c r="K1392" t="n">
        <v>0.1866</v>
      </c>
      <c r="L1392" t="inlineStr">
        <is>
          <t>The `CustomAdd` class provides a scalar function named `customAdd`, which takes two `BIGINT` parameters and returns their sum as a `BIGINT`. The implementation is straightforward, utilizing basic arithmetic operations within the method body.</t>
        </is>
      </c>
      <c r="M1392" t="n">
        <v>0.0056</v>
      </c>
      <c r="N1392" t="n">
        <v>0.09760000000000001</v>
      </c>
      <c r="O1392" t="n">
        <v>0.1905</v>
      </c>
    </row>
    <row r="1393">
      <c r="A1393" t="inlineStr">
        <is>
          <t>presto</t>
        </is>
      </c>
      <c r="B1393" t="inlineStr">
        <is>
          <t>presto-tests/src/main/java/com/facebook/presto/tests/TestTableFunctionInvocation.java</t>
        </is>
      </c>
      <c r="C1393">
        <f>HYPERLINK("https://github.com/prestodb/presto/blob/master/presto-tests/src/main/java/com/facebook/presto/tests/TestTableFunctionInvocation.java")</f>
        <v/>
      </c>
      <c r="D1393" t="inlineStr">
        <is>
          <t>The provided code defines a set of test utilities for Presto's Table Value Functions (TVFs). It includes:
1. A connector factory (`TestTVFConnectorFactory`) that provides access to TVF connectors.
2. A plugin (`TestTVFConnectorPlugin`) that registers the connector factory with Presto.
3. Column handles (`TestTVFConnectorColumnHandle`) used to represent columns within</t>
        </is>
      </c>
      <c r="E1393" t="n">
        <v>0</v>
      </c>
      <c r="F1393" t="n">
        <v>0.0351</v>
      </c>
      <c r="G1393" t="n">
        <v>0.0417</v>
      </c>
      <c r="H1393" t="inlineStr">
        <is>
          <t>Implements core algorithms for backend software components.</t>
        </is>
      </c>
      <c r="I1393" t="n">
        <v>0.0341</v>
      </c>
      <c r="J1393" t="n">
        <v>0.2667</v>
      </c>
      <c r="K1393" t="n">
        <v>0.3235</v>
      </c>
      <c r="L1393" t="inlineStr">
        <is>
          <t>This Java package contains test classes for Presto's Test TVF Connector, which provides testing capabilities for Table Value Functions (TVFs). The code includes factory methods for creating connectors, column handles, plugins, and table functions used in Presto tests. It also defines simple table functions for testing purposes.</t>
        </is>
      </c>
      <c r="M1393" t="n">
        <v>0.0046</v>
      </c>
      <c r="N1393" t="n">
        <v>0.1071</v>
      </c>
      <c r="O1393" t="n">
        <v>0.1261</v>
      </c>
    </row>
    <row r="1394">
      <c r="A1394" t="inlineStr">
        <is>
          <t>presto</t>
        </is>
      </c>
      <c r="B1394" t="inlineStr">
        <is>
          <t>presto-tests/src/main/java/com/facebook/presto/tests/H2FunctionNamespaceManagerPlugin.java</t>
        </is>
      </c>
      <c r="C1394">
        <f>HYPERLINK("https://github.com/prestodb/presto/blob/master/presto-tests/src/main/java/com/facebook/presto/tests/H2FunctionNamespaceManagerPlugin.java")</f>
        <v/>
      </c>
      <c r="D1394" t="inlineStr">
        <is>
          <t>The provided Java code defines a Presto plugin that provides function namespace manager factories for the H2 database. It includes a license notice, package declaration, import statements, and a class `H2FunctionNamespaceManagerPlugin` implementing the `Plugin` interface. The method `getFunctionNamespaceManagerFactories()` returns an immutable list containing one factory instance of type `H2FunctionNamespaceManagerFactory`. This</t>
        </is>
      </c>
      <c r="E1394" t="n">
        <v>0.0044</v>
      </c>
      <c r="F1394" t="n">
        <v>0.06900000000000001</v>
      </c>
      <c r="G1394" t="n">
        <v>0.1639</v>
      </c>
      <c r="H1394" t="inlineStr">
        <is>
          <t>This repository contains backend software components that implement core algorithms. The complexity of the implementation is O(N), indicating linear time complexity relative to the input size. The comments describe the purpose of each component and provide context for their development. The commits include an initial codebase commit. The total code size is 1000 lines.</t>
        </is>
      </c>
      <c r="I1394" t="n">
        <v>0.0048</v>
      </c>
      <c r="J1394" t="n">
        <v>0.1587</v>
      </c>
      <c r="K1394" t="n">
        <v>0.1984</v>
      </c>
      <c r="L1394" t="inlineStr">
        <is>
          <t>This Java class `H2FunctionNamespaceManagerPlugin` serves as a plugin for Presto, a columnar processing engine used for big data analytics. It provides a function namespace manager factory that integrates H2 database functions into Presto's query execution framework. The implementation complexity is O(1), and existing comments indicate that it implements core algorithmic functionalities related to managing function namespaces within Presto. The</t>
        </is>
      </c>
      <c r="M1394" t="n">
        <v>0.0078</v>
      </c>
      <c r="N1394" t="n">
        <v>0.1159</v>
      </c>
      <c r="O1394" t="n">
        <v>0.284</v>
      </c>
    </row>
    <row r="1395">
      <c r="A1395" t="inlineStr">
        <is>
          <t>presto</t>
        </is>
      </c>
      <c r="B1395" t="inlineStr">
        <is>
          <t>presto-tests/src/main/java/com/facebook/presto/tests/AbstractTestAggregations.java</t>
        </is>
      </c>
      <c r="C1395">
        <f>HYPERLINK("https://github.com/prestodb/presto/blob/master/presto-tests/src/main/java/com/facebook/presto/tests/AbstractTestAggregations.java")</f>
        <v/>
      </c>
      <c r="D1395" t="inlineStr">
        <is>
          <t>The code appears to be part of a test suite for Presto SQL, specifically focusing on testing aggregation nodes. It uses TestNG annotations to define data providers and tests various scenarios related to aggregations. The code imports necessary classes from Presto's SPI and testing utilities, including `AggregationNode`, `MaterializedResult`, `MaterializedRow`, and Google Guava collections. The complexity is marked</t>
        </is>
      </c>
      <c r="E1395" t="n">
        <v>0.0032</v>
      </c>
      <c r="F1395" t="n">
        <v>0.0303</v>
      </c>
      <c r="G1395" t="n">
        <v>0.0775</v>
      </c>
      <c r="H1395" t="inlineStr">
        <is>
          <t>This repository contains backend software components that implement core algorithms. The complexity is O(N), indicating linear time complexity for certain operations. The README provides information about the license, package name, and test data provider annotations used in the tests.</t>
        </is>
      </c>
      <c r="I1395" t="n">
        <v>0.0067</v>
      </c>
      <c r="J1395" t="n">
        <v>0.2083</v>
      </c>
      <c r="K1395" t="n">
        <v>0.3841</v>
      </c>
      <c r="L1395" t="inlineStr">
        <is>
          <t>This Java test suite uses TestNG annotations to define data-driven tests for Presto aggregation nodes. It includes methods that execute queries using MaterializedResults and compare them against expected results. The `@DataProvider` method provides input parameters for each test case, while the `@Parameters` annotation specifies how these parameters should be used within the test method. Each test method creates an AggregationNode instance, executes</t>
        </is>
      </c>
      <c r="M1395" t="n">
        <v>0.0035</v>
      </c>
      <c r="N1395" t="n">
        <v>0.0563</v>
      </c>
      <c r="O1395" t="n">
        <v>0.1119</v>
      </c>
    </row>
    <row r="1396">
      <c r="A1396" t="inlineStr">
        <is>
          <t>presto</t>
        </is>
      </c>
      <c r="B1396" t="inlineStr">
        <is>
          <t>presto-tests/src/main/java/com/facebook/presto/tests/TestLikeQueries.java</t>
        </is>
      </c>
      <c r="C1396">
        <f>HYPERLINK("https://github.com/prestodb/presto/blob/master/presto-tests/src/main/java/com/facebook/presto/tests/TestLikeQueries.java")</f>
        <v/>
      </c>
      <c r="D1396" t="inlineStr">
        <is>
          <t>The provided code defines a test suite for like queries using Presto SQL. It includes a class `TestLikeQueries` that extends `AbstractTestQueryFramework`. The method `createQueryRunner()` initializes a testing session using `testSessionBuilder()`, which sets up a session configuration suitable for running tests. This setup allows the execution of SQL-like queries within the context of Presto's query engine. The</t>
        </is>
      </c>
      <c r="E1396" t="n">
        <v>0.0033</v>
      </c>
      <c r="F1396" t="n">
        <v>0.0303</v>
      </c>
      <c r="G1396" t="n">
        <v>0.0781</v>
      </c>
      <c r="H1396" t="inlineStr">
        <is>
          <t>This repository contains backend software components that implement core algorithms. The complexity of these implementations is O(N), indicating linear time complexity. The code size is 1000 lines, which suggests it includes multiple modules and functionalities.</t>
        </is>
      </c>
      <c r="I1396" t="n">
        <v>0.0075</v>
      </c>
      <c r="J1396" t="n">
        <v>0.2273</v>
      </c>
      <c r="K1396" t="n">
        <v>0.2804</v>
      </c>
      <c r="L1396" t="inlineStr">
        <is>
          <t>The `TestLikeQueries` class extends `AbstractTestQueryFramework` and provides tests for LIKE queries using Presto's testing framework. It uses a predefined session configuration and runs various LIKE query scenarios to verify their correctness. The code size is 1000 lines, focusing on implementing core algorithms related to LIKE query processing within Presto's testing environment.</t>
        </is>
      </c>
      <c r="M1396" t="n">
        <v>0.0043</v>
      </c>
      <c r="N1396" t="n">
        <v>0.06560000000000001</v>
      </c>
      <c r="O1396" t="n">
        <v>0.2566</v>
      </c>
    </row>
    <row r="1397">
      <c r="A1397" t="inlineStr">
        <is>
          <t>presto</t>
        </is>
      </c>
      <c r="B1397" t="inlineStr">
        <is>
          <t>presto-tests/src/main/java/com/facebook/presto/tests/AbstractTestJoinQueries.java</t>
        </is>
      </c>
      <c r="C1397">
        <f>HYPERLINK("https://github.com/prestodb/presto/blob/master/presto-tests/src/main/java/com/facebook/presto/tests/AbstractTestJoinQueries.java")</f>
        <v/>
      </c>
      <c r="D1397" t="inlineStr">
        <is>
          <t>The provided Java code defines a class `TestBase` within the package `com.facebook.presto.tests`. This class serves as a base for testing Presto SQL queries using various features such as session management, query execution tracking, and result materialization. It includes methods for setting up test sessions, executing queries, retrieving query information, and processing results. The code uses Google Guava libraries for collections</t>
        </is>
      </c>
      <c r="E1397" t="n">
        <v>0.0036</v>
      </c>
      <c r="F1397" t="n">
        <v>0.0563</v>
      </c>
      <c r="G1397" t="n">
        <v>0.1136</v>
      </c>
      <c r="H1397" t="inlineStr">
        <is>
          <t>This repository contains backend software components that implement core algorithms. The complexity of these implementations is O(N), indicating linear time performance relative to input size N. The code base has been initialized with basic structure and features.</t>
        </is>
      </c>
      <c r="I1397" t="n">
        <v>0.0071</v>
      </c>
      <c r="J1397" t="n">
        <v>0.2174</v>
      </c>
      <c r="K1397" t="n">
        <v>0.2294</v>
      </c>
      <c r="L1397" t="inlineStr">
        <is>
          <t>This Java class provides test utilities for Presto SQL queries, including methods to execute queries, retrieve query results, and analyze session configurations. It includes support for handling decimal data types and features like materialized views. The code is designed to be used in testing environments to validate Presto's performance and correctness.</t>
        </is>
      </c>
      <c r="M1397" t="n">
        <v>0.0043</v>
      </c>
      <c r="N1397" t="n">
        <v>0.0667</v>
      </c>
      <c r="O1397" t="n">
        <v>0.122</v>
      </c>
    </row>
    <row r="1398">
      <c r="A1398" t="inlineStr">
        <is>
          <t>presto</t>
        </is>
      </c>
      <c r="B1398" t="inlineStr">
        <is>
          <t>presto-tests/src/main/java/com/facebook/presto/tests/DistributedQueryRunner.java</t>
        </is>
      </c>
      <c r="C1398">
        <f>HYPERLINK("https://github.com/prestodb/presto/blob/master/presto-tests/src/main/java/com/facebook/presto/tests/DistributedQueryRunner.java")</f>
        <v/>
      </c>
      <c r="D1398" t="inlineStr">
        <is>
          <t>The provided code is part of a Presto testing framework that includes utilities for setting up a test discovery server using Jetty HTTP client. It also provides basic logging capabilities and assertions for testing purposes. The complexity of the implementation is O(1) as it involves simple operations like creating instances and making requests.</t>
        </is>
      </c>
      <c r="E1398" t="n">
        <v>0.0035</v>
      </c>
      <c r="F1398" t="n">
        <v>0.0645</v>
      </c>
      <c r="G1398" t="n">
        <v>0.12</v>
      </c>
      <c r="H1398" t="inlineStr">
        <is>
          <t>This repository contains backend software components that implement core algorithms. The complexity is O(N), indicating linear time complexity, which means it scales proportionally with the input size N. The comments describe the implementation of these algorithms, while the commits record the initial creation of the codebase. The total code size is 1000 lines.</t>
        </is>
      </c>
      <c r="I1398" t="n">
        <v>0.0045</v>
      </c>
      <c r="J1398" t="n">
        <v>0.129</v>
      </c>
      <c r="K1398" t="n">
        <v>0.16</v>
      </c>
      <c r="L1398" t="inlineStr">
        <is>
          <t>This Java code tests Presto's discovery server using Jetty HTTP client. It sets up a testing environment with a mock Discovery Server and makes requests to verify that the server responds correctly within specified time limits. The test uses assertions from Airflow to ensure expected outcomes.</t>
        </is>
      </c>
      <c r="M1398" t="n">
        <v>0.0048</v>
      </c>
      <c r="N1398" t="n">
        <v>0.0727</v>
      </c>
      <c r="O1398" t="n">
        <v>0.1271</v>
      </c>
    </row>
    <row r="1399">
      <c r="A1399" t="inlineStr">
        <is>
          <t>presto</t>
        </is>
      </c>
      <c r="B1399" t="inlineStr">
        <is>
          <t>presto-tests/src/main/java/com/facebook/presto/tests/AbstractTestNanQueries.java</t>
        </is>
      </c>
      <c r="C1399">
        <f>HYPERLINK("https://github.com/prestodb/presto/blob/master/presto-tests/src/main/java/com/facebook/presto/tests/AbstractTestNanQueries.java")</f>
        <v/>
      </c>
      <c r="D1399" t="inlineStr">
        <is>
          <t>The provided code defines an abstract test class `AbstractTestNanQueries` that extends another abstract class `AbstractTestQueryFramework`. This class likely includes methods for testing queries involving NaN values in Presto, which is a columnar processing engine used for big data analytics. The class uses annotations from TestNG for organizing tests and provides constants like `DOUBLE_NANS_TABLE_NAME`, which suggests it might be</t>
        </is>
      </c>
      <c r="E1399" t="n">
        <v>0.0037</v>
      </c>
      <c r="F1399" t="n">
        <v>0.058</v>
      </c>
      <c r="G1399" t="n">
        <v>0.1154</v>
      </c>
      <c r="H1399" t="inlineStr">
        <is>
          <t>This repository contains backend software components implementing core algorithms. The complexity is O(N), indicating linear time complexity relative to input size. The implementation includes comments explaining key functionalities and commits detailing the initial creation of the codebase. The total code size is 1000 lines.</t>
        </is>
      </c>
      <c r="I1399" t="n">
        <v>0.0059</v>
      </c>
      <c r="J1399" t="n">
        <v>0.2264</v>
      </c>
      <c r="K1399" t="n">
        <v>0.3676</v>
      </c>
      <c r="L1399" t="inlineStr">
        <is>
          <t>This abstract test suite provides a framework for testing queries involving NaN values in Presto, using TestNG annotations for setup and teardown methods. It includes a method `testNaNValues` that formats and executes SQL queries to verify expected results when dealing with NaNs. The tests assume a session configuration and utilize helper classes from the `com.facebook.presto.tests` package.</t>
        </is>
      </c>
      <c r="M1399" t="n">
        <v>0.0039</v>
      </c>
      <c r="N1399" t="n">
        <v>0.0597</v>
      </c>
      <c r="O1399" t="n">
        <v>0.1172</v>
      </c>
    </row>
    <row r="1400">
      <c r="A1400" t="inlineStr">
        <is>
          <t>presto</t>
        </is>
      </c>
      <c r="B1400" t="inlineStr">
        <is>
          <t>presto-tests/src/main/java/com/facebook/presto/tests/PlanDeterminismChecker.java</t>
        </is>
      </c>
      <c r="C1400">
        <f>HYPERLINK("https://github.com/prestodb/presto/blob/master/presto-tests/src/main/java/com/facebook/presto/tests/PlanDeterminismChecker.java")</f>
        <v/>
      </c>
      <c r="D1400" t="inlineStr">
        <is>
          <t>The provided code defines a class `TestOptimizer` within the package `com.facebook.presto.tests`. This class appears to be part of a larger system designed for testing Presto SQL query optimization. The key functionalities include:
1. **Session Management**: It uses a `LocalQueryRunner` to manage sessions, which are essential for executing queries against the database.
2. **Optimization Process**:</t>
        </is>
      </c>
      <c r="E1400" t="n">
        <v>0.0034</v>
      </c>
      <c r="F1400" t="n">
        <v>0.0615</v>
      </c>
      <c r="G1400" t="n">
        <v>0.0794</v>
      </c>
      <c r="H1400" t="inlineStr">
        <is>
          <t>This repository contains backend software components implementing core algorithms. The complexity is O(N), indicating linear time performance relative to input size N. The README provides information about the license, package structure, and the purpose of the project.</t>
        </is>
      </c>
      <c r="I1400" t="n">
        <v>0.0071</v>
      </c>
      <c r="J1400" t="n">
        <v>0.2174</v>
      </c>
      <c r="K1400" t="n">
        <v>0.3413</v>
      </c>
      <c r="L1400" t="inlineStr">
        <is>
          <t>The provided code is part of a Presto testing framework that includes utilities for running queries locally using `LocalQueryRunner`. It provides methods to execute SQL statements, retrieve results, and print query plans. The code uses the Presto optimizer to analyze and optimize SQL queries before executing them. The implementation complexity is O(N), where N represents the number of iterations or tasks performed during testing.</t>
        </is>
      </c>
      <c r="M1400" t="n">
        <v>0.0028</v>
      </c>
      <c r="N1400" t="n">
        <v>0.0274</v>
      </c>
      <c r="O1400" t="n">
        <v>0.1103</v>
      </c>
    </row>
    <row r="1401">
      <c r="A1401" t="inlineStr">
        <is>
          <t>presto</t>
        </is>
      </c>
      <c r="B1401" t="inlineStr">
        <is>
          <t>presto-tests/src/main/java/com/facebook/presto/tests/CreateHll.java</t>
        </is>
      </c>
      <c r="C1401">
        <f>HYPERLINK("https://github.com/prestodb/presto/blob/master/presto-tests/src/main/java/com/facebook/presto/tests/CreateHll.java")</f>
        <v/>
      </c>
      <c r="D1401" t="inlineStr">
        <is>
          <t>The provided code defines a Presto SQL function that calculates the approximate cardinality of a set using HyperLogLog algorithm. The function takes a slice as input, which represents a collection of values, and returns an estimate of the number of unique elements in the set. The implementation uses the `HyperLogLog` class from the Airflow library to perform the calculation. The function is part of a larger</t>
        </is>
      </c>
      <c r="E1401" t="n">
        <v>0.0028</v>
      </c>
      <c r="F1401" t="n">
        <v>0.0541</v>
      </c>
      <c r="G1401" t="n">
        <v>0.1087</v>
      </c>
      <c r="H1401" t="inlineStr">
        <is>
          <t>This repository contains backend software components implementing core algorithms. The complexity is O(N), indicating linear time complexity relative to input size. The implementation includes functions such as HyperLogLog cardinality estimation and approximate set aggregation using Presto's SPI function system.</t>
        </is>
      </c>
      <c r="I1401" t="n">
        <v>0.0067</v>
      </c>
      <c r="J1401" t="n">
        <v>0.2449</v>
      </c>
      <c r="K1401" t="n">
        <v>0.2703</v>
      </c>
      <c r="L1401" t="inlineStr">
        <is>
          <t>The code defines a Presto SQL function that calculates the approximate cardinality of a set using HyperLogLog algorithm. It takes a Slice as input and returns a double representing the estimated number of unique elements. The implementation uses Airflow's HyperLogLog library and includes error handling for default standard error values.</t>
        </is>
      </c>
      <c r="M1401" t="n">
        <v>0.0037</v>
      </c>
      <c r="N1401" t="n">
        <v>0.0678</v>
      </c>
      <c r="O1401" t="n">
        <v>0.123</v>
      </c>
    </row>
    <row r="1402">
      <c r="A1402" t="inlineStr">
        <is>
          <t>presto</t>
        </is>
      </c>
      <c r="B1402" t="inlineStr">
        <is>
          <t>presto-tests/src/main/java/com/facebook/presto/tests/ResultWithQueryId.java</t>
        </is>
      </c>
      <c r="C1402">
        <f>HYPERLINK("https://github.com/prestodb/presto/blob/master/presto-tests/src/main/java/com/facebook/presto/tests/ResultWithQueryId.java")</f>
        <v/>
      </c>
      <c r="D1402" t="inlineStr">
        <is>
          <t>The provided Java code defines a simple data structure called `ResultWithQueryId`, which encapsulates both a `QueryId` object and a generic type `T`. This structure is used to store results along with their associated query identifiers, allowing for easy retrieval of both pieces of information when needed. The class includes constructors to initialize these fields, getter methods to access them, and implements basic equality checks using</t>
        </is>
      </c>
      <c r="E1402" t="n">
        <v>0.0037</v>
      </c>
      <c r="F1402" t="n">
        <v>0.0548</v>
      </c>
      <c r="G1402" t="n">
        <v>0.146</v>
      </c>
      <c r="H1402" t="inlineStr">
        <is>
          <t>The code defines a `ResultWithQueryId` class that encapsulates a query ID and a result object. It includes methods to retrieve both the query ID and the result. The README describes it as part of a larger repository containing backend software components, implementing core algorithms. Complexity is rated as O(N), but this seems incorrect given the size of the code. Code size is listed as 10</t>
        </is>
      </c>
      <c r="I1402" t="n">
        <v>0.0037</v>
      </c>
      <c r="J1402" t="n">
        <v>0.08110000000000001</v>
      </c>
      <c r="K1402" t="n">
        <v>0.3112</v>
      </c>
      <c r="L1402" t="inlineStr">
        <is>
          <t>This Java class `ResultWithQueryId` encapsulates a query ID and a result object, providing methods to retrieve both values. It's designed to be used in Presto testing scenarios where each test case has a unique identifier associated with its results. The class uses generics to allow flexibility in the type of result stored.</t>
        </is>
      </c>
      <c r="M1402" t="n">
        <v>0.0042</v>
      </c>
      <c r="N1402" t="n">
        <v>0.06560000000000001</v>
      </c>
      <c r="O1402" t="n">
        <v>0.121</v>
      </c>
    </row>
    <row r="1403">
      <c r="A1403" t="inlineStr">
        <is>
          <t>presto</t>
        </is>
      </c>
      <c r="B1403" t="inlineStr">
        <is>
          <t>presto-tests/src/main/java/com/facebook/presto/tests/AbstractTestIntegrationSmokeTest.java</t>
        </is>
      </c>
      <c r="C1403">
        <f>HYPERLINK("https://github.com/prestodb/presto/blob/master/presto-tests/src/main/java/com/facebook/presto/tests/AbstractTestIntegrationSmokeTest.java")</f>
        <v/>
      </c>
      <c r="D1403" t="inlineStr">
        <is>
          <t>The provided Java code defines test cases for Presto SQL queries using TestNG annotations. It includes methods that execute SQL queries against a Presto session and verify the results using MaterializedResults. The tests cover various aspects of Presto's query execution, including handling legacy timestamp formats and verifying data types. The complexity of the implementation is O(N), where N represents the number of test cases executed.</t>
        </is>
      </c>
      <c r="E1403" t="n">
        <v>0.0028</v>
      </c>
      <c r="F1403" t="n">
        <v>0.0267</v>
      </c>
      <c r="G1403" t="n">
        <v>0.1095</v>
      </c>
      <c r="H1403" t="inlineStr">
        <is>
          <t>The code implements core algorithms for a backend system, using Java with TestNG annotations for testing. It includes session management, materialized results, and type definitions from Presto SQL. The complexity is high due to its extensive implementation of core functionalities.</t>
        </is>
      </c>
      <c r="I1403" t="n">
        <v>0.0108</v>
      </c>
      <c r="J1403" t="n">
        <v>0.125</v>
      </c>
      <c r="K1403" t="n">
        <v>0.1786</v>
      </c>
      <c r="L1403" t="inlineStr">
        <is>
          <t>This Java test suite uses TestNG annotations to define tests that verify Presto query execution results using MaterializedResults. The `@Test` annotation marks methods as test cases, which execute queries against a Presto session configured with legacy timestamp handling enabled. The tests utilize various Presto types like BIGINT and VARCHAR to ensure correct data processing and output formatting.</t>
        </is>
      </c>
      <c r="M1403" t="n">
        <v>0.0038</v>
      </c>
      <c r="N1403" t="n">
        <v>0.0615</v>
      </c>
      <c r="O1403" t="n">
        <v>0.1163</v>
      </c>
    </row>
    <row r="1404">
      <c r="A1404" t="inlineStr">
        <is>
          <t>presto</t>
        </is>
      </c>
      <c r="B1404" t="inlineStr">
        <is>
          <t>presto-tests/src/main/java/com/facebook/presto/tests/CustomStructWithPassthrough.java</t>
        </is>
      </c>
      <c r="C1404">
        <f>HYPERLINK("https://github.com/prestodb/presto/blob/master/presto-tests/src/main/java/com/facebook/presto/tests/CustomStructWithPassthrough.java")</f>
        <v/>
      </c>
      <c r="D1404" t="inlineStr">
        <is>
          <t>The provided code defines a custom struct function named `CustomStructWithPassthrough` within the package `com.facebook.presto.tests`. This function takes two parameters: a block representing rows and another block representing types. It returns a new block containing structs where each element corresponds to the input row values cast according to their respective type specifications from the second block. The implementation uses Presto's SPI functions and</t>
        </is>
      </c>
      <c r="E1404" t="n">
        <v>0.0035</v>
      </c>
      <c r="F1404" t="n">
        <v>0.1081</v>
      </c>
      <c r="G1404" t="n">
        <v>0.2355</v>
      </c>
      <c r="H1404" t="inlineStr">
        <is>
          <t>This repository contains backend software components that implement core algorithms. The complexity of these implementations is O(N), indicating linear time complexity. The code size is 1000 lines, making it relatively large but manageable given its purpose.</t>
        </is>
      </c>
      <c r="I1404" t="n">
        <v>0.0068</v>
      </c>
      <c r="J1404" t="n">
        <v>0.1778</v>
      </c>
      <c r="K1404" t="n">
        <v>0.1852</v>
      </c>
      <c r="L1404" t="inlineStr">
        <is>
          <t>The `CustomStructWithPassthrough` class provides a custom implementation of a struct type that allows passing through values from one block to another without modification. It includes methods for creating instances of the struct and handling serialization/deserialization using Presto's SPI functions. The class uses annotations like `@ScalarFunction`, `@SqlType`, and `@TypeParameter` to define function signatures and types.</t>
        </is>
      </c>
      <c r="M1404" t="n">
        <v>0.0034</v>
      </c>
      <c r="N1404" t="n">
        <v>0.09379999999999999</v>
      </c>
      <c r="O1404" t="n">
        <v>0.119</v>
      </c>
    </row>
    <row r="1405">
      <c r="A1405" t="inlineStr">
        <is>
          <t>presto</t>
        </is>
      </c>
      <c r="B1405" t="inlineStr">
        <is>
          <t>presto-tests/src/main/java/com/facebook/presto/tests/AbstractTestQueryFramework.java</t>
        </is>
      </c>
      <c r="C1405">
        <f>HYPERLINK("https://github.com/prestodb/presto/blob/master/presto-tests/src/main/java/com/facebook/presto/tests/AbstractTestQueryFramework.java")</f>
        <v/>
      </c>
      <c r="D1405" t="inlineStr">
        <is>
          <t>The code defines a class `Cost` within the package `com.facebook.presto.tests`. It includes various implementations of cost calculators used in Presto SQL query execution. The class provides methods for calculating costs based on different strategies such as using exchanges and estimating exchanges. The complexity of these calculations is O(N), where N represents the number of operations involved in the calculation process.</t>
        </is>
      </c>
      <c r="E1405" t="n">
        <v>0.003</v>
      </c>
      <c r="F1405" t="n">
        <v>0.0556</v>
      </c>
      <c r="G1405" t="n">
        <v>0.1136</v>
      </c>
      <c r="H1405" t="inlineStr">
        <is>
          <t>Implements core algorithms for Presto database operations. Complexity is O(N), indicating linear time complexity. The repository contains backend software components licensed under the Apache License 2.0.</t>
        </is>
      </c>
      <c r="I1405" t="n">
        <v>0.0086</v>
      </c>
      <c r="J1405" t="n">
        <v>0.1111</v>
      </c>
      <c r="K1405" t="n">
        <v>0.2608</v>
      </c>
      <c r="L1405" t="inlineStr">
        <is>
          <t>This Java package contains tests for Presto's cost calculation system, focusing on various implementations such as `CostCalculator`, `CostCalculatorUsingExchanges`, and `CostCalculatorWithEstimatedExchanges`. The code calculates query costs based on different strategies, aiding in performance optimization within Presto databases.</t>
        </is>
      </c>
      <c r="M1405" t="n">
        <v>0.0061</v>
      </c>
      <c r="N1405" t="n">
        <v>0.1333</v>
      </c>
      <c r="O1405" t="n">
        <v>0.1389</v>
      </c>
    </row>
    <row r="1406">
      <c r="A1406" t="inlineStr">
        <is>
          <t>presto</t>
        </is>
      </c>
      <c r="B1406" t="inlineStr">
        <is>
          <t>presto-tests/src/main/java/com/facebook/presto/tests/AbstractTestTopNQueries.java</t>
        </is>
      </c>
      <c r="C1406">
        <f>HYPERLINK("https://github.com/prestodb/presto/blob/master/presto-tests/src/main/java/com/facebook/presto/tests/AbstractTestTopNQueries.java")</f>
        <v/>
      </c>
      <c r="D1406" t="inlineStr">
        <is>
          <t>The provided code defines an abstract test class `AbstractTestTopNQueries` that extends another abstract class `AbstractTestQueryFramework`. It includes two test methods: `testUngroupedTopN` and `testGroupedTopN`, which verify the correctness of top-N queries using assertions against SQL statements. The complexity of these operations is O(N), where N is the number of rows being</t>
        </is>
      </c>
      <c r="E1406" t="n">
        <v>0.0037</v>
      </c>
      <c r="F1406" t="n">
        <v>0.0333</v>
      </c>
      <c r="G1406" t="n">
        <v>0.082</v>
      </c>
      <c r="H1406" t="inlineStr">
        <is>
          <t>The repository contains backend software components that implement core algorithms. The complexity is O(N), indicating linear time performance. The implementation includes comments explaining the purpose of each part. The commits include an initial codebase commit. The code size is 1000 lines.</t>
        </is>
      </c>
      <c r="I1406" t="n">
        <v>0.0054</v>
      </c>
      <c r="J1406" t="n">
        <v>0.12</v>
      </c>
      <c r="K1406" t="n">
        <v>0.1327</v>
      </c>
      <c r="L1406" t="inlineStr">
        <is>
          <t>This abstract test suite for Presto queries includes two tests that verify top-N query functionality. The `testUngroupedTopN` method checks if the results of a simple ungrouped top-N query match expected output. The `testGroupedTopN` method performs a more complex grouped top-N query using subqueries and asserts the correctness of the result set. Both methods utilize the `</t>
        </is>
      </c>
      <c r="M1406" t="n">
        <v>0.0039</v>
      </c>
      <c r="N1406" t="n">
        <v>0.09089999999999999</v>
      </c>
      <c r="O1406" t="n">
        <v>0.1172</v>
      </c>
    </row>
    <row r="1407">
      <c r="A1407" t="inlineStr">
        <is>
          <t>presto</t>
        </is>
      </c>
      <c r="B1407" t="inlineStr">
        <is>
          <t>presto-tests/src/main/java/com/facebook/presto/tests/H2QueryRunner.java</t>
        </is>
      </c>
      <c r="C1407">
        <f>HYPERLINK("https://github.com/prestodb/presto/blob/master/presto-tests/src/main/java/com/facebook/presto/tests/H2QueryRunner.java")</f>
        <v/>
      </c>
      <c r="D1407" t="inlineStr">
        <is>
          <t>The provided code is part of a Presto testing framework within Facebook's data processing system. It includes classes and methods related to session management, type definitions, and possibly test utilities. The complexity is O(N), indicating that it scales linearly with input size. The comments suggest that the implementation focuses on core algorithms necessary for testing Presto functionalities. The code size is 1000 lines,</t>
        </is>
      </c>
      <c r="E1407" t="n">
        <v>0.0034</v>
      </c>
      <c r="F1407" t="n">
        <v>0.0822</v>
      </c>
      <c r="G1407" t="n">
        <v>0.1481</v>
      </c>
      <c r="H1407" t="inlineStr">
        <is>
          <t>The repository contains backend software components implementing core algorithms. The complexity is O(N), indicating linear time complexity, which suggests that the algorithm processes each element once as it iterates through data.</t>
        </is>
      </c>
      <c r="I1407" t="n">
        <v>0.0072</v>
      </c>
      <c r="J1407" t="n">
        <v>0.15</v>
      </c>
      <c r="K1407" t="n">
        <v>0.2481</v>
      </c>
      <c r="L1407" t="inlineStr">
        <is>
          <t>The provided code defines test utilities for Presto SQL queries, including session management, data type handling, and row creation functions. It supports various data types such as arrays, characters, dates, decimals, distinct values, rows, timestamps, and more. The code is part of a larger backend software component repository and has been committed initially without detailed comments.</t>
        </is>
      </c>
      <c r="M1407" t="n">
        <v>0.0039</v>
      </c>
      <c r="N1407" t="n">
        <v>0.0625</v>
      </c>
      <c r="O1407" t="n">
        <v>0.1172</v>
      </c>
    </row>
    <row r="1408">
      <c r="A1408" t="inlineStr">
        <is>
          <t>presto</t>
        </is>
      </c>
      <c r="B1408" t="inlineStr">
        <is>
          <t>presto-tests/src/main/java/com/facebook/presto/tests/AbstractTestQueries.java</t>
        </is>
      </c>
      <c r="C1408">
        <f>HYPERLINK("https://github.com/prestodb/presto/blob/master/presto-tests/src/main/java/com/facebook/presto/tests/AbstractTestQueries.java")</f>
        <v/>
      </c>
      <c r="D1408" t="inlineStr">
        <is>
          <t>The provided code defines a class `TestSuite` within the package `com.facebook.presto.tests`. This class appears to be part of a larger system designed for testing Presto SQL queries. The class includes methods for setting up test sessions, defining session properties, creating function lists, and handling exceptions related to Presto functions. It also references other classes such as `SqlTimestampWithTimeZone`, `</t>
        </is>
      </c>
      <c r="E1408" t="n">
        <v>0.0037</v>
      </c>
      <c r="F1408" t="n">
        <v>0.0882</v>
      </c>
      <c r="G1408" t="n">
        <v>0.1154</v>
      </c>
      <c r="H1408" t="inlineStr">
        <is>
          <t>This repository contains backend software components that implement core algorithms. The complexity of these implementations is O(N), indicating they scale linearly with input size. The code base has been initialized with basic structure and documentation.</t>
        </is>
      </c>
      <c r="I1408" t="n">
        <v>0.0075</v>
      </c>
      <c r="J1408" t="n">
        <v>0.2273</v>
      </c>
      <c r="K1408" t="n">
        <v>0.2336</v>
      </c>
      <c r="L1408" t="inlineStr">
        <is>
          <t>This Java class provides test utilities for Presto SQL functions, including creating sessions, adding system session properties, defining custom SQL functions, and handling exceptions related to function metadata. The code is part of a larger project that focuses on testing Presto's query execution capabilities.</t>
        </is>
      </c>
      <c r="M1408" t="n">
        <v>0.005</v>
      </c>
      <c r="N1408" t="n">
        <v>0.1132</v>
      </c>
      <c r="O1408" t="n">
        <v>0.1293</v>
      </c>
    </row>
    <row r="1409">
      <c r="A1409" t="inlineStr">
        <is>
          <t>presto</t>
        </is>
      </c>
      <c r="B1409" t="inlineStr">
        <is>
          <t>presto-tests/src/main/java/com/facebook/presto/tests/SslKeystoreManager.java</t>
        </is>
      </c>
      <c r="C1409">
        <f>HYPERLINK("https://github.com/prestodb/presto/blob/master/presto-tests/src/main/java/com/facebook/presto/tests/SslKeystoreManager.java")</f>
        <v/>
      </c>
      <c r="D1409" t="inlineStr">
        <is>
          <t>The provided Java code defines a class `TestUtils` within the package `com.facebook.presto.tests`. It includes methods for generating X.509 certificates using Bouncy Castle library. The main functionalities include:
1. **Logger Initialization**: Initializes a logger instance named `LOG`.
2. **X.509 Certificate Generation**:
   - Uses `JcaX509</t>
        </is>
      </c>
      <c r="E1409" t="n">
        <v>0</v>
      </c>
      <c r="F1409" t="n">
        <v>0.0364</v>
      </c>
      <c r="G1409" t="n">
        <v>0.0435</v>
      </c>
      <c r="H1409" t="inlineStr">
        <is>
          <t>This repository contains backend software components implementing core algorithms. The complexity is O(N), indicating that the time taken increases linearly with the size of the input data. The implementation includes various cryptographic operations using Bouncy Castle library.</t>
        </is>
      </c>
      <c r="I1409" t="n">
        <v>0.0066</v>
      </c>
      <c r="J1409" t="n">
        <v>0.1739</v>
      </c>
      <c r="K1409" t="n">
        <v>0.2294</v>
      </c>
      <c r="L1409" t="inlineStr">
        <is>
          <t>The code generates self-signed X.509 certificates using Bouncy Castle library. It includes methods to create certificate builders, sign them with private keys, and convert them into JCA-compatible formats. The implementation is part of a larger suite of tests within the Presto project, focusing on cryptographic utilities.</t>
        </is>
      </c>
      <c r="M1409" t="n">
        <v>0.004</v>
      </c>
      <c r="N1409" t="n">
        <v>0.0351</v>
      </c>
      <c r="O1409" t="n">
        <v>0.1271</v>
      </c>
    </row>
    <row r="1410">
      <c r="A1410" t="inlineStr">
        <is>
          <t>presto</t>
        </is>
      </c>
      <c r="B1410" t="inlineStr">
        <is>
          <t>presto-tests/src/main/java/com/facebook/presto/tests/H2FunctionNamespaceDao.java</t>
        </is>
      </c>
      <c r="C1410">
        <f>HYPERLINK("https://github.com/prestodb/presto/blob/master/presto-tests/src/main/java/com/facebook/presto/tests/H2FunctionNamespaceDao.java")</f>
        <v/>
      </c>
      <c r="D1410" t="inlineStr">
        <is>
          <t>The provided Java code defines an `H2FunctionNamespaceDao` interface that extends the `FunctionNamespaceDao` interface. It includes a method annotated with `@SqlUpdate`, which updates records in a table named `&lt;sql_functions_table&gt;`. The SQL update statement sets the function namespace based on a given SQL function ID (`@Bind`) using JDBI's customizer feature. This interface likely interacts</t>
        </is>
      </c>
      <c r="E1410" t="n">
        <v>0.0035</v>
      </c>
      <c r="F1410" t="n">
        <v>0.0317</v>
      </c>
      <c r="G1410" t="n">
        <v>0.0806</v>
      </c>
      <c r="H1410" t="inlineStr">
        <is>
          <t>Manages database operations related to function namespaces using JDBI. Complexity is high due to multiple SQL updates and potential performance issues if not optimized.</t>
        </is>
      </c>
      <c r="I1410" t="n">
        <v>0.007900000000000001</v>
      </c>
      <c r="J1410" t="n">
        <v>0.125</v>
      </c>
      <c r="K1410" t="n">
        <v>0.1042</v>
      </c>
      <c r="L1410" t="inlineStr">
        <is>
          <t>The `H2FunctionNamespaceDao` interface provides methods to update function namespaces in a database using JDBI's SQLObject framework. It includes a method `updateFunctionNamespace` that updates the specified function namespace in the `&lt;sql_functions_table&gt;`. The method takes parameters such as `functionNamespace`, `functionName`, and `sqlFunctionId`, which are bound to the SQL query using JDB</t>
        </is>
      </c>
      <c r="M1410" t="n">
        <v>0.0037</v>
      </c>
      <c r="N1410" t="n">
        <v>0.0667</v>
      </c>
      <c r="O1410" t="n">
        <v>0.08260000000000001</v>
      </c>
    </row>
    <row r="1411">
      <c r="A1411" t="inlineStr">
        <is>
          <t>presto</t>
        </is>
      </c>
      <c r="B1411" t="inlineStr">
        <is>
          <t>presto-tests/src/main/java/com/facebook/presto/tests/TestSequenceFunction.java</t>
        </is>
      </c>
      <c r="C1411">
        <f>HYPERLINK("https://github.com/prestodb/presto/blob/master/presto-tests/src/main/java/com/facebook/presto/tests/TestSequenceFunction.java")</f>
        <v/>
      </c>
      <c r="D1411" t="inlineStr">
        <is>
          <t>The code defines a test suite for Presto, a columnar storage engine used for big data analytics. It includes a test class `PrestoTest` that uses TestNG annotations to define tests. The tests utilize a TPC-H plugin to create a database schema named `tiny`, which simulates a small version of the TPC-H benchmark dataset. Each test method runs a query using a</t>
        </is>
      </c>
      <c r="E1411" t="n">
        <v>0</v>
      </c>
      <c r="F1411" t="n">
        <v>0</v>
      </c>
      <c r="G1411" t="n">
        <v>0.0376</v>
      </c>
      <c r="H1411" t="inlineStr">
        <is>
          <t>The code implements a test suite for Presto SQL queries using TPC-H data. It includes setup for testing sessions and query runners, as well as metadata and plugins necessary for running tests against the TPC-H schema. The complexity is high due to the extensive set of tests and dependencies involved.</t>
        </is>
      </c>
      <c r="I1411" t="n">
        <v>0.0044</v>
      </c>
      <c r="J1411" t="n">
        <v>0.0667</v>
      </c>
      <c r="K1411" t="n">
        <v>0.123</v>
      </c>
      <c r="L1411" t="inlineStr">
        <is>
          <t>This Java test suite uses TestNG annotations to run Presto queries against a TPC-H database schema. It initializes a `QueryRunner` instance using a custom session builder that sets up a TPC-H dataset with a tiny scale factor. The tests execute various SQL queries to verify the correctness of Presto's performance and query execution capabilities.</t>
        </is>
      </c>
      <c r="M1411" t="n">
        <v>0.004</v>
      </c>
      <c r="N1411" t="n">
        <v>0.0615</v>
      </c>
      <c r="O1411" t="n">
        <v>0.119</v>
      </c>
    </row>
    <row r="1412">
      <c r="A1412" t="inlineStr">
        <is>
          <t>presto</t>
        </is>
      </c>
      <c r="B1412" t="inlineStr">
        <is>
          <t>presto-tests/src/main/java/com/facebook/presto/tests/TestExcludeColumnsFunction.java</t>
        </is>
      </c>
      <c r="C1412">
        <f>HYPERLINK("https://github.com/prestodb/presto/blob/master/presto-tests/src/main/java/com/facebook/presto/tests/TestExcludeColumnsFunction.java")</f>
        <v/>
      </c>
      <c r="D1412" t="inlineStr">
        <is>
          <t>The provided code defines a test case `TestExcludeColumnsFunction` that extends `AbstractTestQueryFramework`. This test case uses Presto's testing framework to execute queries against a TPC-H database schema (`TINY_SCHEMA_NAME`). The purpose of this test is likely to verify the behavior of excluding certain columns from query results using Presto's built-in capabilities. The test does not include any actual implementation</t>
        </is>
      </c>
      <c r="E1412" t="n">
        <v>0.0032</v>
      </c>
      <c r="F1412" t="n">
        <v>0.0563</v>
      </c>
      <c r="G1412" t="n">
        <v>0.1163</v>
      </c>
      <c r="H1412" t="inlineStr">
        <is>
          <t>The repository contains backend software components implementing core algorithms. Complexity is O(N), indicating linear time complexity. The README describes it as containing backend software components and mentions implementation of core algorithms. It also notes that the initial codebase was committed. The total size of the codebase is 1000 lines.</t>
        </is>
      </c>
      <c r="I1412" t="n">
        <v>0.0049</v>
      </c>
      <c r="J1412" t="n">
        <v>0.1379</v>
      </c>
      <c r="K1412" t="n">
        <v>0.1653</v>
      </c>
      <c r="L1412" t="inlineStr">
        <is>
          <t>This test suite verifies that Presto's `EXCLUDE` clause works correctly when used with TPC-H tables. It uses the `AbstractTestQueryFramework` to run queries against a TPC-H database schema, excluding certain columns from the results using the `EXCLUDE` keyword. The tests ensure that only specified columns are returned, while others are excluded based on the query conditions.</t>
        </is>
      </c>
      <c r="M1412" t="n">
        <v>0.0033</v>
      </c>
      <c r="N1412" t="n">
        <v>0.0303</v>
      </c>
      <c r="O1412" t="n">
        <v>0.07870000000000001</v>
      </c>
    </row>
    <row r="1413">
      <c r="A1413" t="inlineStr">
        <is>
          <t>presto</t>
        </is>
      </c>
      <c r="B1413" t="inlineStr">
        <is>
          <t>presto-tests/src/main/java/com/facebook/presto/tests/sql/SqlExecutor.java</t>
        </is>
      </c>
      <c r="C1413">
        <f>HYPERLINK("https://github.com/prestodb/presto/blob/master/presto-tests/src/main/java/com/facebook/presto/tests/sql/SqlExecutor.java")</f>
        <v/>
      </c>
      <c r="D1413" t="inlineStr">
        <is>
          <t>The `SqlExecutor` interface defines a method `execute` that takes a SQL query as input and executes it. This allows users to interact with a database using SQL queries through this interface. The implementation complexity is O(N), where N represents the number of operations performed during execution.</t>
        </is>
      </c>
      <c r="E1413" t="n">
        <v>0.0048</v>
      </c>
      <c r="F1413" t="n">
        <v>0.0727</v>
      </c>
      <c r="G1413" t="n">
        <v>0.1695</v>
      </c>
      <c r="H1413" t="inlineStr">
        <is>
          <t>Provides an interface for executing SQL queries against Presto databases.</t>
        </is>
      </c>
      <c r="I1413" t="n">
        <v>0</v>
      </c>
      <c r="J1413" t="n">
        <v>0</v>
      </c>
      <c r="K1413" t="n">
        <v>0</v>
      </c>
      <c r="L1413" t="inlineStr">
        <is>
          <t>The `SqlExecutor` interface defines a method `execute`, which takes a SQL query as input and executes it using a database connection. The implementation details are left to the implementing classes.</t>
        </is>
      </c>
      <c r="M1413" t="n">
        <v>0.0062</v>
      </c>
      <c r="N1413" t="n">
        <v>0.0526</v>
      </c>
      <c r="O1413" t="n">
        <v>0.1471</v>
      </c>
    </row>
    <row r="1414">
      <c r="A1414" t="inlineStr">
        <is>
          <t>presto</t>
        </is>
      </c>
      <c r="B1414" t="inlineStr">
        <is>
          <t>presto-tests/src/main/java/com/facebook/presto/tests/sql/JdbcSqlExecutor.java</t>
        </is>
      </c>
      <c r="C1414">
        <f>HYPERLINK("https://github.com/prestodb/presto/blob/master/presto-tests/src/main/java/com/facebook/presto/tests/sql/JdbcSqlExecutor.java")</f>
        <v/>
      </c>
      <c r="D1414" t="inlineStr">
        <is>
          <t>The `JdbcSqlExecutor` class provides a simple interface for executing SQL queries using JDBC. It takes a JDBC URL and optional properties as input and establishes a connection to execute SQL statements. The class includes methods for creating a statement, executing queries, and handling exceptions. This implementation is designed to be used within Presto testing framework.</t>
        </is>
      </c>
      <c r="E1414" t="n">
        <v>0.004</v>
      </c>
      <c r="F1414" t="n">
        <v>0.0635</v>
      </c>
      <c r="G1414" t="n">
        <v>0.1575</v>
      </c>
      <c r="H1414" t="inlineStr">
        <is>
          <t>This repository contains backend software components that implement core algorithms using Java JDBC for database interaction. The complexity is high due to the implementation of multiple algorithms, and it includes comments explaining each part of the code. The commits indicate the initial creation of the codebase.</t>
        </is>
      </c>
      <c r="I1414" t="n">
        <v>0.0057</v>
      </c>
      <c r="J1414" t="n">
        <v>0.1852</v>
      </c>
      <c r="K1414" t="n">
        <v>0.2542</v>
      </c>
      <c r="L1414" t="inlineStr">
        <is>
          <t>The `JdbcSqlExecutor` class provides a simple interface for executing SQL queries using JDBC connections. It takes a JDBC URL and optional properties as input and uses them to establish a connection to a database. The class includes methods for running SQL statements and handling exceptions related to database connectivity.</t>
        </is>
      </c>
      <c r="M1414" t="n">
        <v>0.0037</v>
      </c>
      <c r="N1414" t="n">
        <v>0.0351</v>
      </c>
      <c r="O1414" t="n">
        <v>0.08260000000000001</v>
      </c>
    </row>
    <row r="1415">
      <c r="A1415" t="inlineStr">
        <is>
          <t>presto</t>
        </is>
      </c>
      <c r="B1415" t="inlineStr">
        <is>
          <t>presto-tests/src/main/java/com/facebook/presto/tests/sql/TestTable.java</t>
        </is>
      </c>
      <c r="C1415">
        <f>HYPERLINK("https://github.com/prestodb/presto/blob/master/presto-tests/src/main/java/com/facebook/presto/tests/sql/TestTable.java")</f>
        <v/>
      </c>
      <c r="D1415" t="inlineStr">
        <is>
          <t>The `TestTable` class is an implementation of a test table that provides methods for generating unique identifiers using a secure random number generator. It includes a static field `random` initialized with a `SecureRandom` instance. The class also has a method `generateId()` that generates a unique identifier as a string. The generated ID consists of a prefix followed by a sequence number incremented atomically. The</t>
        </is>
      </c>
      <c r="E1415" t="n">
        <v>0</v>
      </c>
      <c r="F1415" t="n">
        <v>0.0278</v>
      </c>
      <c r="G1415" t="n">
        <v>0.0735</v>
      </c>
      <c r="H1415" t="inlineStr">
        <is>
          <t>Implements core algorithms for backend software components. Complexity is O(N).</t>
        </is>
      </c>
      <c r="I1415" t="n">
        <v>0.0251</v>
      </c>
      <c r="J1415" t="n">
        <v>0.2105</v>
      </c>
      <c r="K1415" t="n">
        <v>0.3117</v>
      </c>
      <c r="L1415" t="inlineStr">
        <is>
          <t>The `TestTable` class provides a simple implementation of a test table that generates unique identifiers using a secure random number generator. It includes methods to create tables, insert data, and close resources efficiently. The class uses atomic integers to manage sequence numbers and ensures thread safety during concurrent access.</t>
        </is>
      </c>
      <c r="M1415" t="n">
        <v>0.0037</v>
      </c>
      <c r="N1415" t="n">
        <v>0.0702</v>
      </c>
      <c r="O1415" t="n">
        <v>0.124</v>
      </c>
    </row>
    <row r="1416">
      <c r="A1416" t="inlineStr">
        <is>
          <t>presto</t>
        </is>
      </c>
      <c r="B1416" t="inlineStr">
        <is>
          <t>presto-tests/src/main/java/com/facebook/presto/tests/sql/PrestoSqlExecutor.java</t>
        </is>
      </c>
      <c r="C1416">
        <f>HYPERLINK("https://github.com/prestodb/presto/blob/master/presto-tests/src/main/java/com/facebook/presto/tests/sql/PrestoSqlExecutor.java")</f>
        <v/>
      </c>
      <c r="D1416" t="inlineStr">
        <is>
          <t>The `PrestoSqlExecutor` class provides a simple interface for executing SQL queries using a given `QueryRunner`. It takes a `QueryRunner` instance as a constructor parameter and exposes a single method `execute`, which accepts a SQL string and executes it against the database managed by the `QueryRunner`. This implementation simplifies the process of running SQL commands within a testing environment that uses Presto</t>
        </is>
      </c>
      <c r="E1416" t="n">
        <v>0.0036</v>
      </c>
      <c r="F1416" t="n">
        <v>0.058</v>
      </c>
      <c r="G1416" t="n">
        <v>0.1504</v>
      </c>
      <c r="H1416" t="inlineStr">
        <is>
          <t>This repository contains backend software components implementing core algorithms. The complexity of these implementations is O(N), indicating linear time performance relative to input size. The comments describe the implementation as providing core functionalities. Initial codebase commits were made. The total code size is 1000 lines.</t>
        </is>
      </c>
      <c r="I1416" t="n">
        <v>0.0054</v>
      </c>
      <c r="J1416" t="n">
        <v>0.1852</v>
      </c>
      <c r="K1416" t="n">
        <v>0.1709</v>
      </c>
      <c r="L1416" t="inlineStr">
        <is>
          <t>The `PrestoSqlExecutor` class provides a way to execute SQL queries using a `QueryRunner`. It takes a `QueryRunner` instance as a constructor parameter and exposes a method `execute` that runs the given SQL statement against the configured database session. The implementation ensures that each SQL command is executed within the context of the default session managed by the `QueryRunner`, facilitating integration testing and</t>
        </is>
      </c>
      <c r="M1416" t="n">
        <v>0.0029</v>
      </c>
      <c r="N1416" t="n">
        <v>0.0571</v>
      </c>
      <c r="O1416" t="n">
        <v>0.1119</v>
      </c>
    </row>
    <row r="1417">
      <c r="A1417" t="inlineStr">
        <is>
          <t>presto</t>
        </is>
      </c>
      <c r="B1417" t="inlineStr">
        <is>
          <t>presto-tests/src/main/java/com/facebook/presto/tests/datatype/DataType.java</t>
        </is>
      </c>
      <c r="C1417">
        <f>HYPERLINK("https://github.com/prestodb/presto/blob/master/presto-tests/src/main/java/com/facebook/presto/tests/datatype/DataType.java")</f>
        <v/>
      </c>
      <c r="D1417" t="inlineStr">
        <is>
          <t>The code defines Java classes that represent various data types used in Presto, a columnar processing engine for big data analytics. It includes implementations for common numeric types such as `BigintType`, `BooleanType`, `DoubleType`, `IntegerType`, `RealType`, `SmallintType`, and `TinyintType`. The code is part of a larger project focused on database systems and provides</t>
        </is>
      </c>
      <c r="E1417" t="n">
        <v>0.0035</v>
      </c>
      <c r="F1417" t="n">
        <v>0.0667</v>
      </c>
      <c r="G1417" t="n">
        <v>0.121</v>
      </c>
      <c r="H1417" t="inlineStr">
        <is>
          <t>The code implements core algorithms for backend software components. It includes various data types such as BigintType, BooleanType, DoubleType, IntegerType, RealType, SmallintType, TinyintType, etc., which are used for processing different types of data efficiently. The complexity of the implementation is O(N), indicating that it scales linearly with the input size.</t>
        </is>
      </c>
      <c r="I1417" t="n">
        <v>0.0086</v>
      </c>
      <c r="J1417" t="n">
        <v>0.0678</v>
      </c>
      <c r="K1417" t="n">
        <v>0.2587</v>
      </c>
      <c r="L1417" t="inlineStr">
        <is>
          <t>The code defines utility methods for converting between Presto data types such as `Bigint`, `Boolean`, `Double`, `Integer`, `Real`, `Smallint`, and `Tinyint` using their corresponding Java primitive types (`long`, `boolean`, `double`, `int`, `float`, `short`, and `byte`). These methods facilitate type conversions necessary for interoperability between Presto's</t>
        </is>
      </c>
      <c r="M1417" t="n">
        <v>0.0041</v>
      </c>
      <c r="N1417" t="n">
        <v>0.037</v>
      </c>
      <c r="O1417" t="n">
        <v>0.08550000000000001</v>
      </c>
    </row>
    <row r="1418">
      <c r="A1418" t="inlineStr">
        <is>
          <t>presto</t>
        </is>
      </c>
      <c r="B1418" t="inlineStr">
        <is>
          <t>presto-tests/src/main/java/com/facebook/presto/tests/datatype/DataSetup.java</t>
        </is>
      </c>
      <c r="C1418">
        <f>HYPERLINK("https://github.com/prestodb/presto/blob/master/presto-tests/src/main/java/com/facebook/presto/tests/datatype/DataSetup.java")</f>
        <v/>
      </c>
      <c r="D1418" t="inlineStr">
        <is>
          <t>The `DataSetup` interface defines a method `setupTestTable` that takes a list of input data types and returns a test table configuration object. This method is used to set up tables for testing purposes in Presto, which is a columnar processing engine designed for big data analytics. The implementation complexity is O(N), where N represents the number of input data types.</t>
        </is>
      </c>
      <c r="E1418" t="n">
        <v>0.0036</v>
      </c>
      <c r="F1418" t="n">
        <v>0.058</v>
      </c>
      <c r="G1418" t="n">
        <v>0.1515</v>
      </c>
      <c r="H1418" t="inlineStr">
        <is>
          <t>The code defines an `DataSetup` interface that provides methods for setting up test tables using various data types. It includes comments explaining its purpose and implementation details, as well as metadata about complexity and size.</t>
        </is>
      </c>
      <c r="I1418" t="n">
        <v>0.0053</v>
      </c>
      <c r="J1418" t="n">
        <v>0.093</v>
      </c>
      <c r="K1418" t="n">
        <v>0.1402</v>
      </c>
      <c r="L1418" t="inlineStr">
        <is>
          <t>The `DataSetup` interface provides a method `setupTestTable` that takes a list of input data types and returns a `TestTable`, which represents a test table used in Presto SQL tests. The implementation complexity is O(N), where N is the number of input data types.</t>
        </is>
      </c>
      <c r="M1418" t="n">
        <v>0.0043</v>
      </c>
      <c r="N1418" t="n">
        <v>0.0385</v>
      </c>
      <c r="O1418" t="n">
        <v>0.1304</v>
      </c>
    </row>
    <row r="1419">
      <c r="A1419" t="inlineStr">
        <is>
          <t>presto</t>
        </is>
      </c>
      <c r="B1419" t="inlineStr">
        <is>
          <t>presto-tests/src/main/java/com/facebook/presto/tests/datatype/CreateAsSelectDataSetup.java</t>
        </is>
      </c>
      <c r="C1419">
        <f>HYPERLINK("https://github.com/prestodb/presto/blob/master/presto-tests/src/main/java/com/facebook/presto/tests/datatype/CreateAsSelectDataSetup.java")</f>
        <v/>
      </c>
      <c r="D1419" t="inlineStr">
        <is>
          <t>The `CreateAsSelectDataSetup` class provides a setup mechanism for creating test data using SQL queries. It includes methods to generate test tables based on specified schemas and populate them with sample data. The class uses the Presto SQL engine's `SqlExecutor` to execute SQL commands and create tables dynamically. This allows for easy testing scenarios where predefined datasets are needed.</t>
        </is>
      </c>
      <c r="E1419" t="n">
        <v>0.0037</v>
      </c>
      <c r="F1419" t="n">
        <v>0.0299</v>
      </c>
      <c r="G1419" t="n">
        <v>0.1154</v>
      </c>
      <c r="H1419" t="inlineStr">
        <is>
          <t>Manages data setup using SQL executor and test tables. Complexity depends on dataset size.</t>
        </is>
      </c>
      <c r="I1419" t="n">
        <v>0.0143</v>
      </c>
      <c r="J1419" t="n">
        <v>0.09089999999999999</v>
      </c>
      <c r="K1419" t="n">
        <v>0.1163</v>
      </c>
      <c r="L1419" t="inlineStr">
        <is>
          <t>This Java class `CreateAsSelectDataSetup` is part of a Presto testing framework that sets up data using SQL queries. It creates test tables based on predefined schemas and populates them with sample data generated from random integers. The class uses Google Guava's Joiner for string concatenation and streams to process integer ranges efficiently.</t>
        </is>
      </c>
      <c r="M1419" t="n">
        <v>0.0042</v>
      </c>
      <c r="N1419" t="n">
        <v>0.06560000000000001</v>
      </c>
      <c r="O1419" t="n">
        <v>0.121</v>
      </c>
    </row>
    <row r="1420">
      <c r="A1420" t="inlineStr">
        <is>
          <t>presto</t>
        </is>
      </c>
      <c r="B1420" t="inlineStr">
        <is>
          <t>presto-tests/src/main/java/com/facebook/presto/tests/datatype/DataTypeTest.java</t>
        </is>
      </c>
      <c r="C1420">
        <f>HYPERLINK("https://github.com/prestodb/presto/blob/master/presto-tests/src/main/java/com/facebook/presto/tests/datatype/DataTypeTest.java")</f>
        <v/>
      </c>
      <c r="D1420" t="inlineStr">
        <is>
          <t>The code appears to be part of a Presto testing framework used for verifying data types and queries against various backends. It includes classes such as `Session`, `Type`, `MaterializedResult`, `QueryRunner`, and `TestTable`. The complexity is O(N), indicating that it processes elements linearly based on input size N. The comments suggest that the implementation focuses on core algorithms related to</t>
        </is>
      </c>
      <c r="E1420" t="n">
        <v>0.0037</v>
      </c>
      <c r="F1420" t="n">
        <v>0.0588</v>
      </c>
      <c r="G1420" t="n">
        <v>0.1527</v>
      </c>
      <c r="H1420" t="inlineStr">
        <is>
          <t>The repository contains backend software components implementing core algorithms. Complexity is O(N), indicating linear time complexity. The README provides information about the license, package name, class names, method signatures, and comments describing the implementation details. The code size is 1000 lines.</t>
        </is>
      </c>
      <c r="I1420" t="n">
        <v>0.0059</v>
      </c>
      <c r="J1420" t="n">
        <v>0.16</v>
      </c>
      <c r="K1420" t="n">
        <v>0.177</v>
      </c>
      <c r="L1420" t="inlineStr">
        <is>
          <t>The code defines utility methods for testing Presto data types using a `QueryRunner`. It includes functions to create test tables, execute queries against these tables, and retrieve results as `MaterializedResult` objects. The class also provides helper methods for handling session configurations and type conversions.</t>
        </is>
      </c>
      <c r="M1420" t="n">
        <v>0.0042</v>
      </c>
      <c r="N1420" t="n">
        <v>0.0769</v>
      </c>
      <c r="O1420" t="n">
        <v>0.0862</v>
      </c>
    </row>
    <row r="1421">
      <c r="A1421" t="inlineStr">
        <is>
          <t>presto</t>
        </is>
      </c>
      <c r="B1421" t="inlineStr">
        <is>
          <t>presto-tests/src/main/java/com/facebook/presto/tests/datatype/CreateAndInsertDataSetup.java</t>
        </is>
      </c>
      <c r="C1421">
        <f>HYPERLINK("https://github.com/prestodb/presto/blob/master/presto-tests/src/main/java/com/facebook/presto/tests/datatype/CreateAndInsertDataSetup.java")</f>
        <v/>
      </c>
      <c r="D1421" t="inlineStr">
        <is>
          <t>The `CreateAndInsertDataSetup` class provides methods for setting up test data sets in Presto SQL tests. It includes functionalities such as creating tables, inserting data into these tables, and executing SQL queries against them using the `SqlExecutor`. The class uses Google Guava's `Joiner` for string concatenation and Java Streams for processing lists of integers. The complexity of the implementation is O</t>
        </is>
      </c>
      <c r="E1421" t="n">
        <v>0.003</v>
      </c>
      <c r="F1421" t="n">
        <v>0.058</v>
      </c>
      <c r="G1421" t="n">
        <v>0.1136</v>
      </c>
      <c r="H1421" t="inlineStr">
        <is>
          <t>Implements core algorithms for data processing.</t>
        </is>
      </c>
      <c r="I1421" t="n">
        <v>0.0293</v>
      </c>
      <c r="J1421" t="n">
        <v>0.2857</v>
      </c>
      <c r="K1421" t="n">
        <v>0.2404</v>
      </c>
      <c r="L1421" t="inlineStr">
        <is>
          <t>This Java class, `CreateAndInsertDataSetup`, provides methods to set up test data sets in Presto SQL using a `SqlExecutor`. It includes creating tables and inserting predefined data into them based on specified configurations. The class uses Google Guava's `Joiner` for string concatenation and streams from Java 8 to handle list operations efficiently.</t>
        </is>
      </c>
      <c r="M1421" t="n">
        <v>0.0043</v>
      </c>
      <c r="N1421" t="n">
        <v>0.0667</v>
      </c>
      <c r="O1421" t="n">
        <v>0.122</v>
      </c>
    </row>
    <row r="1422">
      <c r="A1422" t="inlineStr">
        <is>
          <t>presto</t>
        </is>
      </c>
      <c r="B1422" t="inlineStr">
        <is>
          <t>presto-tests/src/main/java/com/facebook/presto/tests/statistics/Metric.java</t>
        </is>
      </c>
      <c r="C1422">
        <f>HYPERLINK("https://github.com/prestodb/presto/blob/master/presto-tests/src/main/java/com/facebook/presto/tests/statistics/Metric.java")</f>
        <v/>
      </c>
      <c r="D1422" t="inlineStr">
        <is>
          <t>The provided Java interface `Metric` defines methods for extracting metrics from different sources: plan node statistics estimates, aggregation query results, and computing SQL queries related to aggregations. It includes optional double values for metric retrieval and strings for SQL computation. The complexity is O(N), indicating linear time operations based on input size.</t>
        </is>
      </c>
      <c r="E1422" t="n">
        <v>0.0035</v>
      </c>
      <c r="F1422" t="n">
        <v>0.0328</v>
      </c>
      <c r="G1422" t="n">
        <v>0.0403</v>
      </c>
      <c r="H1422" t="inlineStr">
        <is>
          <t>Provides interfaces for calculating metrics from Presto query statistics estimates and aggregation results. Complexity is O(N) due to potential iteration over data structures.</t>
        </is>
      </c>
      <c r="I1422" t="n">
        <v>0.0083</v>
      </c>
      <c r="J1422" t="n">
        <v>0.0625</v>
      </c>
      <c r="K1422" t="n">
        <v>0.0526</v>
      </c>
      <c r="L1422" t="inlineStr">
        <is>
          <t>This Java interface defines methods for extracting metrics from `PlanNodeStatsEstimate` objects and aggregation query results. It includes methods to retrieve values based on these estimates and SQL queries related to aggregations. The implementation complexity is O(N), as it involves processing data structures that can grow linearly with input size.</t>
        </is>
      </c>
      <c r="M1422" t="n">
        <v>0.0045</v>
      </c>
      <c r="N1422" t="n">
        <v>0.06900000000000001</v>
      </c>
      <c r="O1422" t="n">
        <v>0.124</v>
      </c>
    </row>
    <row r="1423">
      <c r="A1423" t="inlineStr">
        <is>
          <t>presto</t>
        </is>
      </c>
      <c r="B1423" t="inlineStr">
        <is>
          <t>presto-tests/src/main/java/com/facebook/presto/tests/statistics/MetricComparisonStrategies.java</t>
        </is>
      </c>
      <c r="C1423">
        <f>HYPERLINK("https://github.com/prestodb/presto/blob/master/presto-tests/src/main/java/com/facebook/presto/tests/statistics/MetricComparisonStrategies.java")</f>
        <v/>
      </c>
      <c r="D1423" t="inlineStr">
        <is>
          <t>The `MetricComparisonStrategies` class provides strategies for comparing metrics, including a strategy that allows for no error tolerance (`noError()`), which returns an instance of `absoluteError()` with zero as the error value. The `absoluteError()` method takes two parameters: minimum and maximum acceptable errors, allowing for more flexible comparison logic based on expected precision levels. This class is part of Presto's</t>
        </is>
      </c>
      <c r="E1423" t="n">
        <v>0.0037</v>
      </c>
      <c r="F1423" t="n">
        <v>0.0597</v>
      </c>
      <c r="G1423" t="n">
        <v>0.1154</v>
      </c>
      <c r="H1423" t="inlineStr">
        <is>
          <t>The code provides implementations for metric comparison strategies, including `noError` and `absoluteError`, which calculate errors based on given thresholds. It includes comments explaining the purpose and usage of each method, as well as a license statement. The complexity is described as \(O(N)\), but without additional context, it's unclear what \(N\) represents. The README indicates that this repository contains backend software components</t>
        </is>
      </c>
      <c r="I1423" t="n">
        <v>0.0036</v>
      </c>
      <c r="J1423" t="n">
        <v>0.0563</v>
      </c>
      <c r="K1423" t="n">
        <v>0.1504</v>
      </c>
      <c r="L1423" t="inlineStr">
        <is>
          <t>The `MetricComparisonStrategies` class provides strategies for comparing metrics, including a strategy that returns zero error and another that allows specifying both positive and negative allowable errors. The implementation focuses on ensuring input validation through preconditions.</t>
        </is>
      </c>
      <c r="M1423" t="n">
        <v>0.0053</v>
      </c>
      <c r="N1423" t="n">
        <v>0.0465</v>
      </c>
      <c r="O1423" t="n">
        <v>0.0935</v>
      </c>
    </row>
    <row r="1424">
      <c r="A1424" t="inlineStr">
        <is>
          <t>presto</t>
        </is>
      </c>
      <c r="B1424" t="inlineStr">
        <is>
          <t>presto-tests/src/main/java/com/facebook/presto/tests/statistics/Metrics.java</t>
        </is>
      </c>
      <c r="C1424">
        <f>HYPERLINK("https://github.com/prestodb/presto/blob/master/presto-tests/src/main/java/com/facebook/presto/tests/statistics/Metrics.java")</f>
        <v/>
      </c>
      <c r="D1424" t="inlineStr">
        <is>
          <t>The provided code defines a `Metrics` class within the `com.facebook.presto.tests.statistics` package. It includes a single metric named `OUTPUT_ROW_COUNT`. This metric represents the estimated number of rows output by a query plan node during execution. The class provides methods to retrieve the value of this metric from a `PlanNodeStatsEstimate`, which encapsulates statistics about the performance of a SQL</t>
        </is>
      </c>
      <c r="E1424" t="n">
        <v>0.0032</v>
      </c>
      <c r="F1424" t="n">
        <v>0.0282</v>
      </c>
      <c r="G1424" t="n">
        <v>0.0388</v>
      </c>
      <c r="H1424" t="inlineStr">
        <is>
          <t>This repository contains backend software components that implement core algorithms. The complexity of these implementations is O(N), indicating linear time complexity relative to the input size N. The comments provide details about the implementation's purpose and structure. The commits include an initial codebase commit. The total code size is 1000 lines.</t>
        </is>
      </c>
      <c r="I1424" t="n">
        <v>0.0051</v>
      </c>
      <c r="J1424" t="n">
        <v>0.1639</v>
      </c>
      <c r="K1424" t="n">
        <v>0.2033</v>
      </c>
      <c r="L1424" t="inlineStr">
        <is>
          <t>The `Metrics` class provides utility methods for calculating statistics related to query execution plans in Presto, such as output row count and variable statistics estimates. It includes constants representing different metrics like `OUTPUT_ROW_COUNT`, which can be used to estimate the number of rows produced by a query plan node. The class also offers methods to calculate these statistics based on input data.</t>
        </is>
      </c>
      <c r="M1424" t="n">
        <v>0.0029</v>
      </c>
      <c r="N1424" t="n">
        <v>0.0278</v>
      </c>
      <c r="O1424" t="n">
        <v>0.0746</v>
      </c>
    </row>
    <row r="1425">
      <c r="A1425" t="inlineStr">
        <is>
          <t>presto</t>
        </is>
      </c>
      <c r="B1425" t="inlineStr">
        <is>
          <t>presto-tests/src/main/java/com/facebook/presto/tests/statistics/MetricComparison.java</t>
        </is>
      </c>
      <c r="C1425">
        <f>HYPERLINK("https://github.com/prestodb/presto/blob/master/presto-tests/src/main/java/com/facebook/presto/tests/statistics/MetricComparison.java")</f>
        <v/>
      </c>
      <c r="D1425" t="inlineStr">
        <is>
          <t>The code implements a metric comparison system that evaluates statistical metrics between two datasets. It includes methods to compare various statistics such as mean, median, standard deviation, etc., and provides results indicating whether the values match, differ significantly, have no baseline data, or lack estimates. The implementation uses Java's `OptionalDouble` for handling missing data points.</t>
        </is>
      </c>
      <c r="E1425" t="n">
        <v>0.004</v>
      </c>
      <c r="F1425" t="n">
        <v>0.0625</v>
      </c>
      <c r="G1425" t="n">
        <v>0.1181</v>
      </c>
      <c r="H1425" t="inlineStr">
        <is>
          <t>The code implements core algorithms for statistical analysis within Presto's testing framework. It includes methods for comparing metrics between different estimates and baselines, using Java libraries like `OptionalDouble` from the `java.util` package. The complexity is O(N), indicating that it processes data linearly based on input size.</t>
        </is>
      </c>
      <c r="I1425" t="n">
        <v>0.0094</v>
      </c>
      <c r="J1425" t="n">
        <v>0.1053</v>
      </c>
      <c r="K1425" t="n">
        <v>0.2675</v>
      </c>
      <c r="L1425" t="inlineStr">
        <is>
          <t>The provided code implements a system for comparing statistical metrics between different versions of Presto queries. It includes methods for calculating metric differences, determining if there's a baseline available, estimating missing values, and matching results based on predefined criteria. The code uses Java classes and interfaces from the `com.facebook.presto.tests.statistics` package, adhering to the Apache License version 2.0.</t>
        </is>
      </c>
      <c r="M1425" t="n">
        <v>0.0038</v>
      </c>
      <c r="N1425" t="n">
        <v>0.0563</v>
      </c>
      <c r="O1425" t="n">
        <v>0.1163</v>
      </c>
    </row>
    <row r="1426">
      <c r="A1426" t="inlineStr">
        <is>
          <t>presto</t>
        </is>
      </c>
      <c r="B1426" t="inlineStr">
        <is>
          <t>presto-tests/src/main/java/com/facebook/presto/tests/statistics/MetricComparisonStrategy.java</t>
        </is>
      </c>
      <c r="C1426">
        <f>HYPERLINK("https://github.com/prestodb/presto/blob/master/presto-tests/src/main/java/com/facebook/presto/tests/statistics/MetricComparisonStrategy.java")</f>
        <v/>
      </c>
      <c r="D1426" t="inlineStr">
        <is>
          <t>The `MetricComparisonStrategy` interface defines a method `matches` that takes two parameters: `actual` and `estimate`, both doubles. It returns true if the absolute difference between these values is less than a predefined threshold, indicating they match within acceptable error bounds. This interface is used to compare estimated metrics against actual measurements in statistical analysis tasks.</t>
        </is>
      </c>
      <c r="E1426" t="n">
        <v>0.004</v>
      </c>
      <c r="F1426" t="n">
        <v>0.0323</v>
      </c>
      <c r="G1426" t="n">
        <v>0.119</v>
      </c>
      <c r="H1426" t="inlineStr">
        <is>
          <t>Provides an interface for comparing metrics, allowing different strategies to be used based on the actual and estimated values.</t>
        </is>
      </c>
      <c r="I1426" t="n">
        <v>0.0102</v>
      </c>
      <c r="J1426" t="n">
        <v>0.0741</v>
      </c>
      <c r="K1426" t="n">
        <v>0.1099</v>
      </c>
      <c r="L1426" t="inlineStr">
        <is>
          <t>The `MetricComparisonStrategy` interface defines a method `matches` that takes two parameters, `actual` and `estimate`, and returns a boolean indicating whether they match based on some comparison criteria defined by the implementing class. The implementation complexity is O(1), as it involves simple arithmetic comparisons.</t>
        </is>
      </c>
      <c r="M1426" t="n">
        <v>0.0043</v>
      </c>
      <c r="N1426" t="n">
        <v>0.0385</v>
      </c>
      <c r="O1426" t="n">
        <v>0.08699999999999999</v>
      </c>
    </row>
    <row r="1427">
      <c r="A1427" t="inlineStr">
        <is>
          <t>presto</t>
        </is>
      </c>
      <c r="B1427" t="inlineStr">
        <is>
          <t>presto-tests/src/main/java/com/facebook/presto/tests/statistics/StatsContext.java</t>
        </is>
      </c>
      <c r="C1427">
        <f>HYPERLINK("https://github.com/prestodb/presto/blob/master/presto-tests/src/main/java/com/facebook/presto/tests/statistics/StatsContext.java")</f>
        <v/>
      </c>
      <c r="D1427" t="inlineStr">
        <is>
          <t>The `StatsContext` class is part of Presto's statistics module. It manages variable references for columns used in queries, ensuring that each column has a unique reference expression. The class uses a map to store these references, where keys are column names and values are corresponding `VariableReferenceExpression` objects. This setup helps maintain consistency and clarity when working with query variables across different parts of the system.</t>
        </is>
      </c>
      <c r="E1427" t="n">
        <v>0.0033</v>
      </c>
      <c r="F1427" t="n">
        <v>0.0541</v>
      </c>
      <c r="G1427" t="n">
        <v>0.1095</v>
      </c>
      <c r="H1427" t="inlineStr">
        <is>
          <t>This repository contains backend software components implementing core algorithms. The complexity is O(N), indicating linear time performance relative to input size N. Comments describe the implementation details, while commits track the initial creation of the codebase. The total code size is 1000 lines.</t>
        </is>
      </c>
      <c r="I1427" t="n">
        <v>0.0056</v>
      </c>
      <c r="J1427" t="n">
        <v>0.1538</v>
      </c>
      <c r="K1427" t="n">
        <v>0.1739</v>
      </c>
      <c r="L1427" t="inlineStr">
        <is>
          <t>The `StatsContext` class manages variable references associated with columns in Presto SQL queries. It provides methods to retrieve these variables and ensures that they are valid before being used. The class uses a map to store column names as keys and their corresponding `VariableReferenceExpression` objects as values.</t>
        </is>
      </c>
      <c r="M1427" t="n">
        <v>0.0039</v>
      </c>
      <c r="N1427" t="n">
        <v>0.0364</v>
      </c>
      <c r="O1427" t="n">
        <v>0.08400000000000001</v>
      </c>
    </row>
    <row r="1428">
      <c r="A1428" t="inlineStr">
        <is>
          <t>presto</t>
        </is>
      </c>
      <c r="B1428" t="inlineStr">
        <is>
          <t>presto-tests/src/main/java/com/facebook/presto/tests/statistics/StatisticsAssertion.java</t>
        </is>
      </c>
      <c r="C1428">
        <f>HYPERLINK("https://github.com/prestodb/presto/blob/master/presto-tests/src/main/java/com/facebook/presto/tests/statistics/StatisticsAssertion.java")</f>
        <v/>
      </c>
      <c r="D1428" t="inlineStr">
        <is>
          <t>The code appears to be part of Presto's testing framework, specifically related to statistical analysis. It includes methods for comparing metrics between different query runners using `MetricComparator`. The complexity is O(N), indicating that it processes data linearly based on the number of elements being compared. The comments suggest that the implementation focuses on core algorithms used in performance testing and statistics within Presto.</t>
        </is>
      </c>
      <c r="E1428" t="n">
        <v>0.0034</v>
      </c>
      <c r="F1428" t="n">
        <v>0.0822</v>
      </c>
      <c r="G1428" t="n">
        <v>0.1481</v>
      </c>
      <c r="H1428" t="inlineStr">
        <is>
          <t>The code provides a set of backend software components that implement core algorithms. The README describes it as containing backend software components and mentions that the implementation involves core algorithms. The complexity is described as O(N), indicating linear time complexity. The comments explain the purpose of the code, which is to provide backend software components implementing core algorithms.</t>
        </is>
      </c>
      <c r="I1428" t="n">
        <v>0.0041</v>
      </c>
      <c r="J1428" t="n">
        <v>0.1194</v>
      </c>
      <c r="K1428" t="n">
        <v>0.2428</v>
      </c>
      <c r="L1428" t="inlineStr">
        <is>
          <t>The code provides utility functions for comparing query statistics between different Presto query runners using metric comparisons. It includes methods for running queries, retrieving statistics, and comparing them based on various metrics such as execution time, memory usage, and row count. The implementation focuses on maintaining clarity and efficiency through well-documented comments and optimized data structures.</t>
        </is>
      </c>
      <c r="M1428" t="n">
        <v>0.0033</v>
      </c>
      <c r="N1428" t="n">
        <v>0.0615</v>
      </c>
      <c r="O1428" t="n">
        <v>0.1172</v>
      </c>
    </row>
    <row r="1429">
      <c r="A1429" t="inlineStr">
        <is>
          <t>presto</t>
        </is>
      </c>
      <c r="B1429" t="inlineStr">
        <is>
          <t>presto-tests/src/main/java/com/facebook/presto/tests/statistics/MetricComparator.java</t>
        </is>
      </c>
      <c r="C1429">
        <f>HYPERLINK("https://github.com/prestodb/presto/blob/master/presto-tests/src/main/java/com/facebook/presto/tests/statistics/MetricComparator.java")</f>
        <v/>
      </c>
      <c r="D1429" t="inlineStr">
        <is>
          <t>The provided code is part of Presto's testing framework, specifically within the `com.facebook.presto.tests.statistics` package. It includes classes that estimate statistics for SQL queries using various plan nodes. The code uses annotations like `@Test`, `@BeforeClass`, and `@AfterClass` to define test methods and lifecycle hooks. The main class appears to be responsible for setting up and running</t>
        </is>
      </c>
      <c r="E1429" t="n">
        <v>0.0033</v>
      </c>
      <c r="F1429" t="n">
        <v>0.0294</v>
      </c>
      <c r="G1429" t="n">
        <v>0.07870000000000001</v>
      </c>
      <c r="H1429" t="inlineStr">
        <is>
          <t>The repository contains backend software components implementing core algorithms. The complexity is O(N), indicating linear time complexity. Comments describe the implementation details, while commits document the initial creation of the codebase. The total size of the code is 1000 lines.</t>
        </is>
      </c>
      <c r="I1429" t="n">
        <v>0.0055</v>
      </c>
      <c r="J1429" t="n">
        <v>0.1224</v>
      </c>
      <c r="K1429" t="n">
        <v>0.1339</v>
      </c>
      <c r="L1429" t="inlineStr">
        <is>
          <t>This Java class provides methods to estimate statistics for Presto SQL queries using test data. It includes functions to calculate plan node statistics estimates based on session configurations, input/output nodes, variable references, plans, materialized rows, and warning collectors. The implementation focuses on core algorithms and is part of a larger backend software component repository.</t>
        </is>
      </c>
      <c r="M1429" t="n">
        <v>0.0048</v>
      </c>
      <c r="N1429" t="n">
        <v>0.127</v>
      </c>
      <c r="O1429" t="n">
        <v>0.2381</v>
      </c>
    </row>
    <row r="1430">
      <c r="A1430" t="inlineStr">
        <is>
          <t>presto</t>
        </is>
      </c>
      <c r="B1430" t="inlineStr">
        <is>
          <t>presto-tests/src/main/java/com/facebook/presto/tests/tpcds/TpcdsTableName.java</t>
        </is>
      </c>
      <c r="C1430">
        <f>HYPERLINK("https://github.com/prestodb/presto/blob/master/presto-tests/src/main/java/com/facebook/presto/tests/tpcds/TpcdsTableName.java")</f>
        <v/>
      </c>
      <c r="D1430" t="inlineStr">
        <is>
          <t>The code defines an enumeration `TpcdsTableName` that represents various tables used in the TPCH (Transaction Processing Performance Council) benchmark suite. Each table has a corresponding constant name. The complexity of the implementation is O(1), as it involves simple enumeration definitions without any loops or complex calculations. The comments indicate that the implementation includes core algorithms related to handling TPCH data. The code size is</t>
        </is>
      </c>
      <c r="E1430" t="n">
        <v>0.0028</v>
      </c>
      <c r="F1430" t="n">
        <v>0.0548</v>
      </c>
      <c r="G1430" t="n">
        <v>0.1103</v>
      </c>
      <c r="H1430" t="inlineStr">
        <is>
          <t>The code defines an enumeration `TpcdsTableName` that represents various tables used in the TPCH (Transaction Processing Performance Council) benchmark suite. Each table has its own corresponding constant within the enumeration. The README provides information about the repository's purpose, complexity, comments, commits, and size.</t>
        </is>
      </c>
      <c r="I1430" t="n">
        <v>0.0043</v>
      </c>
      <c r="J1430" t="n">
        <v>0.0385</v>
      </c>
      <c r="K1430" t="n">
        <v>0.08699999999999999</v>
      </c>
      <c r="L1430" t="inlineStr">
        <is>
          <t>The `TpcdsTableName` enum defines constants representing various tables used in the TPCH (Transaction Processing Performance Council) benchmark suite, which is commonly used for testing database performance. The enum provides a convenient way to reference these table names throughout the application, improving code clarity and maintainability.</t>
        </is>
      </c>
      <c r="M1430" t="n">
        <v>0.0041</v>
      </c>
      <c r="N1430" t="n">
        <v>0.0377</v>
      </c>
      <c r="O1430" t="n">
        <v>0.08550000000000001</v>
      </c>
    </row>
    <row r="1431">
      <c r="A1431" t="inlineStr">
        <is>
          <t>presto</t>
        </is>
      </c>
      <c r="B1431" t="inlineStr">
        <is>
          <t>presto-tests/src/main/java/com/facebook/presto/tests/tpch/MaterializedTupleRecordSet.java</t>
        </is>
      </c>
      <c r="C1431">
        <f>HYPERLINK("https://github.com/prestodb/presto/blob/master/presto-tests/src/main/java/com/facebook/presto/tests/tpch/MaterializedTupleRecordSet.java")</f>
        <v/>
      </c>
      <c r="D1431" t="inlineStr">
        <is>
          <t>The provided code defines a class `Mate` within the package `com.facebook.presto.tests.tpch`. It appears to be part of Presto's TPC-H test suite, likely used for testing data processing capabilities. The class does not contain any implementation details; instead, it includes comments that describe its purpose and usage. The complexity is marked as O(N), indicating linear time complexity, but</t>
        </is>
      </c>
      <c r="E1431" t="n">
        <v>0.0032</v>
      </c>
      <c r="F1431" t="n">
        <v>0.0556</v>
      </c>
      <c r="G1431" t="n">
        <v>0.1163</v>
      </c>
      <c r="H1431" t="inlineStr">
        <is>
          <t>This repository contains backend software components that implement core algorithms. The complexity of these implementations is O(N), indicating linear time performance relative to the size of the input data.</t>
        </is>
      </c>
      <c r="I1431" t="n">
        <v>0.008500000000000001</v>
      </c>
      <c r="J1431" t="n">
        <v>0.2105</v>
      </c>
      <c r="K1431" t="n">
        <v>0.198</v>
      </c>
      <c r="L1431" t="inlineStr">
        <is>
          <t>This class appears to be part of Presto's TPC-H test suite, designed to provide materialized results from TPCH queries. It includes methods for creating record sets based on predefined data types and slices, which can be used to simulate query execution environments. The class uses Google Guava's `ImmutableList` for storing column names and values, leveraging Airline's `Slice` for efficient storage</t>
        </is>
      </c>
      <c r="M1431" t="n">
        <v>0.0036</v>
      </c>
      <c r="N1431" t="n">
        <v>0.0556</v>
      </c>
      <c r="O1431" t="n">
        <v>0.1136</v>
      </c>
    </row>
    <row r="1432">
      <c r="A1432" t="inlineStr">
        <is>
          <t>presto</t>
        </is>
      </c>
      <c r="B1432" t="inlineStr">
        <is>
          <t>presto-tests/src/main/java/com/facebook/presto/tests/tpch/ExampleSystemTable.java</t>
        </is>
      </c>
      <c r="C1432">
        <f>HYPERLINK("https://github.com/prestodb/presto/blob/master/presto-tests/src/main/java/com/facebook/presto/tests/tpch/ExampleSystemTable.java")</f>
        <v/>
      </c>
      <c r="D1432" t="inlineStr">
        <is>
          <t>The provided code defines a class `TpchSystemTable` that implements the `SystemTable` interface for a TPC-H database schema. It provides access to system metadata tables such as `information_schema.tables`, which includes details about all available tables in the database. The implementation uses In-Memory RecordSets to return data from these tables without querying any external storage systems. The complexity of the implementation is</t>
        </is>
      </c>
      <c r="E1432" t="n">
        <v>0.003</v>
      </c>
      <c r="F1432" t="n">
        <v>0.0278</v>
      </c>
      <c r="G1432" t="n">
        <v>0.07580000000000001</v>
      </c>
      <c r="H1432" t="inlineStr">
        <is>
          <t>This repository contains backend software components that implement core algorithms. The complexity of these implementations is O(N), indicating linear time performance relative to the size of the input data. The codebase has been initialized with a single commit containing the initial implementation.</t>
        </is>
      </c>
      <c r="I1432" t="n">
        <v>0.0058</v>
      </c>
      <c r="J1432" t="n">
        <v>0.1569</v>
      </c>
      <c r="K1432" t="n">
        <v>0.1754</v>
      </c>
      <c r="L1432" t="inlineStr">
        <is>
          <t>The provided code implements a system table that returns TPC-H data for testing purposes. It uses Presto's SPI interfaces to define a connector session, table metadata, record set, and cursor. The `getRecordSet` method constructs an InMemoryRecordSet containing sample TPC-H data based on the specified schema and tuple domain. The implementation includes comments explaining the purpose and usage of each part of</t>
        </is>
      </c>
      <c r="M1432" t="n">
        <v>0.0036</v>
      </c>
      <c r="N1432" t="n">
        <v>0.0556</v>
      </c>
      <c r="O1432" t="n">
        <v>0.1128</v>
      </c>
    </row>
    <row r="1433">
      <c r="A1433" t="inlineStr">
        <is>
          <t>presto</t>
        </is>
      </c>
      <c r="B1433" t="inlineStr">
        <is>
          <t>presto-tests/src/main/java/com/facebook/presto/tests/tpch/TpchIndexProvider.java</t>
        </is>
      </c>
      <c r="C1433">
        <f>HYPERLINK("https://github.com/prestodb/presto/blob/master/presto-tests/src/main/java/com/facebook/presto/tests/tpch/TpchIndexProvider.java")</f>
        <v/>
      </c>
      <c r="D1433" t="inlineStr">
        <is>
          <t>The provided code is part of a Presto database system's TPC-H test suite implementation. It includes classes and methods related to querying data from a connector index using TupleDomain predicates. The code is licensed under the Apache License 2.0. The complexity of the operations is O(N), indicating linear time complexity relative to the number of rows being processed. The comments describe the implementation of core algorithms</t>
        </is>
      </c>
      <c r="E1433" t="n">
        <v>0.0033</v>
      </c>
      <c r="F1433" t="n">
        <v>0.0513</v>
      </c>
      <c r="G1433" t="n">
        <v>0.1449</v>
      </c>
      <c r="H1433" t="inlineStr">
        <is>
          <t>The code provides a backend implementation of core algorithms for Presto's TPC-H tests. It includes classes such as `ConnectorIndex` and methods related to tuple domain handling and record set retrieval. The complexity is O(N), indicating that it processes data linearly based on input size.</t>
        </is>
      </c>
      <c r="I1433" t="n">
        <v>0.005</v>
      </c>
      <c r="J1433" t="n">
        <v>0.1091</v>
      </c>
      <c r="K1433" t="n">
        <v>0.1293</v>
      </c>
      <c r="L1433" t="inlineStr">
        <is>
          <t>The code implements a connector index interface for TPC-H data, providing methods to retrieve record sets based on tuple domains and column handles. It uses NullableValue and TupleDomain objects from Presto's common library to handle null values and filter conditions efficiently. The implementation complexity is O(N), where N represents the number of rows that match the specified tuple domain.</t>
        </is>
      </c>
      <c r="M1433" t="n">
        <v>0.0037</v>
      </c>
      <c r="N1433" t="n">
        <v>0.0571</v>
      </c>
      <c r="O1433" t="n">
        <v>0.1145</v>
      </c>
    </row>
    <row r="1434">
      <c r="A1434" t="inlineStr">
        <is>
          <t>presto</t>
        </is>
      </c>
      <c r="B1434" t="inlineStr">
        <is>
          <t>presto-tests/src/main/java/com/facebook/presto/tests/tpch/TpchIndexHandle.java</t>
        </is>
      </c>
      <c r="C1434">
        <f>HYPERLINK("https://github.com/prestodb/presto/blob/master/presto-tests/src/main/java/com/facebook/presto/tests/tpch/TpchIndexHandle.java")</f>
        <v/>
      </c>
      <c r="D1434" t="inlineStr">
        <is>
          <t>The provided code defines a Java class `Tp` within the package `com.facebook.presto.tests.tpch`. It includes annotations for JSON serialization (`@JsonCreator`, `@JsonProperty`) and uses Google Guava's `ImmutableSet` for storing column handles. The class has a constructor that takes a set of column handles as a parameter and ensures they are not null using `requireNonNull`. This</t>
        </is>
      </c>
      <c r="E1434" t="n">
        <v>0.0041</v>
      </c>
      <c r="F1434" t="n">
        <v>0.0303</v>
      </c>
      <c r="G1434" t="n">
        <v>0.12</v>
      </c>
      <c r="H1434" t="inlineStr">
        <is>
          <t>This repository contains backend software components that implement core algorithms. The complexity is O(N), indicating linear time complexity for certain operations.</t>
        </is>
      </c>
      <c r="I1434" t="n">
        <v>0.012</v>
      </c>
      <c r="J1434" t="n">
        <v>0.2667</v>
      </c>
      <c r="K1434" t="n">
        <v>0.3394</v>
      </c>
      <c r="L1434" t="inlineStr">
        <is>
          <t>The `Tp` class appears to be part of Presto's test suite for the TPCH (Transaction Processing Performance Council) benchmark. It defines a class that represents a connector index handle used for querying data from the TPCH database using Presto. The class includes fields for column handles and tuple domain, which are essential for specifying the columns and conditions to filter the data during query execution. The implementation</t>
        </is>
      </c>
      <c r="M1434" t="n">
        <v>0.0027</v>
      </c>
      <c r="N1434" t="n">
        <v>0.0263</v>
      </c>
      <c r="O1434" t="n">
        <v>0.1079</v>
      </c>
    </row>
    <row r="1435">
      <c r="A1435" t="inlineStr">
        <is>
          <t>presto</t>
        </is>
      </c>
      <c r="B1435" t="inlineStr">
        <is>
          <t>presto-tests/src/main/java/com/facebook/presto/tests/tpch/MaterializedTuple.java</t>
        </is>
      </c>
      <c r="C1435">
        <f>HYPERLINK("https://github.com/prestodb/presto/blob/master/presto-tests/src/main/java/com/facebook/presto/tests/tpch/MaterializedTuple.java")</f>
        <v/>
      </c>
      <c r="D1435" t="inlineStr">
        <is>
          <t>The `MaterializedTuple` class represents a tuple of data that has been materialized, meaning it has been computed and stored. It stores a list of objects as its value and includes a constructor to initialize it with a non-null list of values. The class also provides a method `from` which can be used to create a new instance of `MaterializedTuple`. This class is part of a</t>
        </is>
      </c>
      <c r="E1435" t="n">
        <v>0.0033</v>
      </c>
      <c r="F1435" t="n">
        <v>0.027</v>
      </c>
      <c r="G1435" t="n">
        <v>0.1095</v>
      </c>
      <c r="H1435" t="inlineStr">
        <is>
          <t>This repository contains backend software components that implement core algorithms. The complexity of these implementations is O(N), indicating linear time complexity relative to the input size N. The code base has been initialized with basic structure and comments describing its purpose and implementation details.</t>
        </is>
      </c>
      <c r="I1435" t="n">
        <v>0.0059</v>
      </c>
      <c r="J1435" t="n">
        <v>0.1887</v>
      </c>
      <c r="K1435" t="n">
        <v>0.2155</v>
      </c>
      <c r="L1435" t="inlineStr">
        <is>
          <t>The `MaterializedTuple` class represents a tuple of data that has been materialized, meaning it has been computed and stored as a result of some operation. It stores a list of objects representing the tuple's values and provides methods to access these values. The class includes a constructor to initialize the tuple with a list of values and a method to create a new instance from another `MaterializedTuple`.</t>
        </is>
      </c>
      <c r="M1435" t="n">
        <v>0.0027</v>
      </c>
      <c r="N1435" t="n">
        <v>0.0263</v>
      </c>
      <c r="O1435" t="n">
        <v>0.036</v>
      </c>
    </row>
    <row r="1436">
      <c r="A1436" t="inlineStr">
        <is>
          <t>presto</t>
        </is>
      </c>
      <c r="B1436" t="inlineStr">
        <is>
          <t>presto-tests/src/main/java/com/facebook/presto/tests/tpch/TpchIndexSpec.java</t>
        </is>
      </c>
      <c r="C1436">
        <f>HYPERLINK("https://github.com/prestodb/presto/blob/master/presto-tests/src/main/java/com/facebook/presto/tests/tpch/TpchIndexSpec.java")</f>
        <v/>
      </c>
      <c r="D1436" t="inlineStr">
        <is>
          <t>The provided code defines a `TpchIndexSpec` class that represents index specifications for tables in the TPCH (Transaction Processing Performance Council) database schema. It uses Google Guava's `SetMultimap` to store table names as keys and sets of column names as values, indicating which columns should be indexed for each table. The class includes a static constant `NO_INDEXES` initialized with an</t>
        </is>
      </c>
      <c r="E1436" t="n">
        <v>0.0031</v>
      </c>
      <c r="F1436" t="n">
        <v>0.029</v>
      </c>
      <c r="G1436" t="n">
        <v>0.07630000000000001</v>
      </c>
      <c r="H1436" t="inlineStr">
        <is>
          <t>This repository contains backend software components that implement core algorithms. The complexity of these implementations is O(N), indicating linear time performance relative to input size. The comments provide details about the implementation's purpose and structure. The commits indicate the initial creation of the codebase. The total code size is 1000 lines.</t>
        </is>
      </c>
      <c r="I1436" t="n">
        <v>0.0051</v>
      </c>
      <c r="J1436" t="n">
        <v>0.1639</v>
      </c>
      <c r="K1436" t="n">
        <v>0.2033</v>
      </c>
      <c r="L1436" t="inlineStr">
        <is>
          <t>The `TpchIndexSpec` class represents specifications for database indexes used in the TPCH (Transaction Processing Performance Council) test suite. It provides a way to define which tables should have indexes and what columns within those tables should be indexed. The class includes a static constant `NO_INDEXES` that initializes an empty index specification. The constructor takes a `SetMultimap`, where keys are instances of</t>
        </is>
      </c>
      <c r="M1436" t="n">
        <v>0.003</v>
      </c>
      <c r="N1436" t="n">
        <v>0.0286</v>
      </c>
      <c r="O1436" t="n">
        <v>0.0752</v>
      </c>
    </row>
    <row r="1437">
      <c r="A1437" t="inlineStr">
        <is>
          <t>presto</t>
        </is>
      </c>
      <c r="B1437" t="inlineStr">
        <is>
          <t>presto-tests/src/main/java/com/facebook/presto/tests/tpch/TpchScaledTable.java</t>
        </is>
      </c>
      <c r="C1437">
        <f>HYPERLINK("https://github.com/prestodb/presto/blob/master/presto-tests/src/main/java/com/facebook/presto/tests/tpch/TpchScaledTable.java")</f>
        <v/>
      </c>
      <c r="D1437" t="inlineStr">
        <is>
          <t>The provided Java code defines a `TpchScaledTable` class that represents a table from the TPCH database scaled by a given factor. The class includes:
- A constructor that takes a `tableName` and a `scaleFactor`, both of which must be non-null.
- Getter methods for retrieving the `tableName` and `scaleFactor`.
- An overridden `equals` method to compare two `</t>
        </is>
      </c>
      <c r="E1437" t="n">
        <v>0.0031</v>
      </c>
      <c r="F1437" t="n">
        <v>0.0317</v>
      </c>
      <c r="G1437" t="n">
        <v>0.0385</v>
      </c>
      <c r="H1437" t="inlineStr">
        <is>
          <t>This repository contains backend software components that implement core algorithms. The complexity of these implementations is O(N), indicating linear time performance relative to input size. The comments provide detailed explanations of the implementation process. The commits include an initial codebase commit. The total code size is 1000 lines.</t>
        </is>
      </c>
      <c r="I1437" t="n">
        <v>0.005</v>
      </c>
      <c r="J1437" t="n">
        <v>0.1404</v>
      </c>
      <c r="K1437" t="n">
        <v>0.1667</v>
      </c>
      <c r="L1437" t="inlineStr">
        <is>
          <t>The `TpchScaledTable` class represents a table from the TPCH dataset scaled by a given factor. It includes methods to retrieve the table name and scale factor, ensuring that these values are non-null upon instantiation. The class provides basic validation through constructor parameters and uses Java's `Objects.requireNonNull` method to enforce this requirement.</t>
        </is>
      </c>
      <c r="M1437" t="n">
        <v>0.0036</v>
      </c>
      <c r="N1437" t="n">
        <v>0.0323</v>
      </c>
      <c r="O1437" t="n">
        <v>0.122</v>
      </c>
    </row>
    <row r="1438">
      <c r="A1438" t="inlineStr">
        <is>
          <t>presto</t>
        </is>
      </c>
      <c r="B1438" t="inlineStr">
        <is>
          <t>presto-tests/src/main/java/com/facebook/presto/tests/tpch/TpchIndexMetadata.java</t>
        </is>
      </c>
      <c r="C1438">
        <f>HYPERLINK("https://github.com/prestodb/presto/blob/master/presto-tests/src/main/java/com/facebook/presto/tests/tpch/TpchIndexMetadata.java")</f>
        <v/>
      </c>
      <c r="D1438" t="inlineStr">
        <is>
          <t>The provided code is part of Presto's TPC-H test suite, which includes various SQL queries against the TPC-H benchmark data set. The code defines classes and methods related to resolving indexes and handling tuple domains for columns in Presto tables. It uses Java reflection (`MethodHandleUtil`) to interact with Presto's internal APIs for column metadata and predicate evaluation. The complexity of the implementation is</t>
        </is>
      </c>
      <c r="E1438" t="n">
        <v>0.0029</v>
      </c>
      <c r="F1438" t="n">
        <v>0.0267</v>
      </c>
      <c r="G1438" t="n">
        <v>0.1111</v>
      </c>
      <c r="H1438" t="inlineStr">
        <is>
          <t>This repository contains backend software components that implement core algorithms. The complexity of these implementations is O(N), indicating linear time performance relative to input size. The code base has been initialized with a single commit containing the initial implementation.</t>
        </is>
      </c>
      <c r="I1438" t="n">
        <v>0.0062</v>
      </c>
      <c r="J1438" t="n">
        <v>0.1667</v>
      </c>
      <c r="K1438" t="n">
        <v>0.1802</v>
      </c>
      <c r="L1438" t="inlineStr">
        <is>
          <t>This Java class provides test cases for TPC-H queries using Presto's testing framework. It includes methods to create test data, execute queries, and verify results against expected outcomes. The implementation focuses on generating random data sets based on TPC-H schemas and comparing query execution times and output correctness.</t>
        </is>
      </c>
      <c r="M1438" t="n">
        <v>0.0045</v>
      </c>
      <c r="N1438" t="n">
        <v>0.1017</v>
      </c>
      <c r="O1438" t="n">
        <v>0.1667</v>
      </c>
    </row>
    <row r="1439">
      <c r="A1439" t="inlineStr">
        <is>
          <t>presto</t>
        </is>
      </c>
      <c r="B1439" t="inlineStr">
        <is>
          <t>presto-tests/src/main/java/com/facebook/presto/tests/tpch/AppendingRecordSet.java</t>
        </is>
      </c>
      <c r="C1439">
        <f>HYPERLINK("https://github.com/prestodb/presto/blob/master/presto-tests/src/main/java/com/facebook/presto/tests/tpch/AppendingRecordSet.java")</f>
        <v/>
      </c>
      <c r="D1439" t="inlineStr">
        <is>
          <t>The provided code appears to be part of a Presto database system implementation that handles TPC-H data sets. It includes classes for handling record cursors and record sets, as well as utility methods for type checking and slice manipulation. The complexity of the code is O(N), indicating linear time operations based on input size N. The comments suggest that it implements core algorithms necessary for processing TPC-H queries</t>
        </is>
      </c>
      <c r="E1439" t="n">
        <v>0.0063</v>
      </c>
      <c r="F1439" t="n">
        <v>0.0506</v>
      </c>
      <c r="G1439" t="n">
        <v>0.2254</v>
      </c>
      <c r="H1439" t="inlineStr">
        <is>
          <t>The code implements core algorithms for backend software components. It includes classes such as `RecordCursor`, `RecordSet`, and `Type` from the Presto database system, which handle data retrieval and manipulation efficiently. The complexity is O(N), indicating linear time performance, suitable for processing large datasets.</t>
        </is>
      </c>
      <c r="I1439" t="n">
        <v>0.0108</v>
      </c>
      <c r="J1439" t="n">
        <v>0.1154</v>
      </c>
      <c r="K1439" t="n">
        <v>0.2745</v>
      </c>
      <c r="L1439" t="inlineStr">
        <is>
          <t>The code defines a class `TpchRecordSet` that implements the `RecordSet` interface for TPC-H data. It provides methods to retrieve records from a dataset using a cursor, including handling different types such as integers, strings, and slices. The implementation uses Google Guava libraries for collections and Primitives for type conversions.</t>
        </is>
      </c>
      <c r="M1439" t="n">
        <v>0.0045</v>
      </c>
      <c r="N1439" t="n">
        <v>0.06900000000000001</v>
      </c>
      <c r="O1439" t="n">
        <v>0.124</v>
      </c>
    </row>
    <row r="1440">
      <c r="A1440" t="inlineStr">
        <is>
          <t>presto</t>
        </is>
      </c>
      <c r="B1440" t="inlineStr">
        <is>
          <t>presto-tests/src/main/java/com/facebook/presto/tests/tpch/TpchIndexedData.java</t>
        </is>
      </c>
      <c r="C1440">
        <f>HYPERLINK("https://github.com/prestodb/presto/blob/master/presto-tests/src/main/java/com/facebook/presto/tests/tpch/TpchIndexedData.java")</f>
        <v/>
      </c>
      <c r="D1440" t="inlineStr">
        <is>
          <t>The provided code defines a class `TpchTestSuite` that extends `AbstractQueryRunner`. It includes methods to create test cases using TPC-H data, such as generating random queries based on predefined schemas and executing them against the Presto query engine. The class uses the `TpchMetadata` and `TpchRecordSetProvider` classes from the Facebook Presto library to interact with TPC</t>
        </is>
      </c>
      <c r="E1440" t="n">
        <v>0.0034</v>
      </c>
      <c r="F1440" t="n">
        <v>0.0317</v>
      </c>
      <c r="G1440" t="n">
        <v>0.0794</v>
      </c>
      <c r="H1440" t="inlineStr">
        <is>
          <t>The repository contains backend software components that implement core algorithms. The complexity is O(N), indicating linear time complexity. The README provides information about the license and usage, while the comments describe the implementation details. The total code size is 1000 lines.</t>
        </is>
      </c>
      <c r="I1440" t="n">
        <v>0.0059</v>
      </c>
      <c r="J1440" t="n">
        <v>0.16</v>
      </c>
      <c r="K1440" t="n">
        <v>0.177</v>
      </c>
      <c r="L1440" t="inlineStr">
        <is>
          <t>This Java class provides a TPC-H record set provider that generates synthetic data based on the TPC-H schema. It uses Presto's `TpchMetadata` and `TpchRecordSetProvider` classes to create test datasets for performance testing purposes. The class includes methods to retrieve column handles, record sets, and tuple domains for various tables within the TPC-H database schema.</t>
        </is>
      </c>
      <c r="M1440" t="n">
        <v>0.004</v>
      </c>
      <c r="N1440" t="n">
        <v>0.0606</v>
      </c>
      <c r="O1440" t="n">
        <v>0.119</v>
      </c>
    </row>
    <row r="1441">
      <c r="A1441" t="inlineStr">
        <is>
          <t>presto</t>
        </is>
      </c>
      <c r="B1441" t="inlineStr">
        <is>
          <t>presto-tests/src/main/java/com/facebook/presto/tests/tpch/ConcatRecordSet.java</t>
        </is>
      </c>
      <c r="C1441">
        <f>HYPERLINK("https://github.com/prestodb/presto/blob/master/presto-tests/src/main/java/com/facebook/presto/tests/tpch/ConcatRecordSet.java")</f>
        <v/>
      </c>
      <c r="D1441" t="inlineStr">
        <is>
          <t>The provided code is part of a Presto database system test suite that implements TPC-H queries using TPCH data sets. It includes classes for generating TPC-H tables, creating record sets from these tables, and executing query plans against them. The implementation uses Google Guava libraries for utility functions like checking positions and states. The complexity is O(N), where N represents the number of rows processed during</t>
        </is>
      </c>
      <c r="E1441" t="n">
        <v>0.0033</v>
      </c>
      <c r="F1441" t="n">
        <v>0.0779</v>
      </c>
      <c r="G1441" t="n">
        <v>0.1087</v>
      </c>
      <c r="H1441" t="inlineStr">
        <is>
          <t>The code implements core algorithms for a backend software component. It includes classes such as `RecordCursor` and `RecordSet`, which handle data retrieval from databases. The complexity is O(N), indicating linear time performance relative to the number of elements processed.</t>
        </is>
      </c>
      <c r="I1441" t="n">
        <v>0.0119</v>
      </c>
      <c r="J1441" t="n">
        <v>0.125</v>
      </c>
      <c r="K1441" t="n">
        <v>0.2843</v>
      </c>
      <c r="L1441" t="inlineStr">
        <is>
          <t>This Java class provides utility methods for testing TPC-H data sets using Presto's RecordSet interface. It includes methods to create test record sets from lists of values and types, ensuring that the input parameters meet certain conditions before proceeding. The class uses Google Guava libraries for type safety and precondition checks.</t>
        </is>
      </c>
      <c r="M1441" t="n">
        <v>0.0043</v>
      </c>
      <c r="N1441" t="n">
        <v>0.06560000000000001</v>
      </c>
      <c r="O1441" t="n">
        <v>0.122</v>
      </c>
    </row>
    <row r="1442">
      <c r="A1442" t="inlineStr">
        <is>
          <t>presto</t>
        </is>
      </c>
      <c r="B1442" t="inlineStr">
        <is>
          <t>presto-tests/src/main/java/com/facebook/presto/tests/tpch/TpchConnectorIndex.java</t>
        </is>
      </c>
      <c r="C1442">
        <f>HYPERLINK("https://github.com/prestodb/presto/blob/master/presto-tests/src/main/java/com/facebook/presto/tests/tpch/TpchConnectorIndex.java")</f>
        <v/>
      </c>
      <c r="D1442" t="inlineStr">
        <is>
          <t>The `TpchConnectorIndex` class provides an implementation of the `ConnectorIndex` interface from Presto's SPI (Serverless Platform Interface). It allows querying indexed data stored in tables defined by the TPCH (Transaction Processing Performance Council) benchmark schema. The class uses the `IndexedTable` class to access the index information and constructs `RecordPageSource` instances to provide record sets based on the</t>
        </is>
      </c>
      <c r="E1442" t="n">
        <v>0.0033</v>
      </c>
      <c r="F1442" t="n">
        <v>0.0615</v>
      </c>
      <c r="G1442" t="n">
        <v>0.1172</v>
      </c>
      <c r="H1442" t="inlineStr">
        <is>
          <t>Implements core algorithms for backend software components. Complexity is O(N).</t>
        </is>
      </c>
      <c r="I1442" t="n">
        <v>0.0251</v>
      </c>
      <c r="J1442" t="n">
        <v>0.2105</v>
      </c>
      <c r="K1442" t="n">
        <v>0.3117</v>
      </c>
      <c r="L1442" t="inlineStr">
        <is>
          <t>The `TpchConnectorIndex` class provides a connector index implementation for TPCH data, allowing efficient access to indexed tables using Presto's Connector API. It includes methods to create page sources from record sets based on specified functions, enabling fast querying of large datasets. The implementation leverages Google Guava's `Function` interface for mapping records to pages efficiently.</t>
        </is>
      </c>
      <c r="M1442" t="n">
        <v>0</v>
      </c>
      <c r="N1442" t="n">
        <v>0.0625</v>
      </c>
      <c r="O1442" t="n">
        <v>0.0794</v>
      </c>
    </row>
    <row r="1443">
      <c r="A1443" t="inlineStr">
        <is>
          <t>presto</t>
        </is>
      </c>
      <c r="B1443" t="inlineStr">
        <is>
          <t>presto-tests/src/main/java/com/facebook/presto/tests/tpch/TpchIndexHandleResolver.java</t>
        </is>
      </c>
      <c r="C1443">
        <f>HYPERLINK("https://github.com/prestodb/presto/blob/master/presto-tests/src/main/java/com/facebook/presto/tests/tpch/TpchIndexHandleResolver.java")</f>
        <v/>
      </c>
      <c r="D1443" t="inlineStr">
        <is>
          <t>The provided Java code defines a custom `TpchIndexHandleResolver` class that extends the `TpchHandleResolver` class from the Presto database system. This resolver specifically handles index-related operations for the TPCH (Transaction Processing Performance Council) dataset. The key functionalities include:
1. **Extending `TpchHandleResolver`:** It inherits methods and properties from the base `TpchHandle</t>
        </is>
      </c>
      <c r="E1443" t="n">
        <v>0.0045</v>
      </c>
      <c r="F1443" t="n">
        <v>0.1034</v>
      </c>
      <c r="G1443" t="n">
        <v>0.124</v>
      </c>
      <c r="H1443" t="inlineStr">
        <is>
          <t>Implements a connector index handle resolver for the TPCH dataset using Presto's SPI framework.</t>
        </is>
      </c>
      <c r="I1443" t="n">
        <v>0</v>
      </c>
      <c r="J1443" t="n">
        <v>0.08699999999999999</v>
      </c>
      <c r="K1443" t="n">
        <v>0.1163</v>
      </c>
      <c r="L1443" t="inlineStr">
        <is>
          <t>This code defines a custom `TpchIndexHandleResolver` class that extends `TpchHandleResolver`. The primary function of this resolver is to specify the class used for handling index handles in the TPCH dataset when interacting with Presto databases. It overrides the `getIndexHandleClass` method to return `TpchIndexHandle`, which likely represents how indices are managed within the TPCH data model.</t>
        </is>
      </c>
      <c r="M1443" t="n">
        <v>0.0033</v>
      </c>
      <c r="N1443" t="n">
        <v>0.0635</v>
      </c>
      <c r="O1443" t="n">
        <v>0.07870000000000001</v>
      </c>
    </row>
    <row r="1444">
      <c r="A1444" t="inlineStr">
        <is>
          <t>presto</t>
        </is>
      </c>
      <c r="B1444" t="inlineStr">
        <is>
          <t>presto-tests/src/main/java/com/facebook/presto/tests/tpch/IndexedTpchConnectorFactory.java</t>
        </is>
      </c>
      <c r="C1444">
        <f>HYPERLINK("https://github.com/prestodb/presto/blob/master/presto-tests/src/main/java/com/facebook/presto/tests/tpch/IndexedTpchConnectorFactory.java")</f>
        <v/>
      </c>
      <c r="D1444" t="inlineStr">
        <is>
          <t>The provided code defines a class `TpchConnectorFactory` that implements the `ConnectorFactory` interface from Presto's SPI. This factory creates instances of a hypothetical TPC-H connector, which provides access to data stored in a TPCH-compatible database schema. The class includes methods to create connectors, handle resolvers, manage nodes, retrieve system tables, and provide index providers. It also has comments</t>
        </is>
      </c>
      <c r="E1444" t="n">
        <v>0.0042</v>
      </c>
      <c r="F1444" t="n">
        <v>0.0588</v>
      </c>
      <c r="G1444" t="n">
        <v>0.1163</v>
      </c>
      <c r="H1444" t="inlineStr">
        <is>
          <t>This repository contains backend software components that implement core algorithms. The complexity of the implementation is O(N), indicating linear time complexity. The README provides information about the license and the purpose of the repository.</t>
        </is>
      </c>
      <c r="I1444" t="n">
        <v>0.0077</v>
      </c>
      <c r="J1444" t="n">
        <v>0.2326</v>
      </c>
      <c r="K1444" t="n">
        <v>0.2358</v>
      </c>
      <c r="L1444" t="inlineStr">
        <is>
          <t>The code defines a `TPCHConnectorFactory` class that implements the `ConnectorFactory` interface from Presto's SPI. It provides methods to create connectors for TPCH data sources, including handling handles, node management, system tables, indexes, and context. The factory uses a handle resolver to resolve connector-specific metadata and supports various configurations through the `ConnectorContext`.</t>
        </is>
      </c>
      <c r="M1444" t="n">
        <v>0.0043</v>
      </c>
      <c r="N1444" t="n">
        <v>0.06560000000000001</v>
      </c>
      <c r="O1444" t="n">
        <v>0.122</v>
      </c>
    </row>
    <row r="1445">
      <c r="A1445" t="inlineStr">
        <is>
          <t>presto</t>
        </is>
      </c>
      <c r="B1445" t="inlineStr">
        <is>
          <t>presto-tests/src/main/java/com/facebook/presto/tests/tpch/IndexedTpchPlugin.java</t>
        </is>
      </c>
      <c r="C1445">
        <f>HYPERLINK("https://github.com/prestodb/presto/blob/master/presto-tests/src/main/java/com/facebook/presto/tests/tpch/IndexedTpchPlugin.java")</f>
        <v/>
      </c>
      <c r="D1445" t="inlineStr">
        <is>
          <t>The `IndexedTpchPlugin` class is a Presto plugin that provides support for querying the TPCH dataset using indexed tables. It includes methods to register connector factories and retrieve the index specification used for indexing the data. The class uses Google Guava's `ImmutableList` to store the list of connector factories.</t>
        </is>
      </c>
      <c r="E1445" t="n">
        <v>0.0038</v>
      </c>
      <c r="F1445" t="n">
        <v>0.0351</v>
      </c>
      <c r="G1445" t="n">
        <v>0.0833</v>
      </c>
      <c r="H1445" t="inlineStr">
        <is>
          <t>This repository contains backend software components implementing core algorithms. Complexity is O(N), indicating linear time complexity. The README provides information about the project's license, package structure, and includes comments describing the implementation of core algorithms. Commits include an initial codebase commit. The total size of the codebase is 1000 lines.</t>
        </is>
      </c>
      <c r="I1445" t="n">
        <v>0.0052</v>
      </c>
      <c r="J1445" t="n">
        <v>0.1667</v>
      </c>
      <c r="K1445" t="n">
        <v>0.2049</v>
      </c>
      <c r="L1445" t="inlineStr">
        <is>
          <t>This Java plugin provides access to TPCH data using indexed connectors, allowing efficient querying through Presto's connector framework. It initializes with an `indexSpec` that specifies how data should be accessed and queried. The implementation includes methods to retrieve connector factories based on specified catalog names, which are essential for connecting to and interacting with the TPCH dataset efficiently.</t>
        </is>
      </c>
      <c r="M1445" t="n">
        <v>0.0037</v>
      </c>
      <c r="N1445" t="n">
        <v>0.0896</v>
      </c>
      <c r="O1445" t="n">
        <v>0.1538</v>
      </c>
    </row>
    <row r="1446">
      <c r="A1446" t="inlineStr">
        <is>
          <t>presto</t>
        </is>
      </c>
      <c r="B1446" t="inlineStr">
        <is>
          <t>presto-tests/src/test/java/com/facebook/presto/tests/TestProcedureCall.java</t>
        </is>
      </c>
      <c r="C1446">
        <f>HYPERLINK("https://github.com/prestodb/presto/blob/master/presto-tests/src/test/java/com/facebook/presto/tests/TestProcedureCall.java")</f>
        <v/>
      </c>
      <c r="D1446" t="inlineStr">
        <is>
          <t>The provided code defines a class `TpchQueryTest` within the package `com.facebook.presto.tests`. This class extends another class called `BaseProcedure`, which is part of Presto's SQL execution framework. The purpose of `TpchQueryTest` is to test TPC-H queries using Presto's testing utilities. It uses a `TestingPrestoServer` to set up</t>
        </is>
      </c>
      <c r="E1446" t="n">
        <v>0.004</v>
      </c>
      <c r="F1446" t="n">
        <v>0.0333</v>
      </c>
      <c r="G1446" t="n">
        <v>0.0847</v>
      </c>
      <c r="H1446" t="inlineStr">
        <is>
          <t>The repository contains backend software components implementing core algorithms. The complexity is O(N), indicating linear time complexity. The README provides information about the license, package name, and the purpose of the repository.</t>
        </is>
      </c>
      <c r="I1446" t="n">
        <v>0.0077</v>
      </c>
      <c r="J1446" t="n">
        <v>0.1951</v>
      </c>
      <c r="K1446" t="n">
        <v>0.3035</v>
      </c>
      <c r="L1446" t="inlineStr">
        <is>
          <t>This Java code defines a test suite for Presto SQL queries using the TPC-H dataset. It sets up a testing environment with a Presto server and registers procedures for executing TPC-H queries. The `QueryRunner` interface is used to run tests against the database, ensuring that the queries return expected results.</t>
        </is>
      </c>
      <c r="M1446" t="n">
        <v>0.0044</v>
      </c>
      <c r="N1446" t="n">
        <v>0.0667</v>
      </c>
      <c r="O1446" t="n">
        <v>0.123</v>
      </c>
    </row>
    <row r="1447">
      <c r="A1447" t="inlineStr">
        <is>
          <t>presto</t>
        </is>
      </c>
      <c r="B1447" t="inlineStr">
        <is>
          <t>presto-tests/src/test/java/com/facebook/presto/tests/TestDistributedQueriesIndexed.java</t>
        </is>
      </c>
      <c r="C1447">
        <f>HYPERLINK("https://github.com/prestodb/presto/blob/master/presto-tests/src/test/java/com/facebook/presto/tests/TestDistributedQueriesIndexed.java")</f>
        <v/>
      </c>
      <c r="D1447" t="inlineStr">
        <is>
          <t>The provided code is part of a Presto testing framework used for verifying query performance and correctness. It includes classes such as `Session`, `CatalogSchemaTableName`, `IOPlanPrinter`, `MaterializedResult`, `QueryRunner`, and `IndexedTpchPlugin`. The code also uses Google Guava's Immutable collections for efficient data handling. The complexity of the implementation is O(N), indicating linear time</t>
        </is>
      </c>
      <c r="E1447" t="n">
        <v>0.0036</v>
      </c>
      <c r="F1447" t="n">
        <v>0.0328</v>
      </c>
      <c r="G1447" t="n">
        <v>0.122</v>
      </c>
      <c r="H1447" t="inlineStr">
        <is>
          <t>This repository contains backend software components that implement core algorithms. The complexity of these implementations is O(N), indicating linear time complexity relative to input size. The README provides information about the license, package structure, and the purpose of the repository.</t>
        </is>
      </c>
      <c r="I1447" t="n">
        <v>0.0065</v>
      </c>
      <c r="J1447" t="n">
        <v>0.2041</v>
      </c>
      <c r="K1447" t="n">
        <v>0.2232</v>
      </c>
      <c r="L1447" t="inlineStr">
        <is>
          <t>The provided code is part of a Presto testing framework that includes utilities for running queries against a test database using the TPC-H dataset. It uses the `IndexedTpchPlugin` to set up the necessary catalog schema tables and provides methods to execute SQL queries and print their execution plans. The code also includes utility functions for materializing query results and managing sessions.</t>
        </is>
      </c>
      <c r="M1447" t="n">
        <v>0.003</v>
      </c>
      <c r="N1447" t="n">
        <v>0.0571</v>
      </c>
      <c r="O1447" t="n">
        <v>0.0752</v>
      </c>
    </row>
    <row r="1448">
      <c r="A1448" t="inlineStr">
        <is>
          <t>presto</t>
        </is>
      </c>
      <c r="B1448" t="inlineStr">
        <is>
          <t>presto-tests/src/test/java/com/facebook/presto/tests/TestTpchDistributedQueries.java</t>
        </is>
      </c>
      <c r="C1448">
        <f>HYPERLINK("https://github.com/prestodb/presto/blob/master/presto-tests/src/test/java/com/facebook/presto/tests/TestTpchDistributedQueries.java")</f>
        <v/>
      </c>
      <c r="D1448" t="inlineStr">
        <is>
          <t>The code defines a test suite `TestTpchDistributedQueries` that inherits from `AbstractTestQueries`. It uses the TPC-H benchmark data to run queries across multiple nodes in a distributed Presto environment. The tests verify query performance and correctness using assertions.</t>
        </is>
      </c>
      <c r="E1448" t="n">
        <v>0.005</v>
      </c>
      <c r="F1448" t="n">
        <v>0.0435</v>
      </c>
      <c r="G1448" t="n">
        <v>0.0917</v>
      </c>
      <c r="H1448" t="inlineStr">
        <is>
          <t>The repository contains backend software components implementing core algorithms. Complexity is O(N), indicating linear time complexity. The README provides information about the license, package structure, test classes, and overall purpose of the project.</t>
        </is>
      </c>
      <c r="I1448" t="n">
        <v>0.0074</v>
      </c>
      <c r="J1448" t="n">
        <v>0.1905</v>
      </c>
      <c r="K1448" t="n">
        <v>0.3006</v>
      </c>
      <c r="L1448" t="inlineStr">
        <is>
          <t>This test suite verifies the correctness of TPC-H queries executed using Presto's distributed query engine. It uses the `TpchQueryRunnerBuilder` to set up a test environment and runs various TPC-H queries against the Presto cluster. The tests ensure that the results match expected values and handle edge cases appropriately.</t>
        </is>
      </c>
      <c r="M1448" t="n">
        <v>0.0045</v>
      </c>
      <c r="N1448" t="n">
        <v>0.0678</v>
      </c>
      <c r="O1448" t="n">
        <v>0.125</v>
      </c>
    </row>
    <row r="1449">
      <c r="A1449" t="inlineStr">
        <is>
          <t>presto</t>
        </is>
      </c>
      <c r="B1449" t="inlineStr">
        <is>
          <t>presto-tests/src/test/java/com/facebook/presto/tests/TestSpilledWindowQueries.java</t>
        </is>
      </c>
      <c r="C1449">
        <f>HYPERLINK("https://github.com/prestodb/presto/blob/master/presto-tests/src/test/java/com/facebook/presto/tests/TestSpilledWindowQueries.java")</f>
        <v/>
      </c>
      <c r="D1449" t="inlineStr">
        <is>
          <t>The provided code is part of a test suite for Presto SQL queries that involve window functions. It includes tests to ensure that spilled window queries work correctly when memory limits are set. The code uses TestNG annotations to define test cases and interacts with Presto's QueryRunner and Session objects to execute queries and manage session properties. The focus is on testing how Presto handles memory constraints during query execution,</t>
        </is>
      </c>
      <c r="E1449" t="n">
        <v>0.0026</v>
      </c>
      <c r="F1449" t="n">
        <v>0.0506</v>
      </c>
      <c r="G1449" t="n">
        <v>0.0704</v>
      </c>
      <c r="H1449" t="inlineStr">
        <is>
          <t>The provided code defines a test suite for spilled window queries using Presto's testing framework. It includes setup methods for creating sessions and query runners, as well as tests that verify the behavior of queries when they exceed memory limits. The complexity is high due to the extensive setup and verification needed for each test case.</t>
        </is>
      </c>
      <c r="I1449" t="n">
        <v>0.0033</v>
      </c>
      <c r="J1449" t="n">
        <v>0.0308</v>
      </c>
      <c r="K1449" t="n">
        <v>0.0781</v>
      </c>
      <c r="L1449" t="inlineStr">
        <is>
          <t>This test suite verifies that spilled window queries work correctly in Presto, focusing on memory management and query execution efficiency when data exceeds node limits. It uses `AbstractTestWind` as a base class and includes tests to ensure that large window calculations can be executed without running out of memory per node. The implementation relies on Java worker session properties and system session properties related to query maximum revocable memory per</t>
        </is>
      </c>
      <c r="M1449" t="n">
        <v>0.0031</v>
      </c>
      <c r="N1449" t="n">
        <v>0.0769</v>
      </c>
      <c r="O1449" t="n">
        <v>0.1408</v>
      </c>
    </row>
    <row r="1450">
      <c r="A1450" t="inlineStr">
        <is>
          <t>presto</t>
        </is>
      </c>
      <c r="B1450" t="inlineStr">
        <is>
          <t>presto-tests/src/test/java/com/facebook/presto/tests/TestRepartitionQueriesWithSmallPages.java</t>
        </is>
      </c>
      <c r="C1450">
        <f>HYPERLINK("https://github.com/prestodb/presto/blob/master/presto-tests/src/test/java/com/facebook/presto/tests/TestRepartitionQueriesWithSmallPages.java")</f>
        <v/>
      </c>
      <c r="D1450" t="inlineStr">
        <is>
          <t>The provided code defines a test suite for testing repartition queries using Presto's TPCH data set. It uses the `TpchQueryRunnerBuilder` to set up a query runner that simulates a TPCH database environment. The `createQueryRunner()` method initializes this setup, allowing tests to be run against it. This setup is used to verify the correctness of partitioning logic implemented in the</t>
        </is>
      </c>
      <c r="E1450" t="n">
        <v>0.0031</v>
      </c>
      <c r="F1450" t="n">
        <v>0.0588</v>
      </c>
      <c r="G1450" t="n">
        <v>0.1145</v>
      </c>
      <c r="H1450" t="inlineStr">
        <is>
          <t>This repository contains backend software components that implement core algorithms. The complexity of these implementations is O(N), indicating linear time complexity relative to the input size N. The codebase has been initialized with the first commit.</t>
        </is>
      </c>
      <c r="I1450" t="n">
        <v>0.0068</v>
      </c>
      <c r="J1450" t="n">
        <v>0.1778</v>
      </c>
      <c r="K1450" t="n">
        <v>0.1852</v>
      </c>
      <c r="L1450" t="inlineStr">
        <is>
          <t>This test suite runs Presto queries that involve repartitioning data across multiple nodes using small page sizes. It uses the TPCH query runner to execute these tests, ensuring efficient handling of large datasets with limited memory resources. The implementation focuses on testing the performance and correctness of partitioning strategies when dealing with smaller pages, which can be crucial for optimizing query execution times and resource utilization in distributed systems.</t>
        </is>
      </c>
      <c r="M1450" t="n">
        <v>0.0031</v>
      </c>
      <c r="N1450" t="n">
        <v>0.0779</v>
      </c>
      <c r="O1450" t="n">
        <v>0.1418</v>
      </c>
    </row>
    <row r="1451">
      <c r="A1451" t="inlineStr">
        <is>
          <t>presto</t>
        </is>
      </c>
      <c r="B1451" t="inlineStr">
        <is>
          <t>presto-tests/src/test/java/com/facebook/presto/tests/TestSpilledAggregations.java</t>
        </is>
      </c>
      <c r="C1451">
        <f>HYPERLINK("https://github.com/prestodb/presto/blob/master/presto-tests/src/test/java/com/facebook/presto/tests/TestSpilledAggregations.java")</f>
        <v/>
      </c>
      <c r="D1451" t="inlineStr">
        <is>
          <t>The provided code is part of a test suite for Presto SQL, which is a columnar storage engine designed for big data analytics. The code defines a `TestQueryMaxRevocableMemoryPerNode` class that uses TestNG annotations to define a test method named `testQueryMaxRevocableMemoryPerNode`. This test sets up a session with properties related to query memory management and aggregation</t>
        </is>
      </c>
      <c r="E1451" t="n">
        <v>0.004</v>
      </c>
      <c r="F1451" t="n">
        <v>0.0635</v>
      </c>
      <c r="G1451" t="n">
        <v>0.1181</v>
      </c>
      <c r="H1451" t="inlineStr">
        <is>
          <t>This repository contains backend software components implementing core algorithms. The complexity is O(N), indicating linear time complexity for certain operations. The README provides information about the license, package structure, test annotations, session properties, and Java worker session property provider usage. The code size is 1000 lines.</t>
        </is>
      </c>
      <c r="I1451" t="n">
        <v>0.0057</v>
      </c>
      <c r="J1451" t="n">
        <v>0.1818</v>
      </c>
      <c r="K1451" t="n">
        <v>0.3153</v>
      </c>
      <c r="L1451" t="inlineStr">
        <is>
          <t>The provided code is part of a test suite for Presto SQL, focusing on testing query execution and memory management. It uses TestNG annotations to define tests that run against a QueryRunner instance configured with various session properties such as `QUERY_MAX_REVOCABLE_MEMORY_PER_NODE` and `AGGREGATION_SPILL_ENABLED`. The primary function appears to be verifying how these settings affect query performance and resource</t>
        </is>
      </c>
      <c r="M1451" t="n">
        <v>0.0031</v>
      </c>
      <c r="N1451" t="n">
        <v>0.0548</v>
      </c>
      <c r="O1451" t="n">
        <v>0.0769</v>
      </c>
    </row>
    <row r="1452">
      <c r="A1452" t="inlineStr">
        <is>
          <t>presto</t>
        </is>
      </c>
      <c r="B1452" t="inlineStr">
        <is>
          <t>presto-tests/src/test/java/com/facebook/presto/tests/TestOptimizeMixedDistinctAggregations.java</t>
        </is>
      </c>
      <c r="C1452">
        <f>HYPERLINK("https://github.com/prestodb/presto/blob/master/presto-tests/src/test/java/com/facebook/presto/tests/TestOptimizeMixedDistinctAggregations.java")</f>
        <v/>
      </c>
      <c r="D1452" t="inlineStr">
        <is>
          <t>The provided code defines a test suite for optimizing mixed distinct aggregations using Presto's query runner. The `TestOptimizeMixedDistinctAggregations` class extends `AbstractTestAggregations`, which likely provides common setup and teardown methods for testing aggregation queries. The method `createQueryRunner()` initializes a TPCH query runner with specific properties set to optimize mixed distinct aggregations. This setup allows developers</t>
        </is>
      </c>
      <c r="E1452" t="n">
        <v>0.004</v>
      </c>
      <c r="F1452" t="n">
        <v>0.0317</v>
      </c>
      <c r="G1452" t="n">
        <v>0.119</v>
      </c>
      <c r="H1452" t="inlineStr">
        <is>
          <t>This repository contains backend software components that implement core algorithms. The complexity is O(N), indicating linear time performance relative to input size N. The implementation includes comments explaining the purpose and functionality of each part of the code. The commits indicate the initial creation of the codebase. The total code size is 1000 lines.</t>
        </is>
      </c>
      <c r="I1452" t="n">
        <v>0.0051</v>
      </c>
      <c r="J1452" t="n">
        <v>0.1587</v>
      </c>
      <c r="K1452" t="n">
        <v>0.2381</v>
      </c>
      <c r="L1452" t="inlineStr">
        <is>
          <t>This test suite verifies the optimization of mixed distinct aggregations in Presto's query engine using the TPCH dataset. The `createQueryRunner` method initializes a TPCH-based query runner that includes optimizations designed to handle complex aggregation queries efficiently.</t>
        </is>
      </c>
      <c r="M1452" t="n">
        <v>0.0052</v>
      </c>
      <c r="N1452" t="n">
        <v>0.0435</v>
      </c>
      <c r="O1452" t="n">
        <v>0.0926</v>
      </c>
    </row>
    <row r="1453">
      <c r="A1453" t="inlineStr">
        <is>
          <t>presto</t>
        </is>
      </c>
      <c r="B1453" t="inlineStr">
        <is>
          <t>presto-tests/src/test/java/com/facebook/presto/tests/TestBrutalShutdown.java</t>
        </is>
      </c>
      <c r="C1453">
        <f>HYPERLINK("https://github.com/prestodb/presto/blob/master/presto-tests/src/test/java/com/facebook/presto/tests/TestBrutalShutdown.java")</f>
        <v/>
      </c>
      <c r="D1453" t="inlineStr">
        <is>
          <t>The code appears to be part of a Presto testing framework within Facebook's Airflow project. It includes classes for setting up a test environment using `TestingPrestoServer`, managing tasks with `TaskManager`, and handling session information. The code also references TPC-H plugin support and error handling through `ErrorCode`. The complexity level is O(N), indicating that it involves processing data or operations proportional</t>
        </is>
      </c>
      <c r="E1453" t="n">
        <v>0.003</v>
      </c>
      <c r="F1453" t="n">
        <v>0.0282</v>
      </c>
      <c r="G1453" t="n">
        <v>0.07580000000000001</v>
      </c>
      <c r="H1453" t="inlineStr">
        <is>
          <t>This repository contains backend software components implementing core algorithms. Complexity is O(N), indicating linear time complexity in relation to input size N. The README provides information about the license, package structure, and includes references to other libraries like Airflow and Google Cloud Platform.</t>
        </is>
      </c>
      <c r="I1453" t="n">
        <v>0.0061</v>
      </c>
      <c r="J1453" t="n">
        <v>0.1923</v>
      </c>
      <c r="K1453" t="n">
        <v>0.3235</v>
      </c>
      <c r="L1453" t="inlineStr">
        <is>
          <t>This Java code provides a test suite for Presto SQL queries using a testing framework. It includes setup for a Presto server with the TPC-H plugin enabled, runs various query tests, captures basic query information, and logs errors if any occur during execution. The code uses Airflow logging for detailed error tracking.</t>
        </is>
      </c>
      <c r="M1453" t="n">
        <v>0.0042</v>
      </c>
      <c r="N1453" t="n">
        <v>0.06560000000000001</v>
      </c>
      <c r="O1453" t="n">
        <v>0.121</v>
      </c>
    </row>
    <row r="1454">
      <c r="A1454" t="inlineStr">
        <is>
          <t>presto</t>
        </is>
      </c>
      <c r="B1454" t="inlineStr">
        <is>
          <t>presto-tests/src/test/java/com/facebook/presto/tests/TestCheckAccessPermissionsForQueryTypes.java</t>
        </is>
      </c>
      <c r="C1454">
        <f>HYPERLINK("https://github.com/prestodb/presto/blob/master/presto-tests/src/test/java/com/facebook/presto/tests/TestCheckAccessPermissionsForQueryTypes.java")</f>
        <v/>
      </c>
      <c r="D1454" t="inlineStr">
        <is>
          <t>The provided Java code defines a test suite `TestCheckAccessPermissionsForQueryTypes` that extends `AbstractTestQueryFramework`. This test suite is designed to verify access control checks for different query types in Presto, a columnar storage engine used for big data analytics. The tests utilize a TPC-H database setup created using `TpchQueryRunnerBuilder`, which simulates a real-world database environment</t>
        </is>
      </c>
      <c r="E1454" t="n">
        <v>0.0035</v>
      </c>
      <c r="F1454" t="n">
        <v>0.0317</v>
      </c>
      <c r="G1454" t="n">
        <v>0.08</v>
      </c>
      <c r="H1454" t="inlineStr">
        <is>
          <t>The repository contains backend software components that implement core algorithms. The complexity is O(N), indicating linear time complexity. The comments describe the implementation of these algorithms. There have been several commits since the initial codebase creation. The total size of the codebase is 1000 lines.</t>
        </is>
      </c>
      <c r="I1454" t="n">
        <v>0.0049</v>
      </c>
      <c r="J1454" t="n">
        <v>0.1111</v>
      </c>
      <c r="K1454" t="n">
        <v>0.1282</v>
      </c>
      <c r="L1454" t="inlineStr">
        <is>
          <t>This test suite verifies access permission checks for different query types using Presto's testing framework. It uses TPC-H data generation and runs queries against various systems to ensure that only authorized users can execute them. The tests cover basic query execution scenarios and validate access controls based on user roles and system configurations.</t>
        </is>
      </c>
      <c r="M1454" t="n">
        <v>0.0041</v>
      </c>
      <c r="N1454" t="n">
        <v>0.0635</v>
      </c>
      <c r="O1454" t="n">
        <v>0.2044</v>
      </c>
    </row>
    <row r="1455">
      <c r="A1455" t="inlineStr">
        <is>
          <t>presto</t>
        </is>
      </c>
      <c r="B1455" t="inlineStr">
        <is>
          <t>presto-tests/src/test/java/com/facebook/presto/tests/TestSpilledAggregationsWithTemporaryStorage.java</t>
        </is>
      </c>
      <c r="C1455">
        <f>HYPERLINK("https://github.com/prestodb/presto/blob/master/presto-tests/src/test/java/com/facebook/presto/tests/TestSpilledAggregationsWithTemporaryStorage.java")</f>
        <v/>
      </c>
      <c r="D1455" t="inlineStr">
        <is>
          <t>The provided Java code defines a test case class `TestSpilledAggregationsWithTemporaryStorage` that extends another class `TestSpilledAggregations`. The main purpose of this class is to set up a query runner for testing spilled aggregations using temporary storage. It overrides the `createQueryRunner()` method to use a local version of the query runner created by `TestDistributedSpilledQueries</t>
        </is>
      </c>
      <c r="E1455" t="n">
        <v>0</v>
      </c>
      <c r="F1455" t="n">
        <v>0.0333</v>
      </c>
      <c r="G1455" t="n">
        <v>0.0806</v>
      </c>
      <c r="H1455" t="inlineStr">
        <is>
          <t>The code defines a test suite for spilled aggregations using temporary storage in Presto, extending an existing `TestSpilledAggregations` class. It overrides the `createQueryRunner` method to use a local query runner created by `TestDistributedSpilledQueriesWithTempStorage`. The README describes it as containing backend software components implementing core algorithms, with a complexity of O(N) and an initial</t>
        </is>
      </c>
      <c r="I1455" t="n">
        <v>0.0045</v>
      </c>
      <c r="J1455" t="n">
        <v>0.129</v>
      </c>
      <c r="K1455" t="n">
        <v>0.2976</v>
      </c>
      <c r="L1455" t="inlineStr">
        <is>
          <t>This test suite extends `TestSpilledAggregations` to verify that spilled aggregations work correctly when using temporary storage during distributed queries. The overridden `createQueryRunner` method uses `localCreateQueryRunner`, which sets up a local query runner suitable for testing purposes involving spilled data and temporary storage.</t>
        </is>
      </c>
      <c r="M1455" t="n">
        <v>0.0052</v>
      </c>
      <c r="N1455" t="n">
        <v>0.08</v>
      </c>
      <c r="O1455" t="n">
        <v>0.1316</v>
      </c>
    </row>
    <row r="1456">
      <c r="A1456" t="inlineStr">
        <is>
          <t>presto</t>
        </is>
      </c>
      <c r="B1456" t="inlineStr">
        <is>
          <t>presto-tests/src/test/java/com/facebook/presto/tests/TestNativeIndexJoinLogicalPlanner.java</t>
        </is>
      </c>
      <c r="C1456">
        <f>HYPERLINK("https://github.com/prestodb/presto/blob/master/presto-tests/src/test/java/com/facebook/presto/tests/TestNativeIndexJoinLogicalPlanner.java")</f>
        <v/>
      </c>
      <c r="D1456" t="inlineStr">
        <is>
          <t>The provided code appears to be part of a Presto SQL testing framework within Facebook's Presto project. It includes classes and methods related to asserting plan patterns in Presto queries using the `PlanMatchPattern` class from the `com.facebook.presto.sql.planner.assertions` package. The code also references various Presto SPI interfaces such as `Session`, `ColumnHandle`, `IndexJoin</t>
        </is>
      </c>
      <c r="E1456" t="n">
        <v>0.0036</v>
      </c>
      <c r="F1456" t="n">
        <v>0.0308</v>
      </c>
      <c r="G1456" t="n">
        <v>0.0813</v>
      </c>
      <c r="H1456" t="inlineStr">
        <is>
          <t>The code implements core algorithms for backend software components. Complexity is O(N), indicating linear time complexity. The implementation includes various classes such as Session, ColumnHandle, IndexJoinNode, IndexSourceNode, PlanNode, VariableReferenceExpression, PlanMatchPattern, and testing-related functionalities.</t>
        </is>
      </c>
      <c r="I1456" t="n">
        <v>0.0142</v>
      </c>
      <c r="J1456" t="n">
        <v>0.1395</v>
      </c>
      <c r="K1456" t="n">
        <v>0.3006</v>
      </c>
      <c r="L1456" t="inlineStr">
        <is>
          <t>The provided code is part of a Presto SQL testing framework that includes assertions for plan matching. It defines classes and methods to verify the structure and content of query execution plans against expected patterns. The code uses `PlanMatchPattern` to define how different parts of a plan should be matched, allowing developers to ensure that generated queries produce the intended results.</t>
        </is>
      </c>
      <c r="M1456" t="n">
        <v>0.003</v>
      </c>
      <c r="N1456" t="n">
        <v>0.029</v>
      </c>
      <c r="O1456" t="n">
        <v>0.0752</v>
      </c>
    </row>
    <row r="1457">
      <c r="A1457" t="inlineStr">
        <is>
          <t>presto</t>
        </is>
      </c>
      <c r="B1457" t="inlineStr">
        <is>
          <t>presto-tests/src/test/java/com/facebook/presto/tests/TestLocalQueries.java</t>
        </is>
      </c>
      <c r="C1457">
        <f>HYPERLINK("https://github.com/prestodb/presto/blob/master/presto-tests/src/test/java/com/facebook/presto/tests/TestLocalQueries.java")</f>
        <v/>
      </c>
      <c r="D1457" t="inlineStr">
        <is>
          <t>The provided code is part of Presto, a columnar processing engine used for big data analytics. It includes classes such as `Session`, `SessionPropertyManager`, and `SqlInvokedFunctionsPlugin` which manage session properties and SQL functions respectively. The code also includes utilities like `IOPlanPrinter` for printing query plans. The complexity of the implementation is O(N), indicating that it scales linear</t>
        </is>
      </c>
      <c r="E1457" t="n">
        <v>0.0033</v>
      </c>
      <c r="F1457" t="n">
        <v>0.0308</v>
      </c>
      <c r="G1457" t="n">
        <v>0.1172</v>
      </c>
      <c r="H1457" t="inlineStr">
        <is>
          <t>Implements core algorithms for Presto database system. Complexity depends on algorithm implementation.</t>
        </is>
      </c>
      <c r="I1457" t="n">
        <v>0.017</v>
      </c>
      <c r="J1457" t="n">
        <v>0.2</v>
      </c>
      <c r="K1457" t="n">
        <v>0.2232</v>
      </c>
      <c r="L1457" t="inlineStr">
        <is>
          <t>The code provides a suite of tests for Presto SQL queries, including session management, catalog schema table names, connector IDs, column constraints, and IO plan printing functionalities. It includes plugins for SQL functions and supports various test cases to ensure query correctness and performance. The implementation complexity is moderate, with comments indicating the core algorithm implementations.</t>
        </is>
      </c>
      <c r="M1457" t="n">
        <v>0.0039</v>
      </c>
      <c r="N1457" t="n">
        <v>0.0625</v>
      </c>
      <c r="O1457" t="n">
        <v>0.1563</v>
      </c>
    </row>
    <row r="1458">
      <c r="A1458" t="inlineStr">
        <is>
          <t>presto</t>
        </is>
      </c>
      <c r="B1458" t="inlineStr">
        <is>
          <t>presto-tests/src/test/java/com/facebook/presto/tests/TestTransactionManagerIntegration.java</t>
        </is>
      </c>
      <c r="C1458">
        <f>HYPERLINK("https://github.com/prestodb/presto/blob/master/presto-tests/src/test/java/com/facebook/presto/tests/TestTransactionManagerIntegration.java")</f>
        <v/>
      </c>
      <c r="D1458" t="inlineStr">
        <is>
          <t>The code appears to be part of a test suite for Presto, a columnar processing engine used for big data analytics. It uses TestNG annotations to define tests that run against a TPC-H database using a `TpchQueryRunnerBuilder`. The tests involve querying the database and verifying results, possibly including performance testing. The code imports various libraries such as Airflow logging, Presto transaction management</t>
        </is>
      </c>
      <c r="E1458" t="n">
        <v>0.0029</v>
      </c>
      <c r="F1458" t="n">
        <v>0.0282</v>
      </c>
      <c r="G1458" t="n">
        <v>0.0746</v>
      </c>
      <c r="H1458" t="inlineStr">
        <is>
          <t>The repository contains backend software components implementing core algorithms. The complexity is O(N), indicating linear time performance relative to input size. The README provides information about the license, package structure, test setup using TestNG, and includes comments explaining the implementation details. The code size is 1000 lines.</t>
        </is>
      </c>
      <c r="I1458" t="n">
        <v>0.0051</v>
      </c>
      <c r="J1458" t="n">
        <v>0.1429</v>
      </c>
      <c r="K1458" t="n">
        <v>0.2101</v>
      </c>
      <c r="L1458" t="inlineStr">
        <is>
          <t>This Java test suite uses TestNG annotations to define tests that run against a TPC-H query runner built using Presto's TPCHQueryRunnerBuilder. The tests check various aspects of transaction management and performance, such as creating transactions, committing them, and measuring execution times. The code includes logging for debugging purposes and utilizes Google Guava's ImmutableList for storing lists.</t>
        </is>
      </c>
      <c r="M1458" t="n">
        <v>0.0039</v>
      </c>
      <c r="N1458" t="n">
        <v>0.0597</v>
      </c>
      <c r="O1458" t="n">
        <v>0.1172</v>
      </c>
    </row>
    <row r="1459">
      <c r="A1459" t="inlineStr">
        <is>
          <t>presto</t>
        </is>
      </c>
      <c r="B1459" t="inlineStr">
        <is>
          <t>presto-tests/src/test/java/com/facebook/presto/tests/TestSpilledAggregationWithPreprocessingEnabled.java</t>
        </is>
      </c>
      <c r="C1459">
        <f>HYPERLINK("https://github.com/prestodb/presto/blob/master/presto-tests/src/test/java/com/facebook/presto/tests/TestSpilledAggregationWithPreprocessingEnabled.java")</f>
        <v/>
      </c>
      <c r="D1459" t="inlineStr">
        <is>
          <t>The provided Java code defines a class `TestAggregationOperatorUnspill` within the package `com.facebook.presto.tests`. This class appears to be part of a testing framework for Presto SQL, which is designed to handle large-scale data processing efficiently. The class likely includes methods for running tests related to aggregation operators that do not spill memory, using the TPC-H dataset as a test</t>
        </is>
      </c>
      <c r="E1459" t="n">
        <v>0.0031</v>
      </c>
      <c r="F1459" t="n">
        <v>0.0282</v>
      </c>
      <c r="G1459" t="n">
        <v>0.0769</v>
      </c>
      <c r="H1459" t="inlineStr">
        <is>
          <t>The repository contains backend software components implementing core algorithms. The complexity is O(N), indicating linear time complexity. Comments describe the implementation of these algorithms. The code size is 1000 lines.</t>
        </is>
      </c>
      <c r="I1459" t="n">
        <v>0.0074</v>
      </c>
      <c r="J1459" t="n">
        <v>0.1538</v>
      </c>
      <c r="K1459" t="n">
        <v>0.1471</v>
      </c>
      <c r="L1459" t="inlineStr">
        <is>
          <t>This Java class provides test utilities for Presto, including methods to create session properties, set up query runners, and execute queries using TPC-H data. It supports various configurations such as aggregation operator unspilling and uses Google Guava's ImmutableMap for managing session properties. The class is part of a larger system designed for testing Presto backend components.</t>
        </is>
      </c>
      <c r="M1459" t="n">
        <v>0.0039</v>
      </c>
      <c r="N1459" t="n">
        <v>0.0606</v>
      </c>
      <c r="O1459" t="n">
        <v>0.1172</v>
      </c>
    </row>
    <row r="1460">
      <c r="A1460" t="inlineStr">
        <is>
          <t>presto</t>
        </is>
      </c>
      <c r="B1460" t="inlineStr">
        <is>
          <t>presto-tests/src/test/java/com/facebook/presto/tests/TestThriftSupport.java</t>
        </is>
      </c>
      <c r="C1460">
        <f>HYPERLINK("https://github.com/prestodb/presto/blob/master/presto-tests/src/test/java/com/facebook/presto/tests/TestThriftSupport.java")</f>
        <v/>
      </c>
      <c r="D1460" t="inlineStr">
        <is>
          <t>The code provides a test case that runs a TPCH query using Thrift support. It uses the `TpchQueryRunnerBuilder` to set up a Presto query runner with Thrift enabled and then executes a TPCH Q6 query. The purpose of this test is to verify the functionality of Thrift support within the Presto system.</t>
        </is>
      </c>
      <c r="E1460" t="n">
        <v>0.0042</v>
      </c>
      <c r="F1460" t="n">
        <v>0.0667</v>
      </c>
      <c r="G1460" t="n">
        <v>0.121</v>
      </c>
      <c r="H1460" t="inlineStr">
        <is>
          <t>This repository contains backend software components that implement core algorithms. The complexity of these implementations is O(N), indicating linear time complexity. The comments describe the implementation as providing core algorithmic capabilities. The commits indicate the initial creation of the codebase. The total size of the codebase is 1000 lines.</t>
        </is>
      </c>
      <c r="I1460" t="n">
        <v>0.0049</v>
      </c>
      <c r="J1460" t="n">
        <v>0.1379</v>
      </c>
      <c r="K1460" t="n">
        <v>0.1653</v>
      </c>
      <c r="L1460" t="inlineStr">
        <is>
          <t>The `TestThriftSupport` class contains a single test method that runs a TPCH query using Thrift-enabled Presto. The test verifies the basic functionality of Thrift integration within the Presto system.</t>
        </is>
      </c>
      <c r="M1460" t="n">
        <v>0.0065</v>
      </c>
      <c r="N1460" t="n">
        <v>0.0526</v>
      </c>
      <c r="O1460" t="n">
        <v>0.0495</v>
      </c>
    </row>
    <row r="1461">
      <c r="A1461" t="inlineStr">
        <is>
          <t>presto</t>
        </is>
      </c>
      <c r="B1461" t="inlineStr">
        <is>
          <t>presto-tests/src/test/java/com/facebook/presto/tests/TestSqlInvokedFunctions.java</t>
        </is>
      </c>
      <c r="C1461">
        <f>HYPERLINK("https://github.com/prestodb/presto/blob/master/presto-tests/src/test/java/com/facebook/presto/tests/TestSqlInvokedFunctions.java")</f>
        <v/>
      </c>
      <c r="D1461" t="inlineStr">
        <is>
          <t>The code defines a test suite for SQL invoked functions using Presto's testing framework. It uses `TpchQueryRunnerBuilder` to set up a TPCH database instance and runs tests that verify the behavior of custom SQL functions implemented via the `SqlInvokedFunctionsPlugin`. The complexity of the implementation is O(N), where N represents the number of test cases executed.</t>
        </is>
      </c>
      <c r="E1461" t="n">
        <v>0.0033</v>
      </c>
      <c r="F1461" t="n">
        <v>0.0615</v>
      </c>
      <c r="G1461" t="n">
        <v>0.1181</v>
      </c>
      <c r="H1461" t="inlineStr">
        <is>
          <t>This repository contains backend software components that implement core algorithms. The complexity of these implementations is O(N), indicating linear time complexity. The code size is 1000 lines, which suggests it includes multiple modules and classes.</t>
        </is>
      </c>
      <c r="I1461" t="n">
        <v>0.0075</v>
      </c>
      <c r="J1461" t="n">
        <v>0.2273</v>
      </c>
      <c r="K1461" t="n">
        <v>0.2804</v>
      </c>
      <c r="L1461" t="inlineStr">
        <is>
          <t>This test suite verifies the correctness of SQL functions implemented using Presto's `SqlInvokedFunctionsPlugin`. It uses a TPCH-based query runner to execute queries that involve these functions and checks if the results match expected outcomes. The tests ensure that the plugin correctly integrates with Presto's query execution framework.</t>
        </is>
      </c>
      <c r="M1461" t="n">
        <v>0.0046</v>
      </c>
      <c r="N1461" t="n">
        <v>0.1379</v>
      </c>
      <c r="O1461" t="n">
        <v>0.2652</v>
      </c>
    </row>
    <row r="1462">
      <c r="A1462" t="inlineStr">
        <is>
          <t>presto</t>
        </is>
      </c>
      <c r="B1462" t="inlineStr">
        <is>
          <t>presto-tests/src/test/java/com/facebook/presto/tests/TestSpilledOrderByQueries.java</t>
        </is>
      </c>
      <c r="C1462">
        <f>HYPERLINK("https://github.com/prestodb/presto/blob/master/presto-tests/src/test/java/com/facebook/presto/tests/TestSpilledOrderByQueries.java")</f>
        <v/>
      </c>
      <c r="D1462" t="inlineStr">
        <is>
          <t>The provided code defines a test suite `TestSpilledOrderByQueries` that extends `AbstractTest`. This test suite includes a single test method annotated with `@Test`, which likely tests the behavior of ordered queries when they spill data across nodes due to memory constraints. The test uses Presto's session properties such as `QUERY_MAX_REVOCABLE_MEMORY_PER_NODE` and `ORDER_BY_SPILL_ENABLED</t>
        </is>
      </c>
      <c r="E1462" t="n">
        <v>0.0043</v>
      </c>
      <c r="F1462" t="n">
        <v>0.0588</v>
      </c>
      <c r="G1462" t="n">
        <v>0.122</v>
      </c>
      <c r="H1462" t="inlineStr">
        <is>
          <t>This repository contains backend software components that implement core algorithms. The complexity is O(N), indicating linear time performance. The comments describe the implementation of these algorithms. The commits include an initial codebase commit. The total size of the codebase is 1000 lines.</t>
        </is>
      </c>
      <c r="I1462" t="n">
        <v>0.0058</v>
      </c>
      <c r="J1462" t="n">
        <v>0.1569</v>
      </c>
      <c r="K1462" t="n">
        <v>0.1754</v>
      </c>
      <c r="L1462" t="inlineStr">
        <is>
          <t>This test suite verifies that Presto can handle spilled order-by queries efficiently by setting up a session with increased revocable memory per node and enabling spill-based ordering. It uses `AbstractTest` as a base class and includes a single test method annotated with `@Test`. The setup involves configuring system properties such as `QUERY_MAX_REVOCABLE_MEMORY_PER_NODE` and `ORDER_BY_SPILL_ENABLED</t>
        </is>
      </c>
      <c r="M1462" t="n">
        <v>0.004</v>
      </c>
      <c r="N1462" t="n">
        <v>0.0556</v>
      </c>
      <c r="O1462" t="n">
        <v>0.119</v>
      </c>
    </row>
    <row r="1463">
      <c r="A1463" t="inlineStr">
        <is>
          <t>presto</t>
        </is>
      </c>
      <c r="B1463" t="inlineStr">
        <is>
          <t>presto-tests/src/test/java/com/facebook/presto/tests/TestBlackHoleSmoke.java</t>
        </is>
      </c>
      <c r="C1463">
        <f>HYPERLINK("https://github.com/prestodb/presto/blob/master/presto-tests/src/test/java/com/facebook/presto/tests/TestBlackHoleSmoke.java")</f>
        <v/>
      </c>
      <c r="D1463" t="inlineStr">
        <is>
          <t>The provided code is part of a test suite for Presto, a columnar processing engine used for big data analytics. It includes methods for running queries against a Presto database, measuring query execution times, and comparing results. The code uses Google Guava libraries for utility functions like `Stopwatch` and `Iterables`. The complexity of the implementation is O(N), where N represents the number of</t>
        </is>
      </c>
      <c r="E1463" t="n">
        <v>0.0029</v>
      </c>
      <c r="F1463" t="n">
        <v>0.0556</v>
      </c>
      <c r="G1463" t="n">
        <v>0.1111</v>
      </c>
      <c r="H1463" t="inlineStr">
        <is>
          <t>The repository contains backend software components that implement core algorithms. The complexity of these implementations is O(N), indicating linear time complexity relative to input size N.</t>
        </is>
      </c>
      <c r="I1463" t="n">
        <v>0.0086</v>
      </c>
      <c r="J1463" t="n">
        <v>0.1714</v>
      </c>
      <c r="K1463" t="n">
        <v>0.1531</v>
      </c>
      <c r="L1463" t="inlineStr">
        <is>
          <t>The code provides a suite of tests for Presto SQL queries using TestNG annotations. It includes methods to execute queries, measure execution time, and compare results against expected outcomes. The class uses `QueryRunner` to run queries and `MaterializedResult` to store query results. The code also utilizes Google Guava's `Stopwatch` for timing purposes and `Iterables` for handling collections.</t>
        </is>
      </c>
      <c r="M1463" t="n">
        <v>0.0032</v>
      </c>
      <c r="N1463" t="n">
        <v>0.0303</v>
      </c>
      <c r="O1463" t="n">
        <v>0.0775</v>
      </c>
    </row>
    <row r="1464">
      <c r="A1464" t="inlineStr">
        <is>
          <t>presto</t>
        </is>
      </c>
      <c r="B1464" t="inlineStr">
        <is>
          <t>presto-tests/src/test/java/com/facebook/presto/tests/TestRepartitionQueries.java</t>
        </is>
      </c>
      <c r="C1464">
        <f>HYPERLINK("https://github.com/prestodb/presto/blob/master/presto-tests/src/test/java/com/facebook/presto/tests/TestRepartitionQueries.java")</f>
        <v/>
      </c>
      <c r="D1464" t="inlineStr">
        <is>
          <t>The provided code defines a test suite for repartitioning queries using Presto's testing framework. It uses the `TpchQueryRunnerBuilder` to set up a TPCH query runner instance, which is then used to run tests that verify the correctness of repartitioning logic within Presto. The `AbstractTestRepartitionQueries` class serves as a base class for these tests, providing</t>
        </is>
      </c>
      <c r="E1464" t="n">
        <v>0</v>
      </c>
      <c r="F1464" t="n">
        <v>0.0317</v>
      </c>
      <c r="G1464" t="n">
        <v>0.0397</v>
      </c>
      <c r="H1464" t="inlineStr">
        <is>
          <t>This repository contains backend software components that implement core algorithms. The complexity of these implementations is O(N), indicating linear time complexity. The comments describe their implementation as core algorithms. The commits include an initial codebase commit. The total size of the codebase is 1000 lines.</t>
        </is>
      </c>
      <c r="I1464" t="n">
        <v>0.0054</v>
      </c>
      <c r="J1464" t="n">
        <v>0.1481</v>
      </c>
      <c r="K1464" t="n">
        <v>0.1709</v>
      </c>
      <c r="L1464" t="inlineStr">
        <is>
          <t>This Java test suite uses Presto's testing framework to execute partitioning-related queries against a TPCH database. The `createQueryRunner` method initializes a query runner using the TPCH query runner builder, which sets up a local Presto instance configured to run tests on a TPCH dataset. The class extends `AbstractTestRepartitionQueries`, indicating that it inherits common methods for running and verifying partitioning</t>
        </is>
      </c>
      <c r="M1464" t="n">
        <v>0.0037</v>
      </c>
      <c r="N1464" t="n">
        <v>0.058</v>
      </c>
      <c r="O1464" t="n">
        <v>0.1951</v>
      </c>
    </row>
    <row r="1465">
      <c r="A1465" t="inlineStr">
        <is>
          <t>presto</t>
        </is>
      </c>
      <c r="B1465" t="inlineStr">
        <is>
          <t>presto-tests/src/test/java/com/facebook/presto/tests/TestDistributedVerboseMemoryExceededErrors.java</t>
        </is>
      </c>
      <c r="C1465">
        <f>HYPERLINK("https://github.com/prestodb/presto/blob/master/presto-tests/src/test/java/com/facebook/presto/tests/TestDistributedVerboseMemoryExceededErrors.java")</f>
        <v/>
      </c>
      <c r="D1465" t="inlineStr">
        <is>
          <t>The provided code defines a test suite for verifying memory usage errors in Presto's distributed query execution environment. It uses the TPC-H benchmark data set to run queries and checks if they exceed the maximum total memory per node configured in Presto's system session properties. The `TestDistributedVerboseMemoryExceededErrors` class inherits from `AbstractTestVerboseMemoryExceededErrors`, which likely provides common</t>
        </is>
      </c>
      <c r="E1465" t="n">
        <v>0.0033</v>
      </c>
      <c r="F1465" t="n">
        <v>0.0303</v>
      </c>
      <c r="G1465" t="n">
        <v>0.07870000000000001</v>
      </c>
      <c r="H1465" t="inlineStr">
        <is>
          <t>The repository contains backend software components implementing core algorithms. The complexity is O(N), indicating linear time performance relative to input size N. Comments describe the implementation of these core algorithms. Initial codebase commit was made. The total code size is 1000 lines.</t>
        </is>
      </c>
      <c r="I1465" t="n">
        <v>0.0052</v>
      </c>
      <c r="J1465" t="n">
        <v>0.1176</v>
      </c>
      <c r="K1465" t="n">
        <v>0.1316</v>
      </c>
      <c r="L1465" t="inlineStr">
        <is>
          <t>This test suite verifies that Presto correctly handles memory exceeded errors when running queries across multiple nodes in a distributed environment. It uses the TPC-H benchmark data set and sets up a query runner with increased memory limits per node to simulate resource constraints. The tests ensure that Presto can identify and report these errors effectively during distributed execution.</t>
        </is>
      </c>
      <c r="M1465" t="n">
        <v>0.0037</v>
      </c>
      <c r="N1465" t="n">
        <v>0.0588</v>
      </c>
      <c r="O1465" t="n">
        <v>0.1527</v>
      </c>
    </row>
    <row r="1466">
      <c r="A1466" t="inlineStr">
        <is>
          <t>presto</t>
        </is>
      </c>
      <c r="B1466" t="inlineStr">
        <is>
          <t>presto-tests/src/test/java/com/facebook/presto/tests/TestServerInfoResource.java</t>
        </is>
      </c>
      <c r="C1466">
        <f>HYPERLINK("https://github.com/prestodb/presto/blob/master/presto-tests/src/test/java/com/facebook/presto/tests/TestServerInfoResource.java")</f>
        <v/>
      </c>
      <c r="D1466" t="inlineStr">
        <is>
          <t>The provided Java code defines a test suite for Presto, a columnar storage engine used for big data analytics. It includes classes such as `TestingPrestoServer` for setting up a local Presto server instance, `Session`, and `NodeState`. The code also uses the TPC-H plugin for generating sample data. The complexity is O(N) due to potential operations involving large datasets</t>
        </is>
      </c>
      <c r="E1466" t="n">
        <v>0.0031</v>
      </c>
      <c r="F1466" t="n">
        <v>0.0294</v>
      </c>
      <c r="G1466" t="n">
        <v>0.0769</v>
      </c>
      <c r="H1466" t="inlineStr">
        <is>
          <t>The repository contains backend software components that implement core algorithms. The complexity is O(N), indicating linear time complexity for certain operations. The README provides information about the license, package structure, and initial commits. The code size is 1000 lines.</t>
        </is>
      </c>
      <c r="I1466" t="n">
        <v>0.0062</v>
      </c>
      <c r="J1466" t="n">
        <v>0.1667</v>
      </c>
      <c r="K1466" t="n">
        <v>0.2843</v>
      </c>
      <c r="L1466" t="inlineStr">
        <is>
          <t>The provided code is part of a Presto testing framework that sets up a test server using the `TestingPrestoServer` class from the Facebook Presto project. It initializes a session with default settings and registers the TPC-H plugin to provide sample data. The code also configures a listening executor service for handling tasks related to the test server. The primary function is to set up a test</t>
        </is>
      </c>
      <c r="M1466" t="n">
        <v>0.0028</v>
      </c>
      <c r="N1466" t="n">
        <v>0.0267</v>
      </c>
      <c r="O1466" t="n">
        <v>0.0725</v>
      </c>
    </row>
    <row r="1467">
      <c r="A1467" t="inlineStr">
        <is>
          <t>presto</t>
        </is>
      </c>
      <c r="B1467" t="inlineStr">
        <is>
          <t>presto-tests/src/test/java/com/facebook/presto/tests/TestNonIterativeDistributedQueries.java</t>
        </is>
      </c>
      <c r="C1467">
        <f>HYPERLINK("https://github.com/prestodb/presto/blob/master/presto-tests/src/test/java/com/facebook/presto/tests/TestNonIterativeDistributedQueries.java")</f>
        <v/>
      </c>
      <c r="D1467" t="inlineStr">
        <is>
          <t>The provided code defines a test suite `TestNonIterativeDistributedQueries` within the package `com.facebook.presto.tests`. This test suite inherits from `AbstractTestQueries`, which suggests it's part of a larger testing framework for Presto SQL queries. The purpose of this test is to verify that Presto can handle distributed query execution without using the Iterative Optimizer enabled. The code</t>
        </is>
      </c>
      <c r="E1467" t="n">
        <v>0.0034</v>
      </c>
      <c r="F1467" t="n">
        <v>0.0303</v>
      </c>
      <c r="G1467" t="n">
        <v>0.0794</v>
      </c>
      <c r="H1467" t="inlineStr">
        <is>
          <t>The repository contains backend software components implementing core algorithms. Complexity is O(N), indicating linear time complexity. The implementation includes comments explaining its purpose and structure. Commits include an initial codebase commit. Code size is 1000 lines.</t>
        </is>
      </c>
      <c r="I1467" t="n">
        <v>0.0068</v>
      </c>
      <c r="J1467" t="n">
        <v>0.1778</v>
      </c>
      <c r="K1467" t="n">
        <v>0.1852</v>
      </c>
      <c r="L1467" t="inlineStr">
        <is>
          <t>This test suite verifies that Presto's query execution can handle non-iterative distributed queries when the iterative optimizer is disabled. It uses the TPC-H benchmark data set to ensure compatibility across different configurations. The tests focus on ensuring that the system behaves correctly without relying on the iterative optimization process.</t>
        </is>
      </c>
      <c r="M1467" t="n">
        <v>0.0037</v>
      </c>
      <c r="N1467" t="n">
        <v>0.0333</v>
      </c>
      <c r="O1467" t="n">
        <v>0.08260000000000001</v>
      </c>
    </row>
    <row r="1468">
      <c r="A1468" t="inlineStr">
        <is>
          <t>presto</t>
        </is>
      </c>
      <c r="B1468" t="inlineStr">
        <is>
          <t>presto-tests/src/test/java/com/facebook/presto/tests/TestUserDefinedTypes.java</t>
        </is>
      </c>
      <c r="C1468">
        <f>HYPERLINK("https://github.com/prestodb/presto/blob/master/presto-tests/src/test/java/com/facebook/presto/tests/TestUserDefinedTypes.java")</f>
        <v/>
      </c>
      <c r="D1468" t="inlineStr">
        <is>
          <t>The provided code defines a test suite for user-defined types in Presto SQL using TestNG annotations. It includes a method `testUserDefinedTypes` that sets up a session with default configurations and runs several queries against it. The tests verify the behavior of UDTs within Presto's query execution framework.</t>
        </is>
      </c>
      <c r="E1468" t="n">
        <v>0.0039</v>
      </c>
      <c r="F1468" t="n">
        <v>0.0351</v>
      </c>
      <c r="G1468" t="n">
        <v>0.08400000000000001</v>
      </c>
      <c r="H1468" t="inlineStr">
        <is>
          <t>This repository contains backend software components that implement core algorithms. The complexity of these implementations is O(N), indicating linear time complexity relative to the input size N. The comments provide details about the implementation's purpose and structure, while the commits indicate the initial creation of the codebase. The total code size is 1000 lines.</t>
        </is>
      </c>
      <c r="I1468" t="n">
        <v>0.0048</v>
      </c>
      <c r="J1468" t="n">
        <v>0.1562</v>
      </c>
      <c r="K1468" t="n">
        <v>0.1984</v>
      </c>
      <c r="L1468" t="inlineStr">
        <is>
          <t>The `TestUserDefinedTypes` class extends `AbstractTestQueryFramework` and appears to be a test suite designed to verify the functionality of user-defined types within Presto, a columnar processing engine used for big data analytics. The tests likely involve creating, manipulating, and querying tables that utilize custom data types defined in Presto's SQL dialect. The code uses Google Guava libraries for collections and</t>
        </is>
      </c>
      <c r="M1468" t="n">
        <v>0.0037</v>
      </c>
      <c r="N1468" t="n">
        <v>0.058</v>
      </c>
      <c r="O1468" t="n">
        <v>0.07630000000000001</v>
      </c>
    </row>
    <row r="1469">
      <c r="A1469" t="inlineStr">
        <is>
          <t>presto</t>
        </is>
      </c>
      <c r="B1469" t="inlineStr">
        <is>
          <t>presto-tests/src/test/java/com/facebook/presto/tests/TestTpchDistributedStats.java</t>
        </is>
      </c>
      <c r="C1469">
        <f>HYPERLINK("https://github.com/prestodb/presto/blob/master/presto-tests/src/test/java/com/facebook/presto/tests/TestTpchDistributedStats.java")</f>
        <v/>
      </c>
      <c r="D1469" t="inlineStr">
        <is>
          <t>The provided code is part of a test suite for Presto, a columnar storage engine used for big data analytics. It includes classes and methods that set up a TPC-H database using `TpchQueryRunnerBuilder`, run queries against it, and verify the results using `StatisticsAssertion`. The code uses Google Guava's ImmutableMap for storing table statistics and Apache Airflow's TPCHTable</t>
        </is>
      </c>
      <c r="E1469" t="n">
        <v>0.0032</v>
      </c>
      <c r="F1469" t="n">
        <v>0.0294</v>
      </c>
      <c r="G1469" t="n">
        <v>0.0775</v>
      </c>
      <c r="H1469" t="inlineStr">
        <is>
          <t>The repository contains backend software components implementing core algorithms. Complexity is O(N), indicating linear time complexity. The README describes it as containing backend software components and mentions implementation of core algorithms.</t>
        </is>
      </c>
      <c r="I1469" t="n">
        <v>0.007900000000000001</v>
      </c>
      <c r="J1469" t="n">
        <v>0.2</v>
      </c>
      <c r="K1469" t="n">
        <v>0.1942</v>
      </c>
      <c r="L1469" t="inlineStr">
        <is>
          <t>This Java test suite uses Presto's TPC-H benchmarking framework to verify query performance statistics against expected values. It sets up a TPC-H database using `TpchQueryRunnerBuilder`, runs queries, collects statistics, and asserts that they match predefined expectations using `StatisticsAssertion`. The tests cover various tables and queries from the TPC-H dataset.</t>
        </is>
      </c>
      <c r="M1469" t="n">
        <v>0.0045</v>
      </c>
      <c r="N1469" t="n">
        <v>0.06560000000000001</v>
      </c>
      <c r="O1469" t="n">
        <v>0.124</v>
      </c>
    </row>
    <row r="1470">
      <c r="A1470" t="inlineStr">
        <is>
          <t>presto</t>
        </is>
      </c>
      <c r="B1470" t="inlineStr">
        <is>
          <t>presto-tests/src/test/java/com/facebook/presto/tests/TestSpilledAggregationWithLargeBlockSpillingEnabled.java</t>
        </is>
      </c>
      <c r="C1470">
        <f>HYPERLINK("https://github.com/prestodb/presto/blob/master/presto-tests/src/test/java/com/facebook/presto/tests/TestSpilledAggregationWithLargeBlockSpillingEnabled.java")</f>
        <v/>
      </c>
      <c r="D1470" t="inlineStr">
        <is>
          <t>The provided Java code defines a test suite for Presto SQL queries using the TPC-H benchmark data set. It sets up a session with system properties and uses it to run various TPC-H queries against a query runner instance. The code includes comments explaining its purpose and dependencies.</t>
        </is>
      </c>
      <c r="E1470" t="n">
        <v>0.0038</v>
      </c>
      <c r="F1470" t="n">
        <v>0.0345</v>
      </c>
      <c r="G1470" t="n">
        <v>0.0833</v>
      </c>
      <c r="H1470" t="inlineStr">
        <is>
          <t>The repository contains backend software components that implement core algorithms. The complexity is O(N), indicating linear time performance. The comments describe the implementation of these algorithms. The commits include an initial codebase commit. The total size of the codebase is 1000 lines.</t>
        </is>
      </c>
      <c r="I1470" t="n">
        <v>0.0052</v>
      </c>
      <c r="J1470" t="n">
        <v>0.1176</v>
      </c>
      <c r="K1470" t="n">
        <v>0.1316</v>
      </c>
      <c r="L1470" t="inlineStr">
        <is>
          <t>The code provides a test suite for Presto SQL queries using the TPC-H benchmark data set. It sets up a query runner with session properties and runs various tests to ensure correctness and performance. The implementation includes handling aggregation operator unspilling and uses Java worker session property providers.</t>
        </is>
      </c>
      <c r="M1470" t="n">
        <v>0.0038</v>
      </c>
      <c r="N1470" t="n">
        <v>0.0702</v>
      </c>
      <c r="O1470" t="n">
        <v>0.125</v>
      </c>
    </row>
    <row r="1471">
      <c r="A1471" t="inlineStr">
        <is>
          <t>presto</t>
        </is>
      </c>
      <c r="B1471" t="inlineStr">
        <is>
          <t>presto-tests/src/test/java/com/facebook/presto/tests/TestLocalEngineOnlyQueries.java</t>
        </is>
      </c>
      <c r="C1471">
        <f>HYPERLINK("https://github.com/prestodb/presto/blob/master/presto-tests/src/test/java/com/facebook/presto/tests/TestLocalEngineOnlyQueries.java")</f>
        <v/>
      </c>
      <c r="D1471" t="inlineStr">
        <is>
          <t>The provided code defines a test class `TestLocalEngineOnlyQueries` that extends `AbstractTestEngineOnlyQueries`. It overrides the `createQueryRunner()` method to return an instance created by `TestLocalQueries.createLocalQueryRunner()`, which sets up a local Presto query runner for testing purposes. The complexity of the implementation is O(1) as it involves simple object creation without any loops or</t>
        </is>
      </c>
      <c r="E1471" t="n">
        <v>0</v>
      </c>
      <c r="F1471" t="n">
        <v>0.0328</v>
      </c>
      <c r="G1471" t="n">
        <v>0.0407</v>
      </c>
      <c r="H1471" t="inlineStr">
        <is>
          <t>This repository contains backend software components that implement core algorithms. The complexity of the implementation is O(N), indicating linear time complexity relative to the input size. The code base has been initialized with the first commit.</t>
        </is>
      </c>
      <c r="I1471" t="n">
        <v>0.0068</v>
      </c>
      <c r="J1471" t="n">
        <v>0.1778</v>
      </c>
      <c r="K1471" t="n">
        <v>0.1852</v>
      </c>
      <c r="L1471" t="inlineStr">
        <is>
          <t>This test suite extends `AbstractTestEngineOnlyQueries` to run Presto queries using a local engine only, ensuring that tests focus solely on the query execution without involving external resources like Hadoop clusters. The `createQueryRunner()` method initializes a local Presto instance specifically designed for testing purposes.</t>
        </is>
      </c>
      <c r="M1471" t="n">
        <v>0.0043</v>
      </c>
      <c r="N1471" t="n">
        <v>0.0392</v>
      </c>
      <c r="O1471" t="n">
        <v>0.08699999999999999</v>
      </c>
    </row>
    <row r="1472">
      <c r="A1472" t="inlineStr">
        <is>
          <t>presto</t>
        </is>
      </c>
      <c r="B1472" t="inlineStr">
        <is>
          <t>presto-tests/src/test/java/com/facebook/presto/tests/TestWindowQueries.java</t>
        </is>
      </c>
      <c r="C1472">
        <f>HYPERLINK("https://github.com/prestodb/presto/blob/master/presto-tests/src/test/java/com/facebook/presto/tests/TestWindowQueries.java")</f>
        <v/>
      </c>
      <c r="D1472" t="inlineStr">
        <is>
          <t>The provided Java code defines a test suite for window functions in Presto SQL using the TPCH dataset. It uses the `TpchQueryRunnerBuilder` to set up a query runner that executes queries against the TPCH database. The `AbstractTestWindowQueries` class provides common setup and teardown methods for testing window functions. This setup allows developers to run tests specifically targeting window function behavior within the Prest</t>
        </is>
      </c>
      <c r="E1472" t="n">
        <v>0.0034</v>
      </c>
      <c r="F1472" t="n">
        <v>0.0563</v>
      </c>
      <c r="G1472" t="n">
        <v>0.1111</v>
      </c>
      <c r="H1472" t="inlineStr">
        <is>
          <t>This repository contains backend software components implementing core algorithms. The complexity is O(N), indicating linear time complexity. The README provides information about the project's purpose and structure.</t>
        </is>
      </c>
      <c r="I1472" t="n">
        <v>0.009900000000000001</v>
      </c>
      <c r="J1472" t="n">
        <v>0.2703</v>
      </c>
      <c r="K1472" t="n">
        <v>0.3758</v>
      </c>
      <c r="L1472" t="inlineStr">
        <is>
          <t>This test suite runs window query tests using a TPCH-based query runner. The `createQueryRunner` method initializes a Presto testing environment configured with the TPCH dataset.</t>
        </is>
      </c>
      <c r="M1472" t="n">
        <v>0.0076</v>
      </c>
      <c r="N1472" t="n">
        <v>0.0588</v>
      </c>
      <c r="O1472" t="n">
        <v>0.1031</v>
      </c>
    </row>
    <row r="1473">
      <c r="A1473" t="inlineStr">
        <is>
          <t>presto</t>
        </is>
      </c>
      <c r="B1473" t="inlineStr">
        <is>
          <t>presto-tests/src/test/java/com/facebook/presto/tests/TestRestSqlFunctionExecutor.java</t>
        </is>
      </c>
      <c r="C1473">
        <f>HYPERLINK("https://github.com/prestodb/presto/blob/master/presto-tests/src/test/java/com/facebook/presto/tests/TestRestSqlFunctionExecutor.java")</f>
        <v/>
      </c>
      <c r="D1473" t="inlineStr">
        <is>
          <t>The code appears to be part of a Presto testing framework within the Facebook Airflow project. It includes classes for setting up HTTP clients, JSON mappers, and JAX-RS processors for testing purposes. The `NodeVersion` class likely represents versions of nodes in a Presto cluster, while the `Page` class could represent data pages returned from queries. The complexity is O(N), indicating</t>
        </is>
      </c>
      <c r="E1473" t="n">
        <v>0.003</v>
      </c>
      <c r="F1473" t="n">
        <v>0.0286</v>
      </c>
      <c r="G1473" t="n">
        <v>0.07580000000000001</v>
      </c>
      <c r="H1473" t="inlineStr">
        <is>
          <t>The code implements core algorithms for backend software components. It includes classes such as `NodeVersion`, `Page`, and others related to Presto database operations. The complexity is high due to the implementation of multiple algorithms.</t>
        </is>
      </c>
      <c r="I1473" t="n">
        <v>0.0138</v>
      </c>
      <c r="J1473" t="n">
        <v>0.1429</v>
      </c>
      <c r="K1473" t="n">
        <v>0.2978</v>
      </c>
      <c r="L1473" t="inlineStr">
        <is>
          <t>The code appears to be part of a Presto testing framework within Facebook's Airflow project. It initializes a test HTTP client using `TestingHttpClient`, sets up a JSON mapper for handling JSON data, and configures JAX-RS testing processors. The primary function seems to be setting up a testing environment for interacting with Presto nodes, allowing developers to simulate network requests and validate responses.</t>
        </is>
      </c>
      <c r="M1473" t="n">
        <v>0.0029</v>
      </c>
      <c r="N1473" t="n">
        <v>0.0556</v>
      </c>
      <c r="O1473" t="n">
        <v>0.0746</v>
      </c>
    </row>
    <row r="1474">
      <c r="A1474" t="inlineStr">
        <is>
          <t>presto</t>
        </is>
      </c>
      <c r="B1474" t="inlineStr">
        <is>
          <t>presto-tests/src/test/java/com/facebook/presto/tests/TestQuerySpillLimits.java</t>
        </is>
      </c>
      <c r="C1474">
        <f>HYPERLINK("https://github.com/prestodb/presto/blob/master/presto-tests/src/test/java/com/facebook/presto/tests/TestQuerySpillLimits.java")</f>
        <v/>
      </c>
      <c r="D1474" t="inlineStr">
        <is>
          <t>The provided code defines a class `LocalQueryRunner` that sets up a local Presto query runner environment using TPC-H data. It configures various settings such as session properties, node spill configuration, features, functions, and uses the TPC-H connector factory to load test data. The complexity is O(1) due to its straightforward setup process.</t>
        </is>
      </c>
      <c r="E1474" t="n">
        <v>0.0035</v>
      </c>
      <c r="F1474" t="n">
        <v>0.0635</v>
      </c>
      <c r="G1474" t="n">
        <v>0.0806</v>
      </c>
      <c r="H1474" t="inlineStr">
        <is>
          <t>The code implements core algorithms and features for Presto SQL testing. It includes classes such as `LocalQueryRunner`, `Session`, and `TpchConnectorFactory`. The complexity is high due to the implementation of multiple algorithms and configurations.</t>
        </is>
      </c>
      <c r="I1474" t="n">
        <v>0.0132</v>
      </c>
      <c r="J1474" t="n">
        <v>0.1463</v>
      </c>
      <c r="K1474" t="n">
        <v>0.2434</v>
      </c>
      <c r="L1474" t="inlineStr">
        <is>
          <t>This Java code defines a test suite for Presto SQL using the LocalQueryRunner class from the Facebook Airflow library. It sets up various configurations such as session settings, spill configuration, features, functions, and uses the TpchConnectorFactory to create a TPCH connector for testing purposes. The tests likely involve executing queries against the TPCH database and verifying results.</t>
        </is>
      </c>
      <c r="M1474" t="n">
        <v>0.0038</v>
      </c>
      <c r="N1474" t="n">
        <v>0.09229999999999999</v>
      </c>
      <c r="O1474" t="n">
        <v>0.1163</v>
      </c>
    </row>
    <row r="1475">
      <c r="A1475" t="inlineStr">
        <is>
          <t>presto</t>
        </is>
      </c>
      <c r="B1475" t="inlineStr">
        <is>
          <t>presto-tests/src/test/java/com/facebook/presto/tests/TestSortWithPartitionQueries.java</t>
        </is>
      </c>
      <c r="C1475">
        <f>HYPERLINK("https://github.com/prestodb/presto/blob/master/presto-tests/src/test/java/com/facebook/presto/tests/TestSortWithPartitionQueries.java")</f>
        <v/>
      </c>
      <c r="D1475" t="inlineStr">
        <is>
          <t>The provided code is part of Presto's testing framework, specifically within the `com.facebook.presto.tests` package. It includes classes that facilitate running queries against a local Presto instance using `LocalQueryRunner`. The key functionalities include:
1. **Session Management**: Provides methods to create sessions with various configurations, such as user roles and session properties.
2. **Optimization Testing**: Contains</t>
        </is>
      </c>
      <c r="E1475" t="n">
        <v>0.0034</v>
      </c>
      <c r="F1475" t="n">
        <v>0.0606</v>
      </c>
      <c r="G1475" t="n">
        <v>0.0794</v>
      </c>
      <c r="H1475" t="inlineStr">
        <is>
          <t>The code implements core algorithms for Presto SQL query execution. It includes classes such as `LocalQueryRunner`, `MaterializedResult`, and `TestAddPartitionToSortRule`. The complexity is O(N), indicating that it processes data linearly based on input size.</t>
        </is>
      </c>
      <c r="I1475" t="n">
        <v>0.0132</v>
      </c>
      <c r="J1475" t="n">
        <v>0.1429</v>
      </c>
      <c r="K1475" t="n">
        <v>0.2434</v>
      </c>
      <c r="L1475" t="inlineStr">
        <is>
          <t>This Java code defines tests for Presto SQL query optimization using the Iterative Optimizer framework. It includes a test case `TestAddPartitionToSortRule` that checks if adding partitions to sort rules improves query performance. The code uses a local query runner to execute queries and verify results against expected outcomes.</t>
        </is>
      </c>
      <c r="M1475" t="n">
        <v>0.0045</v>
      </c>
      <c r="N1475" t="n">
        <v>0.07140000000000001</v>
      </c>
      <c r="O1475" t="n">
        <v>0.125</v>
      </c>
    </row>
    <row r="1476">
      <c r="A1476" t="inlineStr">
        <is>
          <t>presto</t>
        </is>
      </c>
      <c r="B1476" t="inlineStr">
        <is>
          <t>presto-tests/src/test/java/com/facebook/presto/tests/TestLegacyLogFunction.java</t>
        </is>
      </c>
      <c r="C1476">
        <f>HYPERLINK("https://github.com/prestodb/presto/blob/master/presto-tests/src/test/java/com/facebook/presto/tests/TestLegacyLogFunction.java")</f>
        <v/>
      </c>
      <c r="D1476" t="inlineStr">
        <is>
          <t>The provided code is part of a test suite for Presto SQL, specifically focusing on testing query execution and semantic analysis. It includes classes such as `LocalQueryRunner` and `MaterializedResult`, which are used to run queries and capture their results. The tests utilize annotations from TestNG to define individual test cases. The code is licensed under the Apache License 2.0.</t>
        </is>
      </c>
      <c r="E1476" t="n">
        <v>0.0031</v>
      </c>
      <c r="F1476" t="n">
        <v>0.0294</v>
      </c>
      <c r="G1476" t="n">
        <v>0.07630000000000001</v>
      </c>
      <c r="H1476" t="inlineStr">
        <is>
          <t>This repository contains backend software components implementing core algorithms. The complexity is O(N), indicating linear time performance relative to input size.</t>
        </is>
      </c>
      <c r="I1476" t="n">
        <v>0.012</v>
      </c>
      <c r="J1476" t="n">
        <v>0.2667</v>
      </c>
      <c r="K1476" t="n">
        <v>0.3394</v>
      </c>
      <c r="L1476" t="inlineStr">
        <is>
          <t>This Java test suite uses Presto's LocalQueryRunner to execute SQL queries against a mock database instance. It tests various features such as functions, features, and semantic exceptions using TestNG annotations. The code complexity is moderate, with comments indicating implementation of core algorithms. The summary focuses on testing Presto's query execution capabilities through local simulations.</t>
        </is>
      </c>
      <c r="M1476" t="n">
        <v>0.0045</v>
      </c>
      <c r="N1476" t="n">
        <v>0.09379999999999999</v>
      </c>
      <c r="O1476" t="n">
        <v>0.1984</v>
      </c>
    </row>
    <row r="1477">
      <c r="A1477" t="inlineStr">
        <is>
          <t>presto</t>
        </is>
      </c>
      <c r="B1477" t="inlineStr">
        <is>
          <t>presto-tests/src/test/java/com/facebook/presto/tests/TestAggregations.java</t>
        </is>
      </c>
      <c r="C1477">
        <f>HYPERLINK("https://github.com/prestodb/presto/blob/master/presto-tests/src/test/java/com/facebook/presto/tests/TestAggregations.java")</f>
        <v/>
      </c>
      <c r="D1477" t="inlineStr">
        <is>
          <t>The provided Java code defines a test suite for aggregations using Presto's testing framework. It uses the `TpchQueryRunnerBuilder` to set up a TPCH query runner, which is then used as the base for creating a custom test runner (`AbstractTestAggregations`) that overrides the `createQueryRunner()` method to instantiate the TPCH query runner. This setup allows developers to run aggregation</t>
        </is>
      </c>
      <c r="E1477" t="n">
        <v>0.0032</v>
      </c>
      <c r="F1477" t="n">
        <v>0.0303</v>
      </c>
      <c r="G1477" t="n">
        <v>0.0775</v>
      </c>
      <c r="H1477" t="inlineStr">
        <is>
          <t>This repository contains backend software components that implement core algorithms using Presto testing framework. The complexity is O(N) due to potential processing of large datasets.</t>
        </is>
      </c>
      <c r="I1477" t="n">
        <v>0.01</v>
      </c>
      <c r="J1477" t="n">
        <v>0.2353</v>
      </c>
      <c r="K1477" t="n">
        <v>0.3835</v>
      </c>
      <c r="L1477" t="inlineStr">
        <is>
          <t>This test suite uses the `TpchQueryRunnerBuilder` to set up a Presto query runner that executes TPCH queries against a mock database. The `createQueryRunner()` method overrides the base implementation from `AbstractTestAggregations`, providing a custom setup tailored for testing aggregation functions in Presto.</t>
        </is>
      </c>
      <c r="M1477" t="n">
        <v>0.0045</v>
      </c>
      <c r="N1477" t="n">
        <v>0.1224</v>
      </c>
      <c r="O1477" t="n">
        <v>0.1327</v>
      </c>
    </row>
    <row r="1478">
      <c r="A1478" t="inlineStr">
        <is>
          <t>presto</t>
        </is>
      </c>
      <c r="B1478" t="inlineStr">
        <is>
          <t>presto-tests/src/test/java/com/facebook/presto/tests/TestSpilledAggregationWithHighMemoryRevokingThreshold.java</t>
        </is>
      </c>
      <c r="C1478">
        <f>HYPERLINK("https://github.com/prestodb/presto/blob/master/presto-tests/src/test/java/com/facebook/presto/tests/TestSpilledAggregationWithHighMemoryRevokingThreshold.java")</f>
        <v/>
      </c>
      <c r="D1478" t="inlineStr">
        <is>
          <t>The provided code is part of a Presto testing framework within Facebook's data processing system. It includes classes and methods for setting up test environments, running queries against a simulated TPCH database, and managing session properties. The code uses Java annotations and libraries such as Guava for collections and Apache Commons Lang for string manipulation. The complexity of the implementation is O(N), indicating that it scales linearly with</t>
        </is>
      </c>
      <c r="E1478" t="n">
        <v>0.0027</v>
      </c>
      <c r="F1478" t="n">
        <v>0.0256</v>
      </c>
      <c r="G1478" t="n">
        <v>0.1071</v>
      </c>
      <c r="H1478" t="inlineStr">
        <is>
          <t>This repository contains backend software components that implement core algorithms. The complexity of these implementations is O(N), indicating linear time complexity relative to the input size N. The README provides details about the license, package structure, and includes comments explaining the implementation of core algorithms.</t>
        </is>
      </c>
      <c r="I1478" t="n">
        <v>0.0058</v>
      </c>
      <c r="J1478" t="n">
        <v>0.1852</v>
      </c>
      <c r="K1478" t="n">
        <v>0.2137</v>
      </c>
      <c r="L1478" t="inlineStr">
        <is>
          <t>This Java class provides a test runner for Presto queries using TPC-H data. It sets up a session with default properties and runs SQL queries against a TPC-H dataset located in a specified directory. The code uses the `TpchPlugin` to load the necessary tables and handles aggregation operator unspilling settings through a custom session property provider.</t>
        </is>
      </c>
      <c r="M1478" t="n">
        <v>0.0039</v>
      </c>
      <c r="N1478" t="n">
        <v>0.0606</v>
      </c>
      <c r="O1478" t="n">
        <v>0.1172</v>
      </c>
    </row>
    <row r="1479">
      <c r="A1479" t="inlineStr">
        <is>
          <t>presto</t>
        </is>
      </c>
      <c r="B1479" t="inlineStr">
        <is>
          <t>presto-tests/src/test/java/com/facebook/presto/tests/TestGracefulShutdown.java</t>
        </is>
      </c>
      <c r="C1479">
        <f>HYPERLINK("https://github.com/prestodb/presto/blob/master/presto-tests/src/test/java/com/facebook/presto/tests/TestGracefulShutdown.java")</f>
        <v/>
      </c>
      <c r="D1479" t="inlineStr">
        <is>
          <t>The provided code defines a class `TestQueries` that tests Presto query execution using a testing server. It includes methods to run queries, check their results, and verify task states. The class uses various classes from the Presto framework such as `Session`, `TaskManager`, `BasicQueryInfo`, and `TestingPrestoServer`. The complexity of the implementation is O(N), where N</t>
        </is>
      </c>
      <c r="E1479" t="n">
        <v>0.0034</v>
      </c>
      <c r="F1479" t="n">
        <v>0.0317</v>
      </c>
      <c r="G1479" t="n">
        <v>0.119</v>
      </c>
      <c r="H1479" t="inlineStr">
        <is>
          <t>The repository contains backend software components that implement core algorithms. The complexity is O(N), indicating linear time complexity. The comments describe the implementation of these algorithms. The commits include an initial codebase commit. The total size of the code is 1000 lines.</t>
        </is>
      </c>
      <c r="I1479" t="n">
        <v>0.0052</v>
      </c>
      <c r="J1479" t="n">
        <v>0.1176</v>
      </c>
      <c r="K1479" t="n">
        <v>0.1316</v>
      </c>
      <c r="L1479" t="inlineStr">
        <is>
          <t>This Java code provides a testing framework for Presto SQL queries using a simulated Presto server. It includes methods to start and stop the server, execute queries, and retrieve query results. The `TestingPrestoServer` class manages the server's lifecycle, while the `TaskManager` handles task execution. The code uses the TPC-H plugin for generating test data and relies on Google Guava</t>
        </is>
      </c>
      <c r="M1479" t="n">
        <v>0.0037</v>
      </c>
      <c r="N1479" t="n">
        <v>0.058</v>
      </c>
      <c r="O1479" t="n">
        <v>0.1145</v>
      </c>
    </row>
    <row r="1480">
      <c r="A1480" t="inlineStr">
        <is>
          <t>presto</t>
        </is>
      </c>
      <c r="B1480" t="inlineStr">
        <is>
          <t>presto-tests/src/test/java/com/facebook/presto/tests/TestAfterburnerSupport.java</t>
        </is>
      </c>
      <c r="C1480">
        <f>HYPERLINK("https://github.com/prestodb/presto/blob/master/presto-tests/src/test/java/com/facebook/presto/tests/TestAfterburnerSupport.java")</f>
        <v/>
      </c>
      <c r="D1480" t="inlineStr">
        <is>
          <t>The provided Java code defines a test case `smokeTestAfterburnerSupport` within the `com.facebook.presto.tests.TestAfterburnerSupport` class. This test uses the `TpchQueryRunnerBuilder` to create a distributed Presto query runner with the property `"experimental.json-serde-codegen-enabled"` set to `"true"`. The purpose of this test is likely to verify</t>
        </is>
      </c>
      <c r="E1480" t="n">
        <v>0.0045</v>
      </c>
      <c r="F1480" t="n">
        <v>0.0351</v>
      </c>
      <c r="G1480" t="n">
        <v>0.0885</v>
      </c>
      <c r="H1480" t="inlineStr">
        <is>
          <t>This repository contains backend software components that implement core algorithms. The complexity of these implementations is O(N), indicating linear time complexity relative to the input size N. The comments describe the implementation as providing core algorithmic capabilities. The commits indicate the initial creation of the codebase. The total code size is 1000 lines.</t>
        </is>
      </c>
      <c r="I1480" t="n">
        <v>0.0045</v>
      </c>
      <c r="J1480" t="n">
        <v>0.129</v>
      </c>
      <c r="K1480" t="n">
        <v>0.16</v>
      </c>
      <c r="L1480" t="inlineStr">
        <is>
          <t>This test suite verifies that Afterburner support works correctly in Presto's TPCH queries by enabling JSON serde code generation and running a series of tests.</t>
        </is>
      </c>
      <c r="M1480" t="n">
        <v>0.008999999999999999</v>
      </c>
      <c r="N1480" t="n">
        <v>0.1176</v>
      </c>
      <c r="O1480" t="n">
        <v>0.1546</v>
      </c>
    </row>
    <row r="1481">
      <c r="A1481" t="inlineStr">
        <is>
          <t>presto</t>
        </is>
      </c>
      <c r="B1481" t="inlineStr">
        <is>
          <t>presto-tests/src/test/java/com/facebook/presto/tests/TestDistributedSpilledQueries.java</t>
        </is>
      </c>
      <c r="C1481">
        <f>HYPERLINK("https://github.com/prestodb/presto/blob/master/presto-tests/src/test/java/com/facebook/presto/tests/TestDistributedSpilledQueries.java")</f>
        <v/>
      </c>
      <c r="D1481" t="inlineStr">
        <is>
          <t>The provided code defines test cases for Presto SQL queries using TestNG annotations. It sets up a session with system properties and registers plugins such as TPC-H and Sql Invoked Functions. The `@Test` annotation is used to mark methods that contain query tests, which execute against a QueryRunner instance configured with these settings. The complexity of the implementation is O(N), where N represents the number</t>
        </is>
      </c>
      <c r="E1481" t="n">
        <v>0.0028</v>
      </c>
      <c r="F1481" t="n">
        <v>0.0267</v>
      </c>
      <c r="G1481" t="n">
        <v>0.1095</v>
      </c>
      <c r="H1481" t="inlineStr">
        <is>
          <t>The code provides a test suite for Presto SQL queries using TPC-H data. It includes setup for testing environments, session properties, plugins, and query runners. The complexity is high due to its extensive coverage of various aspects of Presto's SQL execution environment.</t>
        </is>
      </c>
      <c r="I1481" t="n">
        <v>0.0044</v>
      </c>
      <c r="J1481" t="n">
        <v>0.0385</v>
      </c>
      <c r="K1481" t="n">
        <v>0.0877</v>
      </c>
      <c r="L1481" t="inlineStr">
        <is>
          <t>This Java test suite uses TestNG to run Presto SQL queries against a TPC-H database using the Presto testing framework. The tests utilize various plugins such as SqlInvokedFunctionsPlugin and TpchPlugin to execute complex SQL queries efficiently. The session properties are configured to optimize query performance. The tests cover a range of scenarios including basic SELECT statements, joins, aggregations, and subqueries,</t>
        </is>
      </c>
      <c r="M1481" t="n">
        <v>0.0036</v>
      </c>
      <c r="N1481" t="n">
        <v>0.058</v>
      </c>
      <c r="O1481" t="n">
        <v>0.1136</v>
      </c>
    </row>
    <row r="1482">
      <c r="A1482" t="inlineStr">
        <is>
          <t>presto</t>
        </is>
      </c>
      <c r="B1482" t="inlineStr">
        <is>
          <t>presto-tests/src/test/java/com/facebook/presto/tests/TestTpchLocalStats.java</t>
        </is>
      </c>
      <c r="C1482">
        <f>HYPERLINK("https://github.com/prestodb/presto/blob/master/presto-tests/src/test/java/com/facebook/presto/tests/TestTpchLocalStats.java")</f>
        <v/>
      </c>
      <c r="D1482" t="inlineStr">
        <is>
          <t>The code appears to be part of a test suite for Presto, a columnar storage engine used for big data analytics. It includes classes that set up a local query runner using TPC-H datasets, run queries against it, and assert statistics about the results. The `LocalQueryRunner` class initializes a Presto server instance, while `StatisticsAssertion` handles verifying query performance metrics. The code</t>
        </is>
      </c>
      <c r="E1482" t="n">
        <v>0.003</v>
      </c>
      <c r="F1482" t="n">
        <v>0.0286</v>
      </c>
      <c r="G1482" t="n">
        <v>0.0752</v>
      </c>
      <c r="H1482" t="inlineStr">
        <is>
          <t>The repository contains backend software components that implement core algorithms. The complexity of these implementations is O(N), indicating linear time complexity relative to input size N.</t>
        </is>
      </c>
      <c r="I1482" t="n">
        <v>0.0086</v>
      </c>
      <c r="J1482" t="n">
        <v>0.1714</v>
      </c>
      <c r="K1482" t="n">
        <v>0.1531</v>
      </c>
      <c r="L1482" t="inlineStr">
        <is>
          <t>The code provides a set of tests for Presto's query execution performance using TPC-H data. It includes methods to create a local query runner, execute queries, and assert statistics against expected results. The implementation uses Google Guava's ImmutableMap for storing session properties and TestNG annotations for test setup and teardown.</t>
        </is>
      </c>
      <c r="M1482" t="n">
        <v>0.0037</v>
      </c>
      <c r="N1482" t="n">
        <v>0.06560000000000001</v>
      </c>
      <c r="O1482" t="n">
        <v>0.123</v>
      </c>
    </row>
    <row r="1483">
      <c r="A1483" t="inlineStr">
        <is>
          <t>presto</t>
        </is>
      </c>
      <c r="B1483" t="inlineStr">
        <is>
          <t>presto-tests/src/test/java/com/facebook/presto/tests/TestSpilledWindowQueriesWithTemporaryStorage.java</t>
        </is>
      </c>
      <c r="C1483">
        <f>HYPERLINK("https://github.com/prestodb/presto/blob/master/presto-tests/src/test/java/com/facebook/presto/tests/TestSpilledWindowQueriesWithTemporaryStorage.java")</f>
        <v/>
      </c>
      <c r="D1483" t="inlineStr">
        <is>
          <t>The provided code defines a test class `TestSpilledWindowQueriesWithTemporaryStorage` that extends another class `TestSpilledWindowQueries`. This class overrides the `createQueryRunner` method to use a custom query runner implementation from `TestDistributedSpilledQueriesWithTempStorage`, which likely provides additional features such as temporary storage support for spilled window queries. The complexity of the code is O(N),</t>
        </is>
      </c>
      <c r="E1483" t="n">
        <v>0.0037</v>
      </c>
      <c r="F1483" t="n">
        <v>0.06900000000000001</v>
      </c>
      <c r="G1483" t="n">
        <v>0.124</v>
      </c>
      <c r="H1483" t="inlineStr">
        <is>
          <t>This repository contains backend software components that implement core algorithms. The complexity is O(N), indicating linear time performance relative to input size. The comments describe the implementation of these algorithms. The code size is 937 lines.</t>
        </is>
      </c>
      <c r="I1483" t="n">
        <v>0.0068</v>
      </c>
      <c r="J1483" t="n">
        <v>0.1778</v>
      </c>
      <c r="K1483" t="n">
        <v>0.1852</v>
      </c>
      <c r="L1483" t="inlineStr">
        <is>
          <t>This test suite extends `TestSpilledWindowQueries` to run tests using a local query runner that utilizes temporary storage for spilled window queries. The method `createQueryRunner()` overrides the parent's implementation to instantiate a `TestDistributedSpilledQueriesWithTempStorage` instance.</t>
        </is>
      </c>
      <c r="M1483" t="n">
        <v>0.0056</v>
      </c>
      <c r="N1483" t="n">
        <v>0.09520000000000001</v>
      </c>
      <c r="O1483" t="n">
        <v>0.1429</v>
      </c>
    </row>
    <row r="1484">
      <c r="A1484" t="inlineStr">
        <is>
          <t>presto</t>
        </is>
      </c>
      <c r="B1484" t="inlineStr">
        <is>
          <t>presto-tests/src/test/java/com/facebook/presto/tests/TestDistinctType.java</t>
        </is>
      </c>
      <c r="C1484">
        <f>HYPERLINK("https://github.com/prestodb/presto/blob/master/presto-tests/src/test/java/com/facebook/presto/tests/TestDistinctType.java")</f>
        <v/>
      </c>
      <c r="D1484" t="inlineStr">
        <is>
          <t>The provided code defines classes and methods related to testing Presto SQL queries within the Facebook Presto project. It includes utilities for creating sessions, handling qualified object names, defining distinct types, user-defined types, materializing query results, and managing complexity metrics. The code is licensed under the Apache License 2.0.</t>
        </is>
      </c>
      <c r="E1484" t="n">
        <v>0.0037</v>
      </c>
      <c r="F1484" t="n">
        <v>0.0339</v>
      </c>
      <c r="G1484" t="n">
        <v>0.0413</v>
      </c>
      <c r="H1484" t="inlineStr">
        <is>
          <t>Contains backend software components implementing core algorithms. Complexity is O(N). Comments describe implementation details. Initial codebase commit. Code size is 1000 lines.</t>
        </is>
      </c>
      <c r="I1484" t="n">
        <v>0.0103</v>
      </c>
      <c r="J1484" t="n">
        <v>0.1935</v>
      </c>
      <c r="K1484" t="n">
        <v>0.1596</v>
      </c>
      <c r="L1484" t="inlineStr">
        <is>
          <t>The code provides test utilities for Presto SQL queries, including session management, object naming, type handling, and result materialization. It supports distinct types, user-defined types, and various query execution scenarios within Presto's testing framework. The implementation complexity is O(N), where N represents the number of elements processed during tests.</t>
        </is>
      </c>
      <c r="M1484" t="n">
        <v>0.0037</v>
      </c>
      <c r="N1484" t="n">
        <v>0.0333</v>
      </c>
      <c r="O1484" t="n">
        <v>0.08260000000000001</v>
      </c>
    </row>
    <row r="1485">
      <c r="A1485" t="inlineStr">
        <is>
          <t>presto</t>
        </is>
      </c>
      <c r="B1485" t="inlineStr">
        <is>
          <t>presto-tests/src/test/java/com/facebook/presto/tests/TestMetadataManager.java</t>
        </is>
      </c>
      <c r="C1485">
        <f>HYPERLINK("https://github.com/prestodb/presto/blob/master/presto-tests/src/test/java/com/facebook/presto/tests/TestMetadataManager.java")</f>
        <v/>
      </c>
      <c r="D1485" t="inlineStr">
        <is>
          <t>The code defines a test suite for Presto, a columnar processing engine used for big data analytics. It includes classes such as `MockConnectorFactory`, `DispatchManager`, and `TestingSessionContext` which facilitate setting up mock connectors, managing query dispatches, and creating testing sessions respectively. The complexity of the implementation is O(N), indicating that it scales linearly with input size.</t>
        </is>
      </c>
      <c r="E1485" t="n">
        <v>0.0033</v>
      </c>
      <c r="F1485" t="n">
        <v>0.0312</v>
      </c>
      <c r="G1485" t="n">
        <v>0.1181</v>
      </c>
      <c r="H1485" t="inlineStr">
        <is>
          <t>This repository contains backend software components that implement core algorithms. The complexity is high due to its size and the number of commits involved.</t>
        </is>
      </c>
      <c r="I1485" t="n">
        <v>0.0112</v>
      </c>
      <c r="J1485" t="n">
        <v>0.3125</v>
      </c>
      <c r="K1485" t="n">
        <v>0.3875</v>
      </c>
      <c r="L1485" t="inlineStr">
        <is>
          <t>The code provides tests for Presto's query execution system using mock connectors. It includes setup for testing sessions, metadata management, dispatch managers, and basic query info objects. The implementation focuses on core algorithms for handling queries efficiently within the Presto framework.</t>
        </is>
      </c>
      <c r="M1485" t="n">
        <v>0.0054</v>
      </c>
      <c r="N1485" t="n">
        <v>0.08</v>
      </c>
      <c r="O1485" t="n">
        <v>0.177</v>
      </c>
    </row>
    <row r="1486">
      <c r="A1486" t="inlineStr">
        <is>
          <t>presto</t>
        </is>
      </c>
      <c r="B1486" t="inlineStr">
        <is>
          <t>presto-tests/src/test/java/com/facebook/presto/tests/TestDistributedQueriesNoHashGeneration.java</t>
        </is>
      </c>
      <c r="C1486">
        <f>HYPERLINK("https://github.com/prestodb/presto/blob/master/presto-tests/src/test/java/com/facebook/presto/tests/TestDistributedQueriesNoHashGeneration.java")</f>
        <v/>
      </c>
      <c r="D1486" t="inlineStr">
        <is>
          <t>The provided Java code defines a test class `TestDistributedQueriesNoHashGeneration` that extends `AbstractTestQueries`. This class uses the `TpchQueryRunnerBuilder` to set up a query runner for testing distributed queries without hash generation optimizations. The purpose of this setup is likely to evaluate how well Presto handles distributed queries when certain optimization features are disabled.</t>
        </is>
      </c>
      <c r="E1486" t="n">
        <v>0.0035</v>
      </c>
      <c r="F1486" t="n">
        <v>0.0333</v>
      </c>
      <c r="G1486" t="n">
        <v>0.0806</v>
      </c>
      <c r="H1486" t="inlineStr">
        <is>
          <t>This repository contains backend software components that implement core algorithms. The complexity of these implementations is O(N), indicating linear time complexity relative to input size N. The comments describe the implementation as providing the foundation for core functionalities. The commits indicate that the initial codebase was created. The total code size is 1000 lines.</t>
        </is>
      </c>
      <c r="I1486" t="n">
        <v>0.0045</v>
      </c>
      <c r="J1486" t="n">
        <v>0.1587</v>
      </c>
      <c r="K1486" t="n">
        <v>0.1587</v>
      </c>
      <c r="L1486" t="inlineStr">
        <is>
          <t>This test suite verifies that distributed queries can be executed without hash generation optimizations, ensuring correctness across various query scenarios in Presto's TPCH benchmark. The `TestDistributedQueriesNoHashGeneration` class extends `AbstractTestQueries`, using a custom `TpchQueryRunnerBuilder` to configure a query runner without enabling hash generation optimization. This setup helps identify potential issues related to hash-based optimizations during distributed</t>
        </is>
      </c>
      <c r="M1486" t="n">
        <v>0.0033</v>
      </c>
      <c r="N1486" t="n">
        <v>0.0308</v>
      </c>
      <c r="O1486" t="n">
        <v>0.07870000000000001</v>
      </c>
    </row>
    <row r="1487">
      <c r="A1487" t="inlineStr">
        <is>
          <t>presto</t>
        </is>
      </c>
      <c r="B1487" t="inlineStr">
        <is>
          <t>presto-tests/src/test/java/com/facebook/presto/tests/TestDistributedSpilledQueriesWithTempStorage.java</t>
        </is>
      </c>
      <c r="C1487">
        <f>HYPERLINK("https://github.com/prestodb/presto/blob/master/presto-tests/src/test/java/com/facebook/presto/tests/TestDistributedSpilledQueriesWithTempStorage.java")</f>
        <v/>
      </c>
      <c r="D1487" t="inlineStr">
        <is>
          <t>The provided Java code defines a class `TestSuite` within the package `com.facebook.presto.tests`. This class appears to be part of a testing framework for Presto SQL, which is a columnar storage engine designed for big data analytics. The main purpose of this class seems to be setting up test environments using various plugins and configurations:
1. **Plugins**:
   - It uses the</t>
        </is>
      </c>
      <c r="E1487" t="n">
        <v>0.0036</v>
      </c>
      <c r="F1487" t="n">
        <v>0.0571</v>
      </c>
      <c r="G1487" t="n">
        <v>0.1136</v>
      </c>
      <c r="H1487" t="inlineStr">
        <is>
          <t>The repository contains backend software components implementing core algorithms. The complexity is O(N), indicating linear time complexity for certain operations.</t>
        </is>
      </c>
      <c r="I1487" t="n">
        <v>0.0115</v>
      </c>
      <c r="J1487" t="n">
        <v>0.2069</v>
      </c>
      <c r="K1487" t="n">
        <v>0.2778</v>
      </c>
      <c r="L1487" t="inlineStr">
        <is>
          <t>The code provides a setup for running Presto tests using TPC-H data. It initializes a `QueryRunner` instance configured with various plugins including `TpchPlugin`, `SqlInvokedFunctionsPlugin`, and sets up system session properties such as aggregation operation limits. The primary function appears to be setting up the environment necessary for executing SQL queries against a simulated TPC-H database within Presto.</t>
        </is>
      </c>
      <c r="M1487" t="n">
        <v>0.0032</v>
      </c>
      <c r="N1487" t="n">
        <v>0.0299</v>
      </c>
      <c r="O1487" t="n">
        <v>0.0775</v>
      </c>
    </row>
    <row r="1488">
      <c r="A1488" t="inlineStr">
        <is>
          <t>presto</t>
        </is>
      </c>
      <c r="B1488" t="inlineStr">
        <is>
          <t>presto-tests/src/test/java/com/facebook/presto/tests/TestSpilledTopNQueries.java</t>
        </is>
      </c>
      <c r="C1488">
        <f>HYPERLINK("https://github.com/prestodb/presto/blob/master/presto-tests/src/test/java/com/facebook/presto/tests/TestSpilledTopNQueries.java")</f>
        <v/>
      </c>
      <c r="D1488" t="inlineStr">
        <is>
          <t>The provided Java code defines a test suite for Presto SQL queries using TestNG annotations. It includes setup methods that configure a `QueryRunner` instance with necessary plugins and session properties. The tests utilize the TPC-H benchmark data set to verify query performance and correctness. The complexity of the implementation is O(N), where N represents the number of test cases executed.</t>
        </is>
      </c>
      <c r="E1488" t="n">
        <v>0.003</v>
      </c>
      <c r="F1488" t="n">
        <v>0.0286</v>
      </c>
      <c r="G1488" t="n">
        <v>0.1136</v>
      </c>
      <c r="H1488" t="inlineStr">
        <is>
          <t>The code implements core algorithms and provides backend software components. Complexity is O(N), and it includes comments explaining the implementation. The README describes the repository as containing backend software components.</t>
        </is>
      </c>
      <c r="I1488" t="n">
        <v>0.0157</v>
      </c>
      <c r="J1488" t="n">
        <v>0.1538</v>
      </c>
      <c r="K1488" t="n">
        <v>0.3094</v>
      </c>
      <c r="L1488" t="inlineStr">
        <is>
          <t>The code defines a test suite for Presto SQL queries using TestNG annotations. It sets up a session with system properties and uses the TPC-H plugin to load data into a query runner. The `@Test` annotation marks methods that contain tests, which execute SQL queries against the loaded data and verify their results. The code initializes a session with default settings and loads the TPC-H dataset from</t>
        </is>
      </c>
      <c r="M1488" t="n">
        <v>0.0027</v>
      </c>
      <c r="N1488" t="n">
        <v>0.026</v>
      </c>
      <c r="O1488" t="n">
        <v>0.07190000000000001</v>
      </c>
    </row>
    <row r="1489">
      <c r="A1489" t="inlineStr">
        <is>
          <t>presto</t>
        </is>
      </c>
      <c r="B1489" t="inlineStr">
        <is>
          <t>presto-tests/src/test/java/com/facebook/presto/tests/TestH2QueryRunner.java</t>
        </is>
      </c>
      <c r="C1489">
        <f>HYPERLINK("https://github.com/prestodb/presto/blob/master/presto-tests/src/test/java/com/facebook/presto/tests/TestH2QueryRunner.java")</f>
        <v/>
      </c>
      <c r="D1489" t="inlineStr">
        <is>
          <t>The provided code is part of a test suite for Presto, a columnar processing engine used for big data analytics. It includes tests that verify various functionalities related to date handling and session management within Presto's testing framework. The code uses TestNG annotations for setting up and tearing down before and after each test case, respectively. It also utilizes Google Guava's `ImmutableList` for storing collections</t>
        </is>
      </c>
      <c r="E1489" t="n">
        <v>0.0028</v>
      </c>
      <c r="F1489" t="n">
        <v>0.0533</v>
      </c>
      <c r="G1489" t="n">
        <v>0.073</v>
      </c>
      <c r="H1489" t="inlineStr">
        <is>
          <t>This repository contains backend software components that implement core algorithms. The complexity of these implementations is O(N), indicating linear time complexity relative to the size of the input data.</t>
        </is>
      </c>
      <c r="I1489" t="n">
        <v>0.008500000000000001</v>
      </c>
      <c r="J1489" t="n">
        <v>0.2105</v>
      </c>
      <c r="K1489" t="n">
        <v>0.198</v>
      </c>
      <c r="L1489" t="inlineStr">
        <is>
          <t>This Java test suite uses TestNG annotations to define tests that verify Presto query results against expected outcomes. It includes methods annotated with `@BeforeClass` and `@AfterClass`, which set up and tear down resources before and after all tests run, respectively. The `@Test` method performs queries using Presto's testing framework and compares the results with predefined materialized results stored as lists of</t>
        </is>
      </c>
      <c r="M1489" t="n">
        <v>0.0036</v>
      </c>
      <c r="N1489" t="n">
        <v>0.0571</v>
      </c>
      <c r="O1489" t="n">
        <v>0.1128</v>
      </c>
    </row>
    <row r="1490">
      <c r="A1490" t="inlineStr">
        <is>
          <t>presto</t>
        </is>
      </c>
      <c r="B1490" t="inlineStr">
        <is>
          <t>presto-tests/src/test/java/com/facebook/presto/tests/TestDistributedEngineOnlyQueries.java</t>
        </is>
      </c>
      <c r="C1490">
        <f>HYPERLINK("https://github.com/prestodb/presto/blob/master/presto-tests/src/test/java/com/facebook/presto/tests/TestDistributedEngineOnlyQueries.java")</f>
        <v/>
      </c>
      <c r="D1490" t="inlineStr">
        <is>
          <t>The provided code defines a test suite for verifying the performance and correctness of Presto's distributed engine using TPCH queries. It uses the `TpchQueryRunnerBuilder` to set up a query runner that executes TPCH queries against a distributed Presto environment. The `createQueryRunner()` method returns this configured query runner, which can be used to run tests related to distributed execution.</t>
        </is>
      </c>
      <c r="E1490" t="n">
        <v>0.0031</v>
      </c>
      <c r="F1490" t="n">
        <v>0.0299</v>
      </c>
      <c r="G1490" t="n">
        <v>0.1154</v>
      </c>
      <c r="H1490" t="inlineStr">
        <is>
          <t>The code implements a test suite for testing Presto's distributed engine capabilities using TPCH queries. It uses the `TpchQueryRunnerBuilder` to set up a query runner for running TPCH tests. The complexity is O(N) due to the number of commits made to the repository.</t>
        </is>
      </c>
      <c r="I1490" t="n">
        <v>0.0043</v>
      </c>
      <c r="J1490" t="n">
        <v>0.0377</v>
      </c>
      <c r="K1490" t="n">
        <v>0.08699999999999999</v>
      </c>
      <c r="L1490" t="inlineStr">
        <is>
          <t>This test suite runs Presto queries using a TPCH query runner configured for distributed execution only, focusing on testing engine-specific features without involving external data sources.</t>
        </is>
      </c>
      <c r="M1490" t="n">
        <v>0.0073</v>
      </c>
      <c r="N1490" t="n">
        <v>0.0571</v>
      </c>
      <c r="O1490" t="n">
        <v>0.102</v>
      </c>
    </row>
    <row r="1491">
      <c r="A1491" t="inlineStr">
        <is>
          <t>presto</t>
        </is>
      </c>
      <c r="B1491" t="inlineStr">
        <is>
          <t>presto-tests/src/test/java/com/facebook/presto/tests/TestOrderByQueries.java</t>
        </is>
      </c>
      <c r="C1491">
        <f>HYPERLINK("https://github.com/prestodb/presto/blob/master/presto-tests/src/test/java/com/facebook/presto/tests/TestOrderByQueries.java")</f>
        <v/>
      </c>
      <c r="D1491" t="inlineStr">
        <is>
          <t>The provided code defines a test suite for ordering queries using Presto's testing framework. It uses the `TpchQueryRunnerBuilder` to set up a TPCH query runner instance, which is then used as the base for creating a custom test runner (`AbstractTestOrderByQueries`). The `createQueryRunner()` method overrides the abstract method from its superclass to provide a specific implementation that returns the configured TPCH</t>
        </is>
      </c>
      <c r="E1491" t="n">
        <v>0</v>
      </c>
      <c r="F1491" t="n">
        <v>0.029</v>
      </c>
      <c r="G1491" t="n">
        <v>0.07580000000000001</v>
      </c>
      <c r="H1491" t="inlineStr">
        <is>
          <t>The code defines a test suite for ordering queries using Presto's TPCH data set. It uses a custom `AbstractTestOrderByQueries` class that sets up a query runner based on the TPCH benchmark. The complexity is O(N) due to the nature of testing multiple queries against the dataset.</t>
        </is>
      </c>
      <c r="I1491" t="n">
        <v>0</v>
      </c>
      <c r="J1491" t="n">
        <v>0</v>
      </c>
      <c r="K1491" t="n">
        <v>0.0424</v>
      </c>
      <c r="L1491" t="inlineStr">
        <is>
          <t>This test suite runs ordered query tests using the TPCH dataset with Presto's testing framework. It leverages `TpchQueryRunnerBuilder` to set up a query runner that executes queries from the TPCH schema in order. The `createQueryRunner()` method returns a configured instance of `QueryRunner`, which is used to execute various SQL queries related to ordering data efficiently.</t>
        </is>
      </c>
      <c r="M1491" t="n">
        <v>0.0033</v>
      </c>
      <c r="N1491" t="n">
        <v>0.0312</v>
      </c>
      <c r="O1491" t="n">
        <v>0.07870000000000001</v>
      </c>
    </row>
    <row r="1492">
      <c r="A1492" t="inlineStr">
        <is>
          <t>presto</t>
        </is>
      </c>
      <c r="B1492" t="inlineStr">
        <is>
          <t>presto-tests/src/test/java/com/facebook/presto/tests/TestQueryPlanDeterminism.java</t>
        </is>
      </c>
      <c r="C1492">
        <f>HYPERLINK("https://github.com/prestodb/presto/blob/master/presto-tests/src/test/java/com/facebook/presto/tests/TestQueryPlanDeterminism.java")</f>
        <v/>
      </c>
      <c r="D1492" t="inlineStr">
        <is>
          <t>The provided code appears to be part of a Presto testing framework within Facebook's data platform. It includes classes such as `LocalQueryRunner`, which is used to run SQL queries against a local Presto instance. The code also involves session management (`Session`), type handling (`Type`), property managers (`SessionPropertyManager`), plugins like `SqlInvokedFunctionsPlugin`, connector IDs (`Connector</t>
        </is>
      </c>
      <c r="E1492" t="n">
        <v>0</v>
      </c>
      <c r="F1492" t="n">
        <v>0</v>
      </c>
      <c r="G1492" t="n">
        <v>0.04</v>
      </c>
      <c r="H1492" t="inlineStr">
        <is>
          <t>This repository contains backend software components that implement core algorithms. The complexity of these implementations is O(N), indicating linear time complexity. The README provides information about the license, package structure, and the purpose of the repository.</t>
        </is>
      </c>
      <c r="I1492" t="n">
        <v>0.0073</v>
      </c>
      <c r="J1492" t="n">
        <v>0.2222</v>
      </c>
      <c r="K1492" t="n">
        <v>0.2315</v>
      </c>
      <c r="L1492" t="inlineStr">
        <is>
          <t>The provided code defines a class `LocalQueryRunner` within the `com.facebook.presto.tests` package, which is used for running queries locally against Presto's metadata system. It includes methods for setting up sessions, managing session properties, registering SQL functions, and executing queries, allowing developers to test Presto functionalities without needing a full Presto cluster. The code size is 100</t>
        </is>
      </c>
      <c r="M1492" t="n">
        <v>0.0033</v>
      </c>
      <c r="N1492" t="n">
        <v>0.0597</v>
      </c>
      <c r="O1492" t="n">
        <v>0.07870000000000001</v>
      </c>
    </row>
    <row r="1493">
      <c r="A1493" t="inlineStr">
        <is>
          <t>presto</t>
        </is>
      </c>
      <c r="B1493" t="inlineStr">
        <is>
          <t>presto-tests/src/test/java/com/facebook/presto/tests/TestLocalVerboseMemoryExceededErrors.java</t>
        </is>
      </c>
      <c r="C1493">
        <f>HYPERLINK("https://github.com/prestodb/presto/blob/master/presto-tests/src/test/java/com/facebook/presto/tests/TestLocalVerboseMemoryExceededErrors.java")</f>
        <v/>
      </c>
      <c r="D1493" t="inlineStr">
        <is>
          <t>The provided Java code defines a test suite for verifying memory usage errors in Presto, a columnar processing engine used for big data analytics. The `TestLocalVerboseMemoryExceededErrors` class inherits from `AbstractTestVerboseMemoryExceededErrors`, which likely provides common setup and teardown methods for these tests. The main purpose of this test suite is to ensure that Presto correctly handles situations where query</t>
        </is>
      </c>
      <c r="E1493" t="n">
        <v>0.0031</v>
      </c>
      <c r="F1493" t="n">
        <v>0.0303</v>
      </c>
      <c r="G1493" t="n">
        <v>0.1154</v>
      </c>
      <c r="H1493" t="inlineStr">
        <is>
          <t>This repository contains backend software components that implement core algorithms. The complexity of these implementations is O(N), indicating linear time performance relative to input size. The codebase has been initialized with the first commit.</t>
        </is>
      </c>
      <c r="I1493" t="n">
        <v>0.0072</v>
      </c>
      <c r="J1493" t="n">
        <v>0.186</v>
      </c>
      <c r="K1493" t="n">
        <v>0.1887</v>
      </c>
      <c r="L1493" t="inlineStr">
        <is>
          <t>This test suite verifies that Presto correctly handles memory exceeded errors when running queries locally. It uses a custom `AbstractTestVerboseMemoryExceededErrors` class to set up a local query runner with increased memory limits and runs various tests to ensure proper error handling and logging. The tests cover different scenarios such as setting high memory thresholds and observing the system's response to exceeding these limits.</t>
        </is>
      </c>
      <c r="M1493" t="n">
        <v>0.0034</v>
      </c>
      <c r="N1493" t="n">
        <v>0.0556</v>
      </c>
      <c r="O1493" t="n">
        <v>0.1111</v>
      </c>
    </row>
    <row r="1494">
      <c r="A1494" t="inlineStr">
        <is>
          <t>presto</t>
        </is>
      </c>
      <c r="B1494" t="inlineStr">
        <is>
          <t>presto-tests/src/test/java/com/facebook/presto/tests/TestQueryTaskLimit.java</t>
        </is>
      </c>
      <c r="C1494">
        <f>HYPERLINK("https://github.com/prestodb/presto/blob/master/presto-tests/src/test/java/com/facebook/presto/tests/TestQueryTaskLimit.java")</f>
        <v/>
      </c>
      <c r="D1494" t="inlineStr">
        <is>
          <t>The provided Java code is part of a test suite for Presto, a columnar processing engine used for big data analytics. It includes setup and teardown methods using TestNG annotations (`@BeforeClass` and `@AfterClass`) to initialize and clean up resources before and after each test case. The class uses several classes from the Presto library such as `Session`, `BasicQueryInfo`, `</t>
        </is>
      </c>
      <c r="E1494" t="n">
        <v>0.0031</v>
      </c>
      <c r="F1494" t="n">
        <v>0.0303</v>
      </c>
      <c r="G1494" t="n">
        <v>0.07630000000000001</v>
      </c>
      <c r="H1494" t="inlineStr">
        <is>
          <t>The repository contains backend software components that implement core algorithms. The complexity of these implementations is O(N), indicating linear time complexity relative to input size. The README provides information about the license, package structure, test classes, and overall project setup.</t>
        </is>
      </c>
      <c r="I1494" t="n">
        <v>0.0061</v>
      </c>
      <c r="J1494" t="n">
        <v>0.1633</v>
      </c>
      <c r="K1494" t="n">
        <v>0.1786</v>
      </c>
      <c r="L1494" t="inlineStr">
        <is>
          <t>This test suite uses TestNG annotations to define setup and teardown methods before and after each test case. It initializes Presto session parameters and sets up TPC-H data using the `TpchPlugin`. The tests verify query execution performance and correctness by comparing results against expected values.</t>
        </is>
      </c>
      <c r="M1494" t="n">
        <v>0.0049</v>
      </c>
      <c r="N1494" t="n">
        <v>0.0741</v>
      </c>
      <c r="O1494" t="n">
        <v>0.1282</v>
      </c>
    </row>
    <row r="1495">
      <c r="A1495" t="inlineStr">
        <is>
          <t>presto</t>
        </is>
      </c>
      <c r="B1495" t="inlineStr">
        <is>
          <t>presto-tests/src/test/java/com/facebook/presto/tests/TestSetWorkerSessionPropertiesIncludingInvalidProperties.java</t>
        </is>
      </c>
      <c r="C1495">
        <f>HYPERLINK("https://github.com/prestodb/presto/blob/master/presto-tests/src/test/java/com/facebook/presto/tests/TestSetWorkerSessionPropertiesIncludingInvalidProperties.java")</f>
        <v/>
      </c>
      <c r="D1495" t="inlineStr">
        <is>
          <t>The provided Java code defines a test case `TestSetWorkerSessionPropertiesIncludingInvalidProperties` within the Presto testing framework. This test checks the behavior of setting worker session properties, including handling invalid property values. The test uses the `testSessionBuilder` from Presto's testing utilities to create a test session, sets various session properties, and then verifies that these settings are correctly applied using assertions.</t>
        </is>
      </c>
      <c r="E1495" t="n">
        <v>0.0037</v>
      </c>
      <c r="F1495" t="n">
        <v>0.0597</v>
      </c>
      <c r="G1495" t="n">
        <v>0.1154</v>
      </c>
      <c r="H1495" t="inlineStr">
        <is>
          <t>The code implements test cases for setting worker session properties in Presto, including handling invalid properties. It uses JUnit annotations for testing and asserts equality between expected and actual results. The complexity is O(N) due to the number of test cases, and it includes comments explaining the implementation details.</t>
        </is>
      </c>
      <c r="I1495" t="n">
        <v>0.0045</v>
      </c>
      <c r="J1495" t="n">
        <v>0.06900000000000001</v>
      </c>
      <c r="K1495" t="n">
        <v>0.124</v>
      </c>
      <c r="L1495" t="inlineStr">
        <is>
          <t>This test suite verifies that Presto correctly handles setting worker session properties, including invalid ones. It uses TestNG annotations and assertions to ensure that valid properties are set as expected and that invalid properties result in appropriate error messages. The tests utilize a custom `Abstr` class for setup and teardown methods.</t>
        </is>
      </c>
      <c r="M1495" t="n">
        <v>0.0043</v>
      </c>
      <c r="N1495" t="n">
        <v>0.0678</v>
      </c>
      <c r="O1495" t="n">
        <v>0.122</v>
      </c>
    </row>
    <row r="1496">
      <c r="A1496" t="inlineStr">
        <is>
          <t>presto</t>
        </is>
      </c>
      <c r="B1496" t="inlineStr">
        <is>
          <t>presto-tests/src/test/java/com/facebook/presto/tests/TestDistributedQueriesWithDynamicFilter.java</t>
        </is>
      </c>
      <c r="C1496">
        <f>HYPERLINK("https://github.com/prestodb/presto/blob/master/presto-tests/src/test/java/com/facebook/presto/tests/TestDistributedQueriesWithDynamicFilter.java")</f>
        <v/>
      </c>
      <c r="D1496" t="inlineStr">
        <is>
          <t>The provided Java code defines a test suite `TestDistributedQueriesWithDynamicFilter` that extends `AbstractTestQueries`. This test suite uses the `TpchQueryRunnerBuilder` from the Presto testing framework to set up a query runner based on the TPCH dataset. The `createQueryRunner()` method configures the query runner to enable dynamic filtering using the system session property `ENABLE_DYNAMIC_FILTERING</t>
        </is>
      </c>
      <c r="E1496" t="n">
        <v>0.0036</v>
      </c>
      <c r="F1496" t="n">
        <v>0.0328</v>
      </c>
      <c r="G1496" t="n">
        <v>0.0813</v>
      </c>
      <c r="H1496" t="inlineStr">
        <is>
          <t>The repository contains backend software components that implement core algorithms. The complexity of these implementations is O(N), indicating linear time complexity. The code size is 1000 lines, which suggests it includes multiple modules and classes.</t>
        </is>
      </c>
      <c r="I1496" t="n">
        <v>0.007</v>
      </c>
      <c r="J1496" t="n">
        <v>0.1818</v>
      </c>
      <c r="K1496" t="n">
        <v>0.2336</v>
      </c>
      <c r="L1496" t="inlineStr">
        <is>
          <t>This test suite verifies the performance and correctness of distributed queries using dynamic filtering in Presto. It uses the TPCH query runner to execute tests that involve complex data processing tasks across multiple nodes, ensuring efficient resource utilization and accurate results. The focus is on evaluating how well the system handles dynamic filtering optimizations during large-scale queries.</t>
        </is>
      </c>
      <c r="M1496" t="n">
        <v>0.0038</v>
      </c>
      <c r="N1496" t="n">
        <v>0.0606</v>
      </c>
      <c r="O1496" t="n">
        <v>0.1163</v>
      </c>
    </row>
    <row r="1497">
      <c r="A1497" t="inlineStr">
        <is>
          <t>presto</t>
        </is>
      </c>
      <c r="B1497" t="inlineStr">
        <is>
          <t>presto-tests/src/test/java/com/facebook/presto/tests/TestSpilledJoinQueries.java</t>
        </is>
      </c>
      <c r="C1497">
        <f>HYPERLINK("https://github.com/prestodb/presto/blob/master/presto-tests/src/test/java/com/facebook/presto/tests/TestSpilledJoinQueries.java")</f>
        <v/>
      </c>
      <c r="D1497" t="inlineStr">
        <is>
          <t>The provided code defines a test suite for join queries that utilize spilled data storage. It extends `AbstractTestJoinQueries` and overrides the `createQueryRunner` method to use a local query runner created by `TestDistributedSpilledQueries`. This setup allows for testing join operations where data exceeds memory limits, requiring spillage to disk. The complexity is O(N), indicating linear time complexity relative to the</t>
        </is>
      </c>
      <c r="E1497" t="n">
        <v>0.0037</v>
      </c>
      <c r="F1497" t="n">
        <v>0.0294</v>
      </c>
      <c r="G1497" t="n">
        <v>0.1145</v>
      </c>
      <c r="H1497" t="inlineStr">
        <is>
          <t>The code defines a test suite for spilled join queries using Presto's testing framework. It overrides the `createQueryRunner` method to provide a local query runner instance for running tests related to spilled joins. The complexity is marked as O(N), indicating that it involves processing N elements. The comments describe the implementation of core algorithms, while the commits indicate the initial creation of the codebase. The code size</t>
        </is>
      </c>
      <c r="I1497" t="n">
        <v>0.0027</v>
      </c>
      <c r="J1497" t="n">
        <v>0.0519</v>
      </c>
      <c r="K1497" t="n">
        <v>0.1079</v>
      </c>
      <c r="L1497" t="inlineStr">
        <is>
          <t>This test suite extends `AbstractTestJoinQueries` to run tests involving spilled joins using a local query runner created by `TestDistributedSpilledQueries`. The primary function is to verify that join queries handle large datasets efficiently when they spill data to disk.</t>
        </is>
      </c>
      <c r="M1497" t="n">
        <v>0.0049</v>
      </c>
      <c r="N1497" t="n">
        <v>0.08699999999999999</v>
      </c>
      <c r="O1497" t="n">
        <v>0.09089999999999999</v>
      </c>
    </row>
    <row r="1498">
      <c r="A1498" t="inlineStr">
        <is>
          <t>presto</t>
        </is>
      </c>
      <c r="B1498" t="inlineStr">
        <is>
          <t>presto-tests/src/test/java/com/facebook/presto/tests/TestHistoryBasedRetry.java</t>
        </is>
      </c>
      <c r="C1498">
        <f>HYPERLINK("https://github.com/prestodb/presto/blob/master/presto-tests/src/test/java/com/facebook/presto/tests/TestHistoryBasedRetry.java")</f>
        <v/>
      </c>
      <c r="D1498" t="inlineStr">
        <is>
          <t>The code defines a test suite for Presto SQL using Java. It includes setup for a session, query runner, and statistics provider. The `InMemoryHistoryBasedPlanStatisticsProvider` is used to track execution plans and their performance metrics during tests. This allows developers to analyze query execution efficiency and plan optimization strategies.</t>
        </is>
      </c>
      <c r="E1498" t="n">
        <v>0.0045</v>
      </c>
      <c r="F1498" t="n">
        <v>0.07140000000000001</v>
      </c>
      <c r="G1498" t="n">
        <v>0.125</v>
      </c>
      <c r="H1498" t="inlineStr">
        <is>
          <t>This repository contains backend software components implementing core algorithms. The complexity is O(N), indicating linear time complexity. It includes comments describing the implementation and commits detailing the initial codebase creation. The total size of the codebase is 1000 lines.</t>
        </is>
      </c>
      <c r="I1498" t="n">
        <v>0.0067</v>
      </c>
      <c r="J1498" t="n">
        <v>0.2083</v>
      </c>
      <c r="K1498" t="n">
        <v>0.2252</v>
      </c>
      <c r="L1498" t="inlineStr">
        <is>
          <t>This Java package contains tests for Presto, a columnar storage engine used for big data analytics. It includes classes that set up test environments using `InMemoryHistoryBasedPlanStatisticsProvider` and runs queries against a TPC-H database plugin (`TpchPlugin`). The code provides a framework for testing query performance and statistics in Presto.</t>
        </is>
      </c>
      <c r="M1498" t="n">
        <v>0.0045</v>
      </c>
      <c r="N1498" t="n">
        <v>0.0702</v>
      </c>
      <c r="O1498" t="n">
        <v>0.125</v>
      </c>
    </row>
    <row r="1499">
      <c r="A1499" t="inlineStr">
        <is>
          <t>presto</t>
        </is>
      </c>
      <c r="B1499" t="inlineStr">
        <is>
          <t>presto-tests/src/test/java/com/facebook/presto/tests/TestTupleDomainFilterUtils.java</t>
        </is>
      </c>
      <c r="C1499">
        <f>HYPERLINK("https://github.com/prestodb/presto/blob/master/presto-tests/src/test/java/com/facebook/presto/tests/TestTupleDomainFilterUtils.java")</f>
        <v/>
      </c>
      <c r="D1499" t="inlineStr">
        <is>
          <t>The provided code is part of a Presto testing framework within Facebook's data processing system. It includes classes and methods related to session management and predicate filtering for Bigint values using bitmasks. The complexity of the implementation is O(N), indicating linear time operations based on input size. The comments suggest that this code implements core algorithms necessary for handling large datasets efficiently.</t>
        </is>
      </c>
      <c r="E1499" t="n">
        <v>0.0069</v>
      </c>
      <c r="F1499" t="n">
        <v>0.0833</v>
      </c>
      <c r="G1499" t="n">
        <v>0.2776</v>
      </c>
      <c r="H1499" t="inlineStr">
        <is>
          <t>The code implements core algorithms for a backend system, using complex data structures like TupleDomainFilters for filtering large datasets efficiently. The complexity is O(N), indicating linear time operations based on input size.</t>
        </is>
      </c>
      <c r="I1499" t="n">
        <v>0.0123</v>
      </c>
      <c r="J1499" t="n">
        <v>0.09760000000000001</v>
      </c>
      <c r="K1499" t="n">
        <v>0.2457</v>
      </c>
      <c r="L1499" t="inlineStr">
        <is>
          <t>The provided code implements a suite of tests for Presto SQL queries, focusing on predicate filtering using various domain types such as BigintRanges, BigintMultiRanges, and BigintValuesUsingBitmask. The code uses the `Session` class to manage query execution contexts and applies tuple domain filters to test different scenarios involving bigint data types.</t>
        </is>
      </c>
      <c r="M1499" t="n">
        <v>0.0044</v>
      </c>
      <c r="N1499" t="n">
        <v>0.06900000000000001</v>
      </c>
      <c r="O1499" t="n">
        <v>0.123</v>
      </c>
    </row>
    <row r="1500">
      <c r="A1500" t="inlineStr">
        <is>
          <t>presto</t>
        </is>
      </c>
      <c r="B1500" t="inlineStr">
        <is>
          <t>presto-tests/src/test/java/com/facebook/presto/tests/TestSslContextProvider.java</t>
        </is>
      </c>
      <c r="C1500">
        <f>HYPERLINK("https://github.com/prestodb/presto/blob/master/presto-tests/src/test/java/com/facebook/presto/tests/TestSslContextProvider.java")</f>
        <v/>
      </c>
      <c r="D1500" t="inlineStr">
        <is>
          <t>The code defines a test class `SslTest` that uses TestNG annotations to set up and tear down SSL context providers before and after each test case. It includes methods to create SSL contexts using keystore files located in a specified directory (`ssl_keystores`). The tests verify the creation of SSL contexts and handle any potential exceptions that might occur during the process. The complexity of the implementation is</t>
        </is>
      </c>
      <c r="E1500" t="n">
        <v>0.0027</v>
      </c>
      <c r="F1500" t="n">
        <v>0.0263</v>
      </c>
      <c r="G1500" t="n">
        <v>0.1079</v>
      </c>
      <c r="H1500" t="inlineStr">
        <is>
          <t>This repository contains backend software components implementing core algorithms. The complexity is O(N), indicating linear time complexity. The implementation includes SSL context provider and Presto exception handling. The README provides information about the license, package structure, and test annotations used in the project. The code size is 1000 lines.</t>
        </is>
      </c>
      <c r="I1500" t="n">
        <v>0.0053</v>
      </c>
      <c r="J1500" t="n">
        <v>0.1724</v>
      </c>
      <c r="K1500" t="n">
        <v>0.2479</v>
      </c>
      <c r="L1500" t="inlineStr">
        <is>
          <t>The code provides test cases for SSL context provider implementations in Presto, focusing on setting up SSL contexts using keystore files. It includes setup and teardown methods for each test case, ensuring that SSL configurations are correctly managed before and after tests run. The code uses TestNG annotations to organize the tests and handles exceptions related to SSL configuration errors.</t>
        </is>
      </c>
      <c r="M1500" t="n">
        <v>0.003</v>
      </c>
      <c r="N1500" t="n">
        <v>0.0588</v>
      </c>
      <c r="O1500" t="n">
        <v>0.1136</v>
      </c>
    </row>
    <row r="1501">
      <c r="A1501" t="inlineStr">
        <is>
          <t>presto</t>
        </is>
      </c>
      <c r="B1501" t="inlineStr">
        <is>
          <t>presto-tests/src/test/java/com/facebook/presto/tests/TestSetWorkerSessionPropertiesExcludingInvalidProperties.java</t>
        </is>
      </c>
      <c r="C1501">
        <f>HYPERLINK("https://github.com/prestodb/presto/blob/master/presto-tests/src/test/java/com/facebook/presto/tests/TestSetWorkerSessionPropertiesExcludingInvalidProperties.java")</f>
        <v/>
      </c>
      <c r="D1501" t="inlineStr">
        <is>
          <t>The code defines a test case `TestSetWorkerSessionPropertiesExcludingInvalidProperties` that verifies the behavior of setting worker session properties while excluding invalid ones using Presto's testing framework. The test uses a materialized result to compare expected outcomes against actual results from executing queries on a query runner configured with a test session builder. It includes assertions to ensure that only valid session properties are set and that any</t>
        </is>
      </c>
      <c r="E1501" t="n">
        <v>0.0028</v>
      </c>
      <c r="F1501" t="n">
        <v>0.027</v>
      </c>
      <c r="G1501" t="n">
        <v>0.073</v>
      </c>
      <c r="H1501" t="inlineStr">
        <is>
          <t>The provided code is part of a test suite for Presto SQL testing framework, specifically designed to verify that setting worker session properties excluding invalid ones works correctly. It includes tests using TestNG annotations and assertions to ensure proper behavior when attempting to set session properties while ignoring those that do not exist. The complexity of the implementation is O(N), where N represents the number of tests run.</t>
        </is>
      </c>
      <c r="I1501" t="n">
        <v>0.0027</v>
      </c>
      <c r="J1501" t="n">
        <v>0.026</v>
      </c>
      <c r="K1501" t="n">
        <v>0.1071</v>
      </c>
      <c r="L1501" t="inlineStr">
        <is>
          <t>This test suite verifies that setting worker session properties excluding invalid ones works correctly in Presto. It uses a combination of assertions and query runner methods to ensure that only valid properties are applied and that any invalid properties are ignored. The tests cover various scenarios to validate the robustness of the property handling mechanism.</t>
        </is>
      </c>
      <c r="M1501" t="n">
        <v>0.004</v>
      </c>
      <c r="N1501" t="n">
        <v>0.0635</v>
      </c>
      <c r="O1501" t="n">
        <v>0.1181</v>
      </c>
    </row>
    <row r="1502">
      <c r="A1502" t="inlineStr">
        <is>
          <t>presto</t>
        </is>
      </c>
      <c r="B1502" t="inlineStr">
        <is>
          <t>presto-tests/src/test/java/com/facebook/presto/tests/TestNoisyAggregations.java</t>
        </is>
      </c>
      <c r="C1502">
        <f>HYPERLINK("https://github.com/prestodb/presto/blob/master/presto-tests/src/test/java/com/facebook/presto/tests/TestNoisyAggregations.java")</f>
        <v/>
      </c>
      <c r="D1502" t="inlineStr">
        <is>
          <t>The provided code defines a test suite `TestNoisyAggregations` that tests noisy aggregation functions using Presto's testing framework. It uses TPC-H data generation to create a query runner and runs various queries to verify correctness and performance. The test cases include assertions to ensure expected results are produced without noise.</t>
        </is>
      </c>
      <c r="E1502" t="n">
        <v>0.0037</v>
      </c>
      <c r="F1502" t="n">
        <v>0.0678</v>
      </c>
      <c r="G1502" t="n">
        <v>0.08260000000000001</v>
      </c>
      <c r="H1502" t="inlineStr">
        <is>
          <t>The code implements a test suite for noisy aggregations using Presto's testing framework. It includes tests for various TPC-H queries and assertions to verify correctness. The complexity is high due to the extensive number of tests and data points involved.</t>
        </is>
      </c>
      <c r="I1502" t="n">
        <v>0.0055</v>
      </c>
      <c r="J1502" t="n">
        <v>0.08</v>
      </c>
      <c r="K1502" t="n">
        <v>0.1339</v>
      </c>
      <c r="L1502" t="inlineStr">
        <is>
          <t>The `TestNoisyAggregations` class extends `AbstractTests` and appears to be a test suite designed to verify the correctness of noisy aggregation functions in Presto SQL queries using TPC-H data. The tests likely involve comparing expected results from materialized queries against actual query results to ensure accuracy. The code uses annotations like `@Language` for specifying SQL queries and `@Test` for</t>
        </is>
      </c>
      <c r="M1502" t="n">
        <v>0.0031</v>
      </c>
      <c r="N1502" t="n">
        <v>0.0597</v>
      </c>
      <c r="O1502" t="n">
        <v>0.0769</v>
      </c>
    </row>
    <row r="1503">
      <c r="A1503" t="inlineStr">
        <is>
          <t>presto</t>
        </is>
      </c>
      <c r="B1503" t="inlineStr">
        <is>
          <t>presto-tests/src/test/java/com/facebook/presto/tests/TestSpilledOrderByQueriesWithTemporaryStorage.java</t>
        </is>
      </c>
      <c r="C1503">
        <f>HYPERLINK("https://github.com/prestodb/presto/blob/master/presto-tests/src/test/java/com/facebook/presto/tests/TestSpilledOrderByQueriesWithTemporaryStorage.java")</f>
        <v/>
      </c>
      <c r="D1503" t="inlineStr">
        <is>
          <t>The provided Java code defines a test suite for Presto's spilled order-by queries using temporary storage. It overrides the `createQueryRunner` method from its superclass to use a local query runner that supports spilled order-by operations with temporary storage. The complexity of the implementation is O(N), where N represents the number of elements being processed. The comments indicate that the code implements core algorithms related to sorting and querying</t>
        </is>
      </c>
      <c r="E1503" t="n">
        <v>0.0063</v>
      </c>
      <c r="F1503" t="n">
        <v>0.075</v>
      </c>
      <c r="G1503" t="n">
        <v>0.2254</v>
      </c>
      <c r="H1503" t="inlineStr">
        <is>
          <t>This repository contains backend software components that implement core algorithms using Presto testing framework. The complexity is O(N), indicating linear time complexity for certain operations within the implementation.</t>
        </is>
      </c>
      <c r="I1503" t="n">
        <v>0.008800000000000001</v>
      </c>
      <c r="J1503" t="n">
        <v>0.2162</v>
      </c>
      <c r="K1503" t="n">
        <v>0.372</v>
      </c>
      <c r="L1503" t="inlineStr">
        <is>
          <t>This test suite extends `TestSpilledOrderByQueries` to run tests specifically targeting spilled order-by queries using temporary storage. The overridden `createQueryRunner` method uses `localCreateQueryRunner()` from `TestDistributedSpilledQueriesWithTempStorage`, which sets up a query runner configured for local testing with temporary storage capabilities.</t>
        </is>
      </c>
      <c r="M1503" t="n">
        <v>0.0049</v>
      </c>
      <c r="N1503" t="n">
        <v>0.0426</v>
      </c>
      <c r="O1503" t="n">
        <v>0.09089999999999999</v>
      </c>
    </row>
    <row r="1504">
      <c r="A1504" t="inlineStr">
        <is>
          <t>presto</t>
        </is>
      </c>
      <c r="B1504" t="inlineStr">
        <is>
          <t>presto-tests/src/test/java/com/facebook/presto/tests/TestProcedureCreation.java</t>
        </is>
      </c>
      <c r="C1504">
        <f>HYPERLINK("https://github.com/prestodb/presto/blob/master/presto-tests/src/test/java/com/facebook/presto/tests/TestProcedureCreation.java")</f>
        <v/>
      </c>
      <c r="D1504" t="inlineStr">
        <is>
          <t>The provided code defines a distributed procedure called `TableDataRewriteDistributedProcedure` within the Presto database system. This procedure allows for rewriting data in tables across multiple nodes in a distributed environment. It takes several arguments including session information, table name, new data, and other parameters related to the rewrite operation. The implementation includes error handling using `PrestoException` and uses annotations from the</t>
        </is>
      </c>
      <c r="E1504" t="n">
        <v>0.0036</v>
      </c>
      <c r="F1504" t="n">
        <v>0.0882</v>
      </c>
      <c r="G1504" t="n">
        <v>0.1515</v>
      </c>
      <c r="H1504" t="inlineStr">
        <is>
          <t>Implements core algorithms for Presto testing. Complexity depends on algorithm implementation.</t>
        </is>
      </c>
      <c r="I1504" t="n">
        <v>0.0189</v>
      </c>
      <c r="J1504" t="n">
        <v>0.2105</v>
      </c>
      <c r="K1504" t="n">
        <v>0.2259</v>
      </c>
      <c r="L1504" t="inlineStr">
        <is>
          <t>The code defines a `TableDataRewriteDistributedProcedure` class that implements a distributed procedure for rewriting table data in Presto, which is used as part of the Presto testing framework. The procedure takes a session and several arguments related to the rewrite operation, such as the catalog name, schema name, table name, and new data format. It uses these parameters to perform the necessary data transformation</t>
        </is>
      </c>
      <c r="M1504" t="n">
        <v>0.0034</v>
      </c>
      <c r="N1504" t="n">
        <v>0.0563</v>
      </c>
      <c r="O1504" t="n">
        <v>0.1111</v>
      </c>
    </row>
    <row r="1505">
      <c r="A1505" t="inlineStr">
        <is>
          <t>presto</t>
        </is>
      </c>
      <c r="B1505" t="inlineStr">
        <is>
          <t>presto-tests/src/test/java/com/facebook/presto/tests/TestTpchTaskUpdateSizeLimitIntegrationTest.java</t>
        </is>
      </c>
      <c r="C1505">
        <f>HYPERLINK("https://github.com/prestodb/presto/blob/master/presto-tests/src/test/java/com/facebook/presto/tests/TestTpchTaskUpdateSizeLimitIntegrationTest.java")</f>
        <v/>
      </c>
      <c r="D1505" t="inlineStr">
        <is>
          <t>The provided Java code defines a test suite for evaluating Presto's task update size limit feature using the TPCH dataset. The `TestTpchTaskUpdateSizeLimitIntegrationTest` class inherits from `AbstractTestQueryFramework`, which likely provides common setup and teardown methods for testing Presto queries. The method `createQueryRunner()` returns an instance of `TpchQueryRunner`, which sets up a Prest</t>
        </is>
      </c>
      <c r="E1505" t="n">
        <v>0.0036</v>
      </c>
      <c r="F1505" t="n">
        <v>0.0333</v>
      </c>
      <c r="G1505" t="n">
        <v>0.0813</v>
      </c>
      <c r="H1505" t="inlineStr">
        <is>
          <t>The repository contains backend software components that implement core algorithms. The complexity is O(N), indicating linear time complexity relative to input size N. The implementation includes comments explaining the purpose and functionality of each part of the code. The code base was initialized with a single commit.</t>
        </is>
      </c>
      <c r="I1505" t="n">
        <v>0.0055</v>
      </c>
      <c r="J1505" t="n">
        <v>0.1429</v>
      </c>
      <c r="K1505" t="n">
        <v>0.2101</v>
      </c>
      <c r="L1505" t="inlineStr">
        <is>
          <t>This test suite integrates TPCH queries into Presto's testing framework to verify that task update size limits are correctly enforced during query execution. The `TestTpchTaskUpdateSizeLimitIntegrationTest` class extends `AbstractTestQueryFramework`, which provides setup methods for running TPCH queries against a Presto instance. It uses the `TpchQueryRunner` to initialize the database schema and execute queries,</t>
        </is>
      </c>
      <c r="M1505" t="n">
        <v>0.0042</v>
      </c>
      <c r="N1505" t="n">
        <v>0.06560000000000001</v>
      </c>
      <c r="O1505" t="n">
        <v>0.121</v>
      </c>
    </row>
    <row r="1506">
      <c r="A1506" t="inlineStr">
        <is>
          <t>presto</t>
        </is>
      </c>
      <c r="B1506" t="inlineStr">
        <is>
          <t>presto-tests/src/test/java/com/facebook/presto/tests/TestEnums.java</t>
        </is>
      </c>
      <c r="C1506">
        <f>HYPERLINK("https://github.com/prestodb/presto/blob/master/presto-tests/src/test/java/com/facebook/presto/tests/TestEnums.java")</f>
        <v/>
      </c>
      <c r="D1506" t="inlineStr">
        <is>
          <t>The provided code is part of a Presto testing framework within Facebook's data processing system. It includes classes related to sessions, qualified object names, type signatures, user-defined types, and maps for handling enums. The complexity is O(N), indicating that operations scale linearly with input size. The comments suggest it implements core algorithms necessary for Presto's testing environment.</t>
        </is>
      </c>
      <c r="E1506" t="n">
        <v>0.0075</v>
      </c>
      <c r="F1506" t="n">
        <v>0.058</v>
      </c>
      <c r="G1506" t="n">
        <v>0.2447</v>
      </c>
      <c r="H1506" t="inlineStr">
        <is>
          <t>Contains backend software components implementing core algorithms. Complexity is O(N).</t>
        </is>
      </c>
      <c r="I1506" t="n">
        <v>0.0251</v>
      </c>
      <c r="J1506" t="n">
        <v>0.3158</v>
      </c>
      <c r="K1506" t="n">
        <v>0.3117</v>
      </c>
      <c r="L1506" t="inlineStr">
        <is>
          <t>This Java class provides test utilities for Presto SQL queries, including methods to create sessions, execute queries, and handle various data types such as BigintEnums and VarcharEnums. The code includes comments explaining the implementation of core algorithms and is part of a larger repository focused on backend software components.</t>
        </is>
      </c>
      <c r="M1506" t="n">
        <v>0.0053</v>
      </c>
      <c r="N1506" t="n">
        <v>0.1404</v>
      </c>
      <c r="O1506" t="n">
        <v>0.2479</v>
      </c>
    </row>
    <row r="1507">
      <c r="A1507" t="inlineStr">
        <is>
          <t>presto</t>
        </is>
      </c>
      <c r="B1507" t="inlineStr">
        <is>
          <t>presto-tests/src/test/java/com/facebook/presto/tests/BlackHoleQueryRunner.java</t>
        </is>
      </c>
      <c r="C1507">
        <f>HYPERLINK("https://github.com/prestodb/presto/blob/master/presto-tests/src/test/java/com/facebook/presto/tests/BlackHoleQueryRunner.java")</f>
        <v/>
      </c>
      <c r="D1507" t="inlineStr">
        <is>
          <t>The provided code is part of a Presto testing framework that sets up a session with various plugins including Black Hole and TPC-H. It initializes logging using Airflow's Logger and uses Google Guava's ImmutableMap to store configuration settings. The complexity of the implementation is O(1) due to constant-time operations like map lookups.</t>
        </is>
      </c>
      <c r="E1507" t="n">
        <v>0.0035</v>
      </c>
      <c r="F1507" t="n">
        <v>0.0308</v>
      </c>
      <c r="G1507" t="n">
        <v>0.121</v>
      </c>
      <c r="H1507" t="inlineStr">
        <is>
          <t>This repository contains backend software components that implement core algorithms. The complexity of these implementations is O(N), indicating linear time complexity relative to input size.</t>
        </is>
      </c>
      <c r="I1507" t="n">
        <v>0.01</v>
      </c>
      <c r="J1507" t="n">
        <v>0.2353</v>
      </c>
      <c r="K1507" t="n">
        <v>0.2062</v>
      </c>
      <c r="L1507" t="inlineStr">
        <is>
          <t>This Java code initializes Presto test sessions using various plugins such as Black Hole and TPC-H, setting up configurations like session properties and catalog mappings. It uses Airflow logging for output and handles resource cleanup with closeable resources. The code is part of a larger project focused on testing Presto's performance and correctness.</t>
        </is>
      </c>
      <c r="M1507" t="n">
        <v>0.0041</v>
      </c>
      <c r="N1507" t="n">
        <v>0.0635</v>
      </c>
      <c r="O1507" t="n">
        <v>0.12</v>
      </c>
    </row>
    <row r="1508">
      <c r="A1508" t="inlineStr">
        <is>
          <t>presto</t>
        </is>
      </c>
      <c r="B1508" t="inlineStr">
        <is>
          <t>presto-tests/src/test/java/com/facebook/presto/tests/TestMinWorkerRequirement.java</t>
        </is>
      </c>
      <c r="C1508">
        <f>HYPERLINK("https://github.com/prestodb/presto/blob/master/presto-tests/src/test/java/com/facebook/presto/tests/TestMinWorkerRequirement.java")</f>
        <v/>
      </c>
      <c r="D1508" t="inlineStr">
        <is>
          <t>The provided Java code defines a test suite for Presto SQL queries using the TPC-H benchmark data set. It uses TestNG annotations to define test cases that execute queries against a TPC-H database created using `TpchQueryRunnerBuilder`. The tests verify the correctness of the queries by comparing their results with expected values. The code includes assertions to ensure the output matches the expected outcomes, and it</t>
        </is>
      </c>
      <c r="E1508" t="n">
        <v>0.0028</v>
      </c>
      <c r="F1508" t="n">
        <v>0.0267</v>
      </c>
      <c r="G1508" t="n">
        <v>0.073</v>
      </c>
      <c r="H1508" t="inlineStr">
        <is>
          <t>The code implements core algorithms and runs backend software components. It uses Google Guava's ImmutableMap for data storage and TestNG annotations for testing. The complexity is O(N), indicating linear time operations based on input size.</t>
        </is>
      </c>
      <c r="I1508" t="n">
        <v>0.0134</v>
      </c>
      <c r="J1508" t="n">
        <v>0.1333</v>
      </c>
      <c r="K1508" t="n">
        <v>0.3477</v>
      </c>
      <c r="L1508" t="inlineStr">
        <is>
          <t>The code defines test cases using TestNG for Presto database queries. It uses TpchQueryRunnerBuilder to set up a TPCH data environment for testing purposes. The `@Test` annotation indicates that each method is a test case. The tests verify the correctness of SQL queries against the generated TPCH dataset. The code runs single-threaded to ensure thread safety when setting up multiple query runners.</t>
        </is>
      </c>
      <c r="M1508" t="n">
        <v>0</v>
      </c>
      <c r="N1508" t="n">
        <v>0</v>
      </c>
      <c r="O1508" t="n">
        <v>0.0373</v>
      </c>
    </row>
    <row r="1509">
      <c r="A1509" t="inlineStr">
        <is>
          <t>presto</t>
        </is>
      </c>
      <c r="B1509" t="inlineStr">
        <is>
          <t>presto-tests/src/test/java/com/facebook/presto/tests/TestLocalQueryRunner.java</t>
        </is>
      </c>
      <c r="C1509">
        <f>HYPERLINK("https://github.com/prestodb/presto/blob/master/presto-tests/src/test/java/com/facebook/presto/tests/TestLocalQueryRunner.java")</f>
        <v/>
      </c>
      <c r="D1509" t="inlineStr">
        <is>
          <t>The provided code defines a test suite for Presto SQL queries using TestNG annotations. It includes tests that verify query execution with different privileges such as SELECT and INSERT operations on tables. The `TestLocalQuery` class likely contains methods annotated with `@Test`, which execute various SQL queries against a Presto testing environment configured with access control settings. This setup helps ensure that users have the appropriate permissions when</t>
        </is>
      </c>
      <c r="E1509" t="n">
        <v>0.0032</v>
      </c>
      <c r="F1509" t="n">
        <v>0.0267</v>
      </c>
      <c r="G1509" t="n">
        <v>0.1079</v>
      </c>
      <c r="H1509" t="inlineStr">
        <is>
          <t>The code implements core algorithms for a backend system, using Java and TestNG for testing. It includes comments explaining its purpose and complexity, as well as commits detailing the initial creation of the codebase. The total size of the code is 1000 lines.</t>
        </is>
      </c>
      <c r="I1509" t="n">
        <v>0.01</v>
      </c>
      <c r="J1509" t="n">
        <v>0.1176</v>
      </c>
      <c r="K1509" t="n">
        <v>0.2745</v>
      </c>
      <c r="L1509" t="inlineStr">
        <is>
          <t>The code provides test cases for Presto's local query execution using TestNG annotations. It includes methods that set up access controls, create tables, insert data, and execute queries to verify correctness. The tests ensure that users have appropriate privileges when accessing and manipulating data within Presto's local environment.</t>
        </is>
      </c>
      <c r="M1509" t="n">
        <v>0.0038</v>
      </c>
      <c r="N1509" t="n">
        <v>0.0345</v>
      </c>
      <c r="O1509" t="n">
        <v>0.0833</v>
      </c>
    </row>
    <row r="1510">
      <c r="A1510" t="inlineStr">
        <is>
          <t>presto</t>
        </is>
      </c>
      <c r="B1510" t="inlineStr">
        <is>
          <t>presto-tests/src/test/java/com/facebook/presto/tests/TestSqlFunctions.java</t>
        </is>
      </c>
      <c r="C1510">
        <f>HYPERLINK("https://github.com/prestodb/presto/blob/master/presto-tests/src/test/java/com/facebook/presto/tests/TestSqlFunctions.java")</f>
        <v/>
      </c>
      <c r="D1510" t="inlineStr">
        <is>
          <t>The provided code defines a class `SqlInvokedFunctionsPlugin` within the package `com.facebook.presto.tests`. This class appears to be part of Presto SQL's testing framework and is responsible for managing SQL functions that can be invoked during tests. The class includes methods related to session management, qualified object names, type signatures, user-defined types, and parameter handling for SQL functions. It also</t>
        </is>
      </c>
      <c r="E1510" t="n">
        <v>0.0037</v>
      </c>
      <c r="F1510" t="n">
        <v>0.08450000000000001</v>
      </c>
      <c r="G1510" t="n">
        <v>0.1154</v>
      </c>
      <c r="H1510" t="inlineStr">
        <is>
          <t>This repository contains backend software components that implement core algorithms. The complexity of these implementations is O(N), indicating linear time complexity. The code size is 1000 lines, which suggests it includes multiple modules and functionalities.</t>
        </is>
      </c>
      <c r="I1510" t="n">
        <v>0.0075</v>
      </c>
      <c r="J1510" t="n">
        <v>0.2273</v>
      </c>
      <c r="K1510" t="n">
        <v>0.2804</v>
      </c>
      <c r="L1510" t="inlineStr">
        <is>
          <t>This Java package contains test classes for Presto SQL functions, including methods to create sessions, qualified object names, type signatures, user-defined types, and plugins. The code is part of a larger system designed to verify the correctness of Presto's SQL function implementations.</t>
        </is>
      </c>
      <c r="M1510" t="n">
        <v>0.0052</v>
      </c>
      <c r="N1510" t="n">
        <v>0.1154</v>
      </c>
      <c r="O1510" t="n">
        <v>0.1316</v>
      </c>
    </row>
    <row r="1511">
      <c r="A1511" t="inlineStr">
        <is>
          <t>presto</t>
        </is>
      </c>
      <c r="B1511" t="inlineStr">
        <is>
          <t>presto-tests/src/test/java/com/facebook/presto/tests/TestDictionaryAggregation.java</t>
        </is>
      </c>
      <c r="C1511">
        <f>HYPERLINK("https://github.com/prestodb/presto/blob/master/presto-tests/src/test/java/com/facebook/presto/tests/TestDictionaryAggregation.java")</f>
        <v/>
      </c>
      <c r="D1511" t="inlineStr">
        <is>
          <t>The provided Java code defines a test suite for Presto SQL queries using TestNG annotations. It includes setup methods to create a `LocalQueryRunner` instance configured with the TPC-H connector factory. The tests utilize various system session properties such as `DICTIONARY_AGGREGATION` and `REORDER_JOINS` to evaluate query performance and behavior under different configurations. The complexity of the implementation</t>
        </is>
      </c>
      <c r="E1511" t="n">
        <v>0.0033</v>
      </c>
      <c r="F1511" t="n">
        <v>0.0299</v>
      </c>
      <c r="G1511" t="n">
        <v>0.1172</v>
      </c>
      <c r="H1511" t="inlineStr">
        <is>
          <t>This repository contains backend software components that implement core algorithms. The complexity of these implementations is O(N), indicating linear time complexity relative to input size N. The README provides information about the license, package structure, and test suite used for verifying the correctness of the implemented algorithms.</t>
        </is>
      </c>
      <c r="I1511" t="n">
        <v>0.0055</v>
      </c>
      <c r="J1511" t="n">
        <v>0.1786</v>
      </c>
      <c r="K1511" t="n">
        <v>0.2521</v>
      </c>
      <c r="L1511" t="inlineStr">
        <is>
          <t>The provided code defines test cases using TestNG annotations within the `com.facebook.presto.tests` package. It uses Presto's testing framework to run queries against a local query runner instance configured with a TPC-H connector factory. The tests focus on verifying the correctness of various SQL queries, including those involving dictionary aggregation and join reordering optimizations.</t>
        </is>
      </c>
      <c r="M1511" t="n">
        <v>0.0035</v>
      </c>
      <c r="N1511" t="n">
        <v>0.0303</v>
      </c>
      <c r="O1511" t="n">
        <v>0.08</v>
      </c>
    </row>
    <row r="1512">
      <c r="A1512" t="inlineStr">
        <is>
          <t>presto</t>
        </is>
      </c>
      <c r="B1512" t="inlineStr">
        <is>
          <t>presto-tests/src/test/java/com/facebook/presto/tests/TestVerboseOptimizerInfo.java</t>
        </is>
      </c>
      <c r="C1512">
        <f>HYPERLINK("https://github.com/prestodb/presto/blob/master/presto-tests/src/test/java/com/facebook/presto/tests/TestVerboseOptimizerInfo.java")</f>
        <v/>
      </c>
      <c r="D1512" t="inlineStr">
        <is>
          <t>The provided code is part of Presto's testing framework, specifically within the `com.facebook.presto.tests` package. It includes classes such as `LocalQueryRunner`, which is used to run queries locally against a Presto cluster. The class provides methods for executing SQL statements, retrieving results, and managing sessions. Additionally, it uses plugins like `SqlInvokedFunctionsPlugin` to extend Prest</t>
        </is>
      </c>
      <c r="E1512" t="n">
        <v>0.0035</v>
      </c>
      <c r="F1512" t="n">
        <v>0.0308</v>
      </c>
      <c r="G1512" t="n">
        <v>0.08</v>
      </c>
      <c r="H1512" t="inlineStr">
        <is>
          <t>This repository contains backend software components implementing core algorithms. The complexity is O(N), indicating linear time performance relative to input size.</t>
        </is>
      </c>
      <c r="I1512" t="n">
        <v>0.012</v>
      </c>
      <c r="J1512" t="n">
        <v>0.2667</v>
      </c>
      <c r="K1512" t="n">
        <v>0.3394</v>
      </c>
      <c r="L1512" t="inlineStr">
        <is>
          <t>The code provides a suite of tests for Presto SQL queries using a local query runner. It includes setup for sessions, session property managers, plugins, connectors, and TPCH data sources. The primary function is to execute various SQL queries against these test environments and verify their correctness through assertions.</t>
        </is>
      </c>
      <c r="M1512" t="n">
        <v>0.0037</v>
      </c>
      <c r="N1512" t="n">
        <v>0.0702</v>
      </c>
      <c r="O1512" t="n">
        <v>0.08260000000000001</v>
      </c>
    </row>
    <row r="1513">
      <c r="A1513" t="inlineStr">
        <is>
          <t>presto</t>
        </is>
      </c>
      <c r="B1513" t="inlineStr">
        <is>
          <t>presto-tests/src/test/java/com/facebook/presto/tests/TestResourceGroupPerQueryLimitEnforcement.java</t>
        </is>
      </c>
      <c r="C1513">
        <f>HYPERLINK("https://github.com/prestodb/presto/blob/master/presto-tests/src/test/java/com/facebook/presto/tests/TestResourceGroupPerQueryLimitEnforcement.java")</f>
        <v/>
      </c>
      <c r="D1513" t="inlineStr">
        <is>
          <t>The code defines a class `TestTpchQueryRunnerBuilder` that builds a test query runner using TPC-H data. It sets up Presto server configurations, including resource group configuration management, and initializes a query manager for executing queries. The class provides methods to create and manage test queries efficiently.</t>
        </is>
      </c>
      <c r="E1513" t="n">
        <v>0.0041</v>
      </c>
      <c r="F1513" t="n">
        <v>0.037</v>
      </c>
      <c r="G1513" t="n">
        <v>0.08550000000000001</v>
      </c>
      <c r="H1513" t="inlineStr">
        <is>
          <t>The repository contains backend software components that implement core algorithms. The complexity of these implementations is O(N), indicating linear time complexity relative to input size.</t>
        </is>
      </c>
      <c r="I1513" t="n">
        <v>0.008999999999999999</v>
      </c>
      <c r="J1513" t="n">
        <v>0.1765</v>
      </c>
      <c r="K1513" t="n">
        <v>0.1546</v>
      </c>
      <c r="L1513" t="inlineStr">
        <is>
          <t>This Java code defines a test suite for Presto, a columnar processing engine used for big data analytics. It includes classes that set up a testing environment using `TestingPrestoServer`, manage queries (`QueryManager`), dispatch tasks (`DispatchManager`), and configure resource groups (`FileResourceGroupConfigurationManagerFactory`). The tests likely involve running TPC-H queries against the server to verify performance</t>
        </is>
      </c>
      <c r="M1513" t="n">
        <v>0.0041</v>
      </c>
      <c r="N1513" t="n">
        <v>0.0645</v>
      </c>
      <c r="O1513" t="n">
        <v>0.12</v>
      </c>
    </row>
    <row r="1514">
      <c r="A1514" t="inlineStr">
        <is>
          <t>presto</t>
        </is>
      </c>
      <c r="B1514" t="inlineStr">
        <is>
          <t>presto-tests/src/test/java/com/facebook/presto/tests/TestSmileSupport.java</t>
        </is>
      </c>
      <c r="C1514">
        <f>HYPERLINK("https://github.com/prestodb/presto/blob/master/presto-tests/src/test/java/com/facebook/presto/tests/TestSmileSupport.java")</f>
        <v/>
      </c>
      <c r="D1514" t="inlineStr">
        <is>
          <t>The provided Java code defines a test case `smokeTestSmileSupport` within the `com.facebook.presto.tests` package. This test uses the `TpchQueryRunnerBuilder` to create a distributed Presto query runner configured with SMILE compression enabled. The purpose of this test is to verify that SMILE compression works correctly when running a sample TPCH query (Q6) using</t>
        </is>
      </c>
      <c r="E1514" t="n">
        <v>0.0036</v>
      </c>
      <c r="F1514" t="n">
        <v>0.0323</v>
      </c>
      <c r="G1514" t="n">
        <v>0.0813</v>
      </c>
      <c r="H1514" t="inlineStr">
        <is>
          <t>This repository contains backend software components that implement core algorithms. The complexity of these implementations is O(N), indicating linear time performance relative to input size N. The codebase has been initialized with the first commit.</t>
        </is>
      </c>
      <c r="I1514" t="n">
        <v>0.007</v>
      </c>
      <c r="J1514" t="n">
        <v>0.1818</v>
      </c>
      <c r="K1514" t="n">
        <v>0.1869</v>
      </c>
      <c r="L1514" t="inlineStr">
        <is>
          <t>The `TestSmileSupport` class contains a single test method that runs a TPCH Q6 query using Presto's Smile serialization format to ensure smile support is working correctly. The test uses a custom `TpchQueryRunnerBuilder` to configure a Presto query runner with smile enabled and then executes the specified query.</t>
        </is>
      </c>
      <c r="M1514" t="n">
        <v>0.0039</v>
      </c>
      <c r="N1514" t="n">
        <v>0.0357</v>
      </c>
      <c r="O1514" t="n">
        <v>0.08400000000000001</v>
      </c>
    </row>
    <row r="1515">
      <c r="A1515" t="inlineStr">
        <is>
          <t>presto</t>
        </is>
      </c>
      <c r="B1515" t="inlineStr">
        <is>
          <t>presto-tests/src/test/java/com/facebook/presto/tests/TestQueryManager.java</t>
        </is>
      </c>
      <c r="C1515">
        <f>HYPERLINK("https://github.com/prestodb/presto/blob/master/presto-tests/src/test/java/com/facebook/presto/tests/TestQueryManager.java")</f>
        <v/>
      </c>
      <c r="D1515" t="inlineStr">
        <is>
          <t>The provided code is part of a Presto testing framework within Facebook's Airflow project. It includes classes such as `MockQueryExecution` which simulate query execution processes, along with session properties like `SystemSessionProperties`. The code also involves handling runtime statistics (`RuntimeStats`) and cost calculations (`StatsAndCosts`). The complexity of the implementation is O(N), indicating that it scales linearly with</t>
        </is>
      </c>
      <c r="E1515" t="n">
        <v>0.0033</v>
      </c>
      <c r="F1515" t="n">
        <v>0.0303</v>
      </c>
      <c r="G1515" t="n">
        <v>0.1172</v>
      </c>
      <c r="H1515" t="inlineStr">
        <is>
          <t>This repository contains backend software components that implement core algorithms. The complexity of the implementation is O(N), indicating linear time complexity. The code size is 1000 lines.</t>
        </is>
      </c>
      <c r="I1515" t="n">
        <v>0.0092</v>
      </c>
      <c r="J1515" t="n">
        <v>0.2222</v>
      </c>
      <c r="K1515" t="n">
        <v>0.202</v>
      </c>
      <c r="L1515" t="inlineStr">
        <is>
          <t>This Java code package contains tests for Presto, a columnar storage engine used for big data processing. The `MockQueryExecution` class simulates query execution scenarios, while other classes like `SystemSessionProperties`, `RuntimeStats`, and `StatsAndCosts` provide utilities for managing session properties, runtime statistics, and cost calculations, respectively. The code is part of a larger system designed to</t>
        </is>
      </c>
      <c r="M1515" t="n">
        <v>0.004</v>
      </c>
      <c r="N1515" t="n">
        <v>0.0645</v>
      </c>
      <c r="O1515" t="n">
        <v>0.119</v>
      </c>
    </row>
    <row r="1516">
      <c r="A1516" t="inlineStr">
        <is>
          <t>presto</t>
        </is>
      </c>
      <c r="B1516" t="inlineStr">
        <is>
          <t>presto-tests/src/test/java/com/facebook/presto/tests/tpch/TpchQueryRunnerBuilder.java</t>
        </is>
      </c>
      <c r="C1516">
        <f>HYPERLINK("https://github.com/prestodb/presto/blob/master/presto-tests/src/test/java/com/facebook/presto/tests/tpch/TpchQueryRunnerBuilder.java")</f>
        <v/>
      </c>
      <c r="D1516" t="inlineStr">
        <is>
          <t>The provided Java code defines a `TpchQueryRunnerBuilder` class that extends `DistributedQueryRunner.Builder`. This builder is used to create instances of `DistributedQueryRunner`, which is essential for running queries against a Presto database using TPCH data sets. The class includes methods for setting up default sessions and adding plugins like `TpchPlugin`.
Key functionalities include:
1. **Default</t>
        </is>
      </c>
      <c r="E1516" t="n">
        <v>0.0041</v>
      </c>
      <c r="F1516" t="n">
        <v>0.0645</v>
      </c>
      <c r="G1516" t="n">
        <v>0.12</v>
      </c>
      <c r="H1516" t="inlineStr">
        <is>
          <t>This repository contains backend software components that implement core algorithms. The complexity of these implementations is O(N), indicating linear time complexity relative to input size N. The comments provide details about the implementation's purpose and structure. The commits indicate the initial creation of the codebase. The total code size is 1000 lines.</t>
        </is>
      </c>
      <c r="I1516" t="n">
        <v>0.005</v>
      </c>
      <c r="J1516" t="n">
        <v>0.1613</v>
      </c>
      <c r="K1516" t="n">
        <v>0.2016</v>
      </c>
      <c r="L1516" t="inlineStr">
        <is>
          <t>The `TpchQueryRunnerBuilder` class is part of Presto's testing framework, designed to create instances of `DistributedQueryRunner` configured specifically for running TPCH queries. It uses the `TpchPlugin` to provide data sources based on the TPCH schema. The builder allows customization through session settings, enabling developers to run tests against different configurations without modifying the underlying query runner setup.</t>
        </is>
      </c>
      <c r="M1516" t="n">
        <v>0</v>
      </c>
      <c r="N1516" t="n">
        <v>0</v>
      </c>
      <c r="O1516" t="n">
        <v>0.0391</v>
      </c>
    </row>
    <row r="1517">
      <c r="A1517" t="inlineStr">
        <is>
          <t>presto</t>
        </is>
      </c>
      <c r="B1517" t="inlineStr">
        <is>
          <t>presto-tests/src/test/java/com/facebook/presto/tests/tpch/TpchQueryRunner.java</t>
        </is>
      </c>
      <c r="C1517">
        <f>HYPERLINK("https://github.com/prestodb/presto/blob/master/presto-tests/src/test/java/com/facebook/presto/tests/tpch/TpchQueryRunner.java")</f>
        <v/>
      </c>
      <c r="D1517" t="inlineStr">
        <is>
          <t>The provided code defines a `TpchQueryRunner` class within the `com.facebook.presto.tests.tpch` package. It appears to be part of a larger system designed to run queries against a TPCH database using Presto. The class includes methods for creating a query runner instance, which can then execute SQL queries against the TPCH data. The code uses Airflow logging for tracking purposes</t>
        </is>
      </c>
      <c r="E1517" t="n">
        <v>0</v>
      </c>
      <c r="F1517" t="n">
        <v>0</v>
      </c>
      <c r="G1517" t="n">
        <v>0.0385</v>
      </c>
      <c r="H1517" t="inlineStr">
        <is>
          <t>The repository contains backend software components implementing core algorithms. The complexity is O(N), indicating linear time performance. Comments describe the implementation of these algorithms. Initial codebase commit was made. The total size of the codebase is 1000 lines.</t>
        </is>
      </c>
      <c r="I1517" t="n">
        <v>0.0058</v>
      </c>
      <c r="J1517" t="n">
        <v>0.1277</v>
      </c>
      <c r="K1517" t="n">
        <v>0.1364</v>
      </c>
      <c r="L1517" t="inlineStr">
        <is>
          <t>The `TpchQueryRunner` class provides a method to create a distributed query runner for running TPCH queries using Presto. It initializes logging and sets up a distributed environment for executing SQL queries against a simulated TPCH database. The method returns a `DistributedQueryRunner` instance that can be used to execute various TPCH queries efficiently.</t>
        </is>
      </c>
      <c r="M1517" t="n">
        <v>0.0035</v>
      </c>
      <c r="N1517" t="n">
        <v>0.0333</v>
      </c>
      <c r="O1517" t="n">
        <v>0.0806</v>
      </c>
    </row>
    <row r="1518">
      <c r="A1518" t="inlineStr">
        <is>
          <t>presto</t>
        </is>
      </c>
      <c r="B1518" t="inlineStr">
        <is>
          <t>presto-tests/src/test/java/com/facebook/presto/execution/TestStageInfo.java</t>
        </is>
      </c>
      <c r="C1518">
        <f>HYPERLINK("https://github.com/prestodb/presto/blob/master/presto-tests/src/test/java/com/facebook/presto/execution/TestStageInfo.java")</f>
        <v/>
      </c>
      <c r="D1518" t="inlineStr">
        <is>
          <t>The code defines a test suite for Presto's execution layer using TestNG annotations. It sets up a testing environment with a `TestingPrestoServer` and uses it to run queries against a `DistributedQueryRunner`. The tests verify query results and ensure that the server behaves as expected during various operations. The complexity of the implementation is O(N), where N represents the number of queries executed</t>
        </is>
      </c>
      <c r="E1518" t="n">
        <v>0.0029</v>
      </c>
      <c r="F1518" t="n">
        <v>0.0278</v>
      </c>
      <c r="G1518" t="n">
        <v>0.1119</v>
      </c>
      <c r="H1518" t="inlineStr">
        <is>
          <t>The code implements core algorithms for Presto's backend system. It includes classes such as `TestingPrestoServer`, `MaterializedResult`, and `DistributedQueryRunner` used for testing purposes. The complexity is high due to its extensive implementation of various algorithms necessary for Presto's performance and correctness.</t>
        </is>
      </c>
      <c r="I1518" t="n">
        <v>0.0108</v>
      </c>
      <c r="J1518" t="n">
        <v>0.12</v>
      </c>
      <c r="K1518" t="n">
        <v>0.2818</v>
      </c>
      <c r="L1518" t="inlineStr">
        <is>
          <t>The provided Java code defines test cases for Presto's query execution using TestNG annotations. It sets up a testing environment with a `TestingPrestoServer` and uses `DistributedQueryRunner` to execute queries against it. The tests involve creating materialized results from various queries and comparing them with expected outcomes. The code includes setup and teardown methods annotated with `@BeforeClass` and `</t>
        </is>
      </c>
      <c r="M1518" t="n">
        <v>0.0031</v>
      </c>
      <c r="N1518" t="n">
        <v>0.0303</v>
      </c>
      <c r="O1518" t="n">
        <v>0.0769</v>
      </c>
    </row>
    <row r="1519">
      <c r="A1519" t="inlineStr">
        <is>
          <t>presto</t>
        </is>
      </c>
      <c r="B1519" t="inlineStr">
        <is>
          <t>presto-tests/src/test/java/com/facebook/presto/execution/TestQueues.java</t>
        </is>
      </c>
      <c r="C1519">
        <f>HYPERLINK("https://github.com/prestodb/presto/blob/master/presto-tests/src/test/java/com/facebook/presto/execution/TestQueues.java")</f>
        <v/>
      </c>
      <c r="D1519" t="inlineStr">
        <is>
          <t>The provided Java code defines a class `DispatchManager` within the package `com.facebook.presto.execution`. This class appears to be responsible for managing dispatches in a Presto database system. It uses various libraries such as Airflow HTTP client, JSON mapper provider, and units like DataSize and Duration. The complexity is O(N), indicating that it might involve processing data structures or collections of size</t>
        </is>
      </c>
      <c r="E1519" t="n">
        <v>0.0036</v>
      </c>
      <c r="F1519" t="n">
        <v>0.0556</v>
      </c>
      <c r="G1519" t="n">
        <v>0.1136</v>
      </c>
      <c r="H1519" t="inlineStr">
        <is>
          <t>This repository contains backend software components that implement core algorithms using Java. The complexity of the implementation is O(N), indicating linear time complexity relative to input size N. The code uses various libraries such as Airflow HTTP client, JSON mapper provider, and Presto session management.</t>
        </is>
      </c>
      <c r="I1519" t="n">
        <v>0.0058</v>
      </c>
      <c r="J1519" t="n">
        <v>0.1852</v>
      </c>
      <c r="K1519" t="n">
        <v>0.2564</v>
      </c>
      <c r="L1519" t="inlineStr">
        <is>
          <t>The code provides a session dispatcher that handles incoming requests from clients using an HTTP client. It uses JSON serialization/deserialization via Jackson, manages dispatching tasks based on session data, and supports configurable timeouts and request sizes. The implementation includes basic error handling and logging mechanisms.</t>
        </is>
      </c>
      <c r="M1519" t="n">
        <v>0.0041</v>
      </c>
      <c r="N1519" t="n">
        <v>0.0741</v>
      </c>
      <c r="O1519" t="n">
        <v>0.1282</v>
      </c>
    </row>
    <row r="1520">
      <c r="A1520" t="inlineStr">
        <is>
          <t>presto</t>
        </is>
      </c>
      <c r="B1520" t="inlineStr">
        <is>
          <t>presto-tests/src/test/java/com/facebook/presto/execution/TestEventListenerPlugin.java</t>
        </is>
      </c>
      <c r="C1520">
        <f>HYPERLINK("https://github.com/prestodb/presto/blob/master/presto-tests/src/test/java/com/facebook/presto/execution/TestEventListenerPlugin.java")</f>
        <v/>
      </c>
      <c r="D1520" t="inlineStr">
        <is>
          <t>The provided code defines a plugin that implements event listeners for Presto queries. It includes factories for creating `QueryCreatedEvent` and `QueryCompletedEvent`, which can be used to track query lifecycle events during execution. The implementation is licensed under the Apache License 2.0.</t>
        </is>
      </c>
      <c r="E1520" t="n">
        <v>0.0054</v>
      </c>
      <c r="F1520" t="n">
        <v>0.08</v>
      </c>
      <c r="G1520" t="n">
        <v>0.1327</v>
      </c>
      <c r="H1520" t="inlineStr">
        <is>
          <t>Implements core algorithms for Presto's execution layer.</t>
        </is>
      </c>
      <c r="I1520" t="n">
        <v>0.0286</v>
      </c>
      <c r="J1520" t="n">
        <v>0.25</v>
      </c>
      <c r="K1520" t="n">
        <v>0.2373</v>
      </c>
      <c r="L1520" t="inlineStr">
        <is>
          <t>The provided code defines a Presto plugin that implements event listeners for query creation and completion events. It uses the `EventListener` interface from the Presto SPI to capture these events and process them using custom implementations. The plugin is designed to be integrated into a larger Presto system for monitoring and logging purposes.</t>
        </is>
      </c>
      <c r="M1520" t="n">
        <v>0.0041</v>
      </c>
      <c r="N1520" t="n">
        <v>0.06560000000000001</v>
      </c>
      <c r="O1520" t="n">
        <v>0.12</v>
      </c>
    </row>
    <row r="1521">
      <c r="A1521" t="inlineStr">
        <is>
          <t>presto</t>
        </is>
      </c>
      <c r="B1521" t="inlineStr">
        <is>
          <t>presto-tests/src/test/java/com/facebook/presto/execution/TestQueryRunnerUtil.java</t>
        </is>
      </c>
      <c r="C1521">
        <f>HYPERLINK("https://github.com/prestodb/presto/blob/master/presto-tests/src/test/java/com/facebook/presto/execution/TestQueryRunnerUtil.java")</f>
        <v/>
      </c>
      <c r="D1521" t="inlineStr">
        <is>
          <t>The provided code defines a class `Execution` within the package `com.facebook.presto.execution`. It includes methods related to query execution using Presto, such as dispatching queries to workers, managing session information, and retrieving basic query details. The code uses various classes from the Presto framework, including `Session`, `DispatchManager`, `BasicQueryInfo`, `QueryId`, `Distributed</t>
        </is>
      </c>
      <c r="E1521" t="n">
        <v>0.0037</v>
      </c>
      <c r="F1521" t="n">
        <v>0.0333</v>
      </c>
      <c r="G1521" t="n">
        <v>0.08260000000000001</v>
      </c>
      <c r="H1521" t="inlineStr">
        <is>
          <t>Manages Presto query execution and distribution across multiple nodes.</t>
        </is>
      </c>
      <c r="I1521" t="n">
        <v>0.024</v>
      </c>
      <c r="J1521" t="n">
        <v>0.1176</v>
      </c>
      <c r="K1521" t="n">
        <v>0.0617</v>
      </c>
      <c r="L1521" t="inlineStr">
        <is>
          <t>The code provides a basic implementation of Presto's query execution system using a mock `DistributedQueryRunner` and `DispatchManager`. It sets up a session, creates a query ID, and executes a simple TPCH query, printing out the results. The code uses Google Guava collections for immutability and includes comments explaining the purpose of each section.</t>
        </is>
      </c>
      <c r="M1521" t="n">
        <v>0.0035</v>
      </c>
      <c r="N1521" t="n">
        <v>0.0645</v>
      </c>
      <c r="O1521" t="n">
        <v>0.12</v>
      </c>
    </row>
    <row r="1522">
      <c r="A1522" t="inlineStr">
        <is>
          <t>presto</t>
        </is>
      </c>
      <c r="B1522" t="inlineStr">
        <is>
          <t>presto-tests/src/test/java/com/facebook/presto/execution/TriggerFailurePlanChecker.java</t>
        </is>
      </c>
      <c r="C1522">
        <f>HYPERLINK("https://github.com/prestodb/presto/blob/master/presto-tests/src/test/java/com/facebook/presto/execution/TriggerFailurePlanChecker.java")</f>
        <v/>
      </c>
      <c r="D1522" t="inlineStr">
        <is>
          <t>The provided Java code defines a class `PlanChecker` within the package `com.facebook.presto.execution`. This class implements the `PlanChecker` interface from the Presto SQL engine's SPI (Service Provider Interface). The main purpose of this class is to check if a given plan node satisfies certain conditions defined by the implementation.
Key functionalities include:
1. **Constructor**: Initializes an instance of `</t>
        </is>
      </c>
      <c r="E1522" t="n">
        <v>0.0037</v>
      </c>
      <c r="F1522" t="n">
        <v>0.08699999999999999</v>
      </c>
      <c r="G1522" t="n">
        <v>0.1154</v>
      </c>
      <c r="H1522" t="inlineStr">
        <is>
          <t>The code implements core algorithms for Presto's execution engine, handling plan checking and warning collection. It includes comments explaining its purpose and complexity, as well as details about the license and repository structure. The code size indicates it has over 1000 lines.</t>
        </is>
      </c>
      <c r="I1522" t="n">
        <v>0.0103</v>
      </c>
      <c r="J1522" t="n">
        <v>0.1176</v>
      </c>
      <c r="K1522" t="n">
        <v>0.2242</v>
      </c>
      <c r="L1522" t="inlineStr">
        <is>
          <t>The provided Java code defines a class `PlanChecker` within the Presto database system's execution package. It checks if a given plan node satisfies certain conditions defined by the `ConnectorSession`. The method `checkPlan` takes three parameters: a `ConnectorSession`, a `PlanNode`, and a `WarningCollector`. If the plan fails any check, it throws a `PrestoException`</t>
        </is>
      </c>
      <c r="M1522" t="n">
        <v>0.0035</v>
      </c>
      <c r="N1522" t="n">
        <v>0.0328</v>
      </c>
      <c r="O1522" t="n">
        <v>0.0403</v>
      </c>
    </row>
    <row r="1523">
      <c r="A1523" t="inlineStr">
        <is>
          <t>presto</t>
        </is>
      </c>
      <c r="B1523" t="inlineStr">
        <is>
          <t>presto-tests/src/test/java/com/facebook/presto/execution/TestBeginQuery.java</t>
        </is>
      </c>
      <c r="C1523">
        <f>HYPERLINK("https://github.com/prestodb/presto/blob/master/presto-tests/src/test/java/com/facebook/presto/execution/TestBeginQuery.java")</f>
        <v/>
      </c>
      <c r="D1523" t="inlineStr">
        <is>
          <t>The provided Java code defines a class `Execution` within the package `com.facebook.presto.execution`. This class appears to be part of a Presto SQL query execution framework. It includes methods related to session management, runtime statistics tracking, and handling connector splits and page sources. The code is licensed under the Apache License, Version 2.0.</t>
        </is>
      </c>
      <c r="E1523" t="n">
        <v>0.0042</v>
      </c>
      <c r="F1523" t="n">
        <v>0.0625</v>
      </c>
      <c r="G1523" t="n">
        <v>0.121</v>
      </c>
      <c r="H1523" t="inlineStr">
        <is>
          <t>This repository contains backend software components that implement core algorithms. The complexity of these implementations is O(N), indicating they scale linearly with input size.</t>
        </is>
      </c>
      <c r="I1523" t="n">
        <v>0.0104</v>
      </c>
      <c r="J1523" t="n">
        <v>0.2424</v>
      </c>
      <c r="K1523" t="n">
        <v>0.2083</v>
      </c>
      <c r="L1523" t="inlineStr">
        <is>
          <t>The code provides a framework for executing queries using Presto's execution engine. It includes classes such as `ExecutionTask`, which manages tasks responsible for processing data from connectors, and `ConnectorManager`, which handles communication between Presto and external data sources. The code supports various operations like splitting data into manageable chunks (`ConnectorSplit`), resolving table layouts (`ConnectorTableLayoutHandle`), and managing session state</t>
        </is>
      </c>
      <c r="M1523" t="n">
        <v>0.0031</v>
      </c>
      <c r="N1523" t="n">
        <v>0.0299</v>
      </c>
      <c r="O1523" t="n">
        <v>0.0769</v>
      </c>
    </row>
    <row r="1524">
      <c r="A1524" t="inlineStr">
        <is>
          <t>presto</t>
        </is>
      </c>
      <c r="B1524" t="inlineStr">
        <is>
          <t>presto-tests/src/test/java/com/facebook/presto/execution/TestingSessionContext.java</t>
        </is>
      </c>
      <c r="C1524">
        <f>HYPERLINK("https://github.com/prestodb/presto/blob/master/presto-tests/src/test/java/com/facebook/presto/execution/TestingSessionContext.java")</f>
        <v/>
      </c>
      <c r="D1524" t="inlineStr">
        <is>
          <t>The provided code is part of Presto, a columnar processing engine designed for big data analytics. It includes classes related to execution tasks such as `TaskExecution`, which manages the execution of queries within a session context. The code handles various aspects including managing runtime statistics, transaction IDs, and SQL function invocations. The complexity is O(N), indicating that it processes operations proportional to the size of input</t>
        </is>
      </c>
      <c r="E1524" t="n">
        <v>0.0028</v>
      </c>
      <c r="F1524" t="n">
        <v>0.0267</v>
      </c>
      <c r="G1524" t="n">
        <v>0.0725</v>
      </c>
      <c r="H1524" t="inlineStr">
        <is>
          <t>This repository contains backend software components that implement core algorithms. The complexity of the implementation is O(N), indicating it scales linearly with input size. The comments provide details about the implementation's purpose and structure.</t>
        </is>
      </c>
      <c r="I1524" t="n">
        <v>0.0077</v>
      </c>
      <c r="J1524" t="n">
        <v>0.2273</v>
      </c>
      <c r="K1524" t="n">
        <v>0.2358</v>
      </c>
      <c r="L1524" t="inlineStr">
        <is>
          <t>The code provides a framework for executing SQL queries within Presto, handling session management, transaction tracking, and function invocation. It includes methods for starting sessions, managing transactions, and invoking functions based on their identifiers. The implementation complexity is O(N), where N represents the number of operations performed during query execution.</t>
        </is>
      </c>
      <c r="M1524" t="n">
        <v>0.0037</v>
      </c>
      <c r="N1524" t="n">
        <v>0.0678</v>
      </c>
      <c r="O1524" t="n">
        <v>0.123</v>
      </c>
    </row>
    <row r="1525">
      <c r="A1525" t="inlineStr">
        <is>
          <t>presto</t>
        </is>
      </c>
      <c r="B1525" t="inlineStr">
        <is>
          <t>presto-tests/src/test/java/com/facebook/presto/execution/TestEventListener.java</t>
        </is>
      </c>
      <c r="C1525">
        <f>HYPERLINK("https://github.com/prestodb/presto/blob/master/presto-tests/src/test/java/com/facebook/presto/execution/TestEventListener.java")</f>
        <v/>
      </c>
      <c r="D1525" t="inlineStr">
        <is>
          <t>The provided code defines a Presto execution plugin that includes event listeners for query creation and completion events. It uses the `TestEventListenerPlugin` for testing purposes and integrates with the `ResourceGroupManagerPlugin`. The complexity of the implementation is O(N), where N represents the number of queries processed. The comments indicate that it implements core algorithms related to query management within Presto.</t>
        </is>
      </c>
      <c r="E1525" t="n">
        <v>0.0072</v>
      </c>
      <c r="F1525" t="n">
        <v>0.0588</v>
      </c>
      <c r="G1525" t="n">
        <v>0.2409</v>
      </c>
      <c r="H1525" t="inlineStr">
        <is>
          <t>The repository contains backend software components implementing core algorithms. Complexity is O(N), indicating linear time complexity. The implementation includes event listeners and resource group management plugins.</t>
        </is>
      </c>
      <c r="I1525" t="n">
        <v>0.009599999999999999</v>
      </c>
      <c r="J1525" t="n">
        <v>0.2286</v>
      </c>
      <c r="K1525" t="n">
        <v>0.2041</v>
      </c>
      <c r="L1525" t="inlineStr">
        <is>
          <t>The code implements a Presto query execution framework that includes plugins for resource group management and event listeners. It processes events such as `QueryCreatedEvent` and `QueryCompletedEvent`, which allow monitoring and logging of queries within the Presto system. The implementation uses Java annotations and interfaces from the Presto API to define plugin behaviors and handle query lifecycle events.</t>
        </is>
      </c>
      <c r="M1525" t="n">
        <v>0.0038</v>
      </c>
      <c r="N1525" t="n">
        <v>0.0615</v>
      </c>
      <c r="O1525" t="n">
        <v>0.1163</v>
      </c>
    </row>
    <row r="1526">
      <c r="A1526" t="inlineStr">
        <is>
          <t>presto</t>
        </is>
      </c>
      <c r="B1526" t="inlineStr">
        <is>
          <t>presto-tests/src/test/java/com/facebook/presto/execution/TestMemoryRevokingScheduler.java</t>
        </is>
      </c>
      <c r="C1526">
        <f>HYPERLINK("https://github.com/prestodb/presto/blob/master/presto-tests/src/test/java/com/facebook/presto/execution/TestMemoryRevokingScheduler.java")</f>
        <v/>
      </c>
      <c r="D1526" t="inlineStr">
        <is>
          <t>The code appears to be part of Presto's execution layer, specifically focusing on managing tasks and buffers within a SQL query execution environment. It includes classes such as `TestSqlTaskManager`, which likely handles task management and scheduling, along with `OutputBuffers` for buffering data during query processing. The code uses Airflow statistics (`CounterStat`) and Google Guava's `DataSize`. The complexity</t>
        </is>
      </c>
      <c r="E1526" t="n">
        <v>0.0032</v>
      </c>
      <c r="F1526" t="n">
        <v>0.0299</v>
      </c>
      <c r="G1526" t="n">
        <v>0.0775</v>
      </c>
      <c r="H1526" t="inlineStr">
        <is>
          <t>This repository contains backend software components that implement core algorithms. The complexity is O(N), indicating linear time performance relative to input size. The implementation includes features such as block encoding management, mock exchange client suppliers, output buffers, and spooling mechanisms.</t>
        </is>
      </c>
      <c r="I1526" t="n">
        <v>0.0065</v>
      </c>
      <c r="J1526" t="n">
        <v>0.2041</v>
      </c>
      <c r="K1526" t="n">
        <v>0.2232</v>
      </c>
      <c r="L1526" t="inlineStr">
        <is>
          <t>The code implements a Presto SQL task manager that handles execution of queries across multiple nodes. It uses various classes such as `CounterStat`, `TestingGcMonitor`, `DataSize`, `BlockEncodingManager`, `MockExchangeClientSupplier`, `OutputBuffers`, and `Spool` to manage query processing, resource allocation, and data exchange. The implementation includes initial setup and basic functionalities for executing</t>
        </is>
      </c>
      <c r="M1526" t="n">
        <v>0.0045</v>
      </c>
      <c r="N1526" t="n">
        <v>0.0702</v>
      </c>
      <c r="O1526" t="n">
        <v>0.124</v>
      </c>
    </row>
    <row r="1527">
      <c r="A1527" t="inlineStr">
        <is>
          <t>presto</t>
        </is>
      </c>
      <c r="B1527" t="inlineStr">
        <is>
          <t>presto-tests/src/test/java/com/facebook/presto/execution/TestWarnings.java</t>
        </is>
      </c>
      <c r="C1527">
        <f>HYPERLINK("https://github.com/prestodb/presto/blob/master/presto-tests/src/test/java/com/facebook/presto/execution/TestWarnings.java")</f>
        <v/>
      </c>
      <c r="D1527" t="inlineStr">
        <is>
          <t>The provided Java code defines a class `Execution` within the package `com.facebook.presto.execution`. This class appears to be part of Presto, a columnar processing engine used for big data analytics. The code includes comments explaining its license, purpose, dependencies, and complexity. It also mentions that it implements core algorithms and provides test setup methods using TestNG annotations. The README indicates that this</t>
        </is>
      </c>
      <c r="E1527" t="n">
        <v>0.0075</v>
      </c>
      <c r="F1527" t="n">
        <v>0.1111</v>
      </c>
      <c r="G1527" t="n">
        <v>0.2797</v>
      </c>
      <c r="H1527" t="inlineStr">
        <is>
          <t>The repository contains backend software components implementing core algorithms. The complexity is O(N), indicating linear time complexity. It includes comments describing the implementation and commits tracking the initial codebase creation. The code size is 1000 lines.</t>
        </is>
      </c>
      <c r="I1527" t="n">
        <v>0.0068</v>
      </c>
      <c r="J1527" t="n">
        <v>0.1778</v>
      </c>
      <c r="K1527" t="n">
        <v>0.1852</v>
      </c>
      <c r="L1527" t="inlineStr">
        <is>
          <t>This Java class provides setup and teardown methods for testing Presto query execution using TestNG annotations. It initializes a `QueryRunner` instance based on the given session configuration and sets up test data before each test case. After all tests have run, it cleans up any resources used during the tests. The class uses Google Guava's Immutable collections for storing warnings and other data structures.</t>
        </is>
      </c>
      <c r="M1527" t="n">
        <v>0.0034</v>
      </c>
      <c r="N1527" t="n">
        <v>0.0548</v>
      </c>
      <c r="O1527" t="n">
        <v>0.1103</v>
      </c>
    </row>
    <row r="1528">
      <c r="A1528" t="inlineStr">
        <is>
          <t>presto</t>
        </is>
      </c>
      <c r="B1528" t="inlineStr">
        <is>
          <t>presto-tests/src/test/java/com/facebook/presto/execution/TestFinalQueryInfo.java</t>
        </is>
      </c>
      <c r="C1528">
        <f>HYPERLINK("https://github.com/prestodb/presto/blob/master/presto-tests/src/test/java/com/facebook/presto/execution/TestFinalQueryInfo.java")</f>
        <v/>
      </c>
      <c r="D1528" t="inlineStr">
        <is>
          <t>The code appears to be part of a Presto database system implementation, specifically focusing on query execution and client communication. It includes classes such as `Execution`, which likely handles the logic for executing queries, and `StatementClient`, which manages interactions between clients and the server. The code uses various libraries like Airflow, Google Guava, and TPC-H plugin, indicating its integration into larger systems.</t>
        </is>
      </c>
      <c r="E1528" t="n">
        <v>0.0029</v>
      </c>
      <c r="F1528" t="n">
        <v>0.08450000000000001</v>
      </c>
      <c r="G1528" t="n">
        <v>0.0746</v>
      </c>
      <c r="H1528" t="inlineStr">
        <is>
          <t>The repository contains backend software components implementing core algorithms. Complexity is O(N), indicating linear time complexity. The README describes it as containing backend software components.</t>
        </is>
      </c>
      <c r="I1528" t="n">
        <v>0.008999999999999999</v>
      </c>
      <c r="J1528" t="n">
        <v>0.1765</v>
      </c>
      <c r="K1528" t="n">
        <v>0.2635</v>
      </c>
      <c r="L1528" t="inlineStr">
        <is>
          <t>The code provides a framework for executing SQL queries using Presto, including setting up a test environment with TPC-H data and running client sessions to execute statements. It includes classes such as `DistributedQueryRunner`, `StatementClient`, and `ClientSession` to manage query execution and results. The implementation complexity is O(N), where N represents the number of queries executed.</t>
        </is>
      </c>
      <c r="M1528" t="n">
        <v>0.0033</v>
      </c>
      <c r="N1528" t="n">
        <v>0.0308</v>
      </c>
      <c r="O1528" t="n">
        <v>0.1181</v>
      </c>
    </row>
    <row r="1529">
      <c r="A1529" t="inlineStr">
        <is>
          <t>presto</t>
        </is>
      </c>
      <c r="B1529" t="inlineStr">
        <is>
          <t>presto-tests/src/test/java/com/facebook/presto/execution/TestCompletedEventWarnings.java</t>
        </is>
      </c>
      <c r="C1529">
        <f>HYPERLINK("https://github.com/prestodb/presto/blob/master/presto-tests/src/test/java/com/facebook/presto/execution/TestCompletedEventWarnings.java")</f>
        <v/>
      </c>
      <c r="D1529" t="inlineStr">
        <is>
          <t>The provided Java code defines a test event listener plugin for Presto, which logs warnings during query execution. It includes classes such as `SessionBuilder`, `EventsBuilder`, `TestingEventListenerPlugin`, `WarningCollectorConfig`, `PrestoWarning`, and `WarningCode`. The complexity is O(N) due to potential operations involving lists or collections. The comments indicate that it implements core algorithms related to</t>
        </is>
      </c>
      <c r="E1529" t="n">
        <v>0.008200000000000001</v>
      </c>
      <c r="F1529" t="n">
        <v>0.06560000000000001</v>
      </c>
      <c r="G1529" t="n">
        <v>0.2061</v>
      </c>
      <c r="H1529" t="inlineStr">
        <is>
          <t>This repository contains backend software components implementing core algorithms. The complexity is O(N), indicating linear time complexity, which means it scales proportionally with the size of the input data.</t>
        </is>
      </c>
      <c r="I1529" t="n">
        <v>0.008500000000000001</v>
      </c>
      <c r="J1529" t="n">
        <v>0.2105</v>
      </c>
      <c r="K1529" t="n">
        <v>0.3125</v>
      </c>
      <c r="L1529" t="inlineStr">
        <is>
          <t>This Java code defines a Presto execution plugin that tests event listeners using a testing framework. It sets up a session builder, creates test events, configures warning collector settings, and runs tests to verify listener behavior. The code includes comments explaining its purpose and usage within the broader context of Presto's execution system.</t>
        </is>
      </c>
      <c r="M1529" t="n">
        <v>0.0041</v>
      </c>
      <c r="N1529" t="n">
        <v>0.0645</v>
      </c>
      <c r="O1529" t="n">
        <v>0.12</v>
      </c>
    </row>
    <row r="1530">
      <c r="A1530" t="inlineStr">
        <is>
          <t>presto</t>
        </is>
      </c>
      <c r="B1530" t="inlineStr">
        <is>
          <t>presto-tests/src/test/java/com/facebook/presto/execution/TestHistoryBasedStatsTracking.java</t>
        </is>
      </c>
      <c r="C1530">
        <f>HYPERLINK("https://github.com/prestodb/presto/blob/master/presto-tests/src/test/java/com/facebook/presto/execution/TestHistoryBasedStatsTracking.java")</f>
        <v/>
      </c>
      <c r="D1530" t="inlineStr">
        <is>
          <t>The provided code is part of Presto's execution layer, which handles query planning and execution. It includes classes such as `ExecutionPlanner`, `QueryPlanBuilder`, and `TaskManager`. The code processes queries by constructing plans that include nodes like AggregationNode, DistinctLimitNode, FilterNode, JoinNode, etc., based on the input session, metadata, and statistics provider. The</t>
        </is>
      </c>
      <c r="E1530" t="n">
        <v>0.0037</v>
      </c>
      <c r="F1530" t="n">
        <v>0.0339</v>
      </c>
      <c r="G1530" t="n">
        <v>0.082</v>
      </c>
      <c r="H1530" t="inlineStr">
        <is>
          <t>This repository contains backend software components that implement core algorithms. The complexity is O(N), indicating linear time performance relative to input size.</t>
        </is>
      </c>
      <c r="I1530" t="n">
        <v>0.0114</v>
      </c>
      <c r="J1530" t="n">
        <v>0.2581</v>
      </c>
      <c r="K1530" t="n">
        <v>0.3358</v>
      </c>
      <c r="L1530" t="inlineStr">
        <is>
          <t>This Java class provides execution plans for Presto SQL queries, including handling aggregation, distinct limit, filter, join nodes, and other query elements. It leverages metadata and statistics providers to optimize query performance. The implementation complexity is O(N), where N represents the number of rows processed.</t>
        </is>
      </c>
      <c r="M1530" t="n">
        <v>0.0049</v>
      </c>
      <c r="N1530" t="n">
        <v>0.0741</v>
      </c>
      <c r="O1530" t="n">
        <v>0.1282</v>
      </c>
    </row>
    <row r="1531">
      <c r="A1531" t="inlineStr">
        <is>
          <t>presto</t>
        </is>
      </c>
      <c r="B1531" t="inlineStr">
        <is>
          <t>presto-tests/src/test/java/com/facebook/presto/execution/TestingPlanCheckerProviderPlugin.java</t>
        </is>
      </c>
      <c r="C1531">
        <f>HYPERLINK("https://github.com/prestodb/presto/blob/master/presto-tests/src/test/java/com/facebook/presto/execution/TestingPlanCheckerProviderPlugin.java")</f>
        <v/>
      </c>
      <c r="D1531" t="inlineStr">
        <is>
          <t>The provided code defines a Presto coordinator plugin that includes plan checker providers. It provides a set of plan checkers that can be used to validate plans generated by Presto's query execution engine. The implementation uses Google Guava's `ImmutableList` to store the list of plan checker providers. The complexity of the code is O(1) as it involves basic operations like adding elements to a list</t>
        </is>
      </c>
      <c r="E1531" t="n">
        <v>0</v>
      </c>
      <c r="F1531" t="n">
        <v>0.0263</v>
      </c>
      <c r="G1531" t="n">
        <v>0.073</v>
      </c>
      <c r="H1531" t="inlineStr">
        <is>
          <t>The repository contains backend software components that implement core algorithms. The complexity is O(N), indicating linear time complexity, and it includes comments describing the implementation details. The commits indicate the initial creation of the codebase. The total size of the code is 1000 lines.</t>
        </is>
      </c>
      <c r="I1531" t="n">
        <v>0.0055</v>
      </c>
      <c r="J1531" t="n">
        <v>0.1509</v>
      </c>
      <c r="K1531" t="n">
        <v>0.1724</v>
      </c>
      <c r="L1531" t="inlineStr">
        <is>
          <t>The provided code defines a `PlanCheckerProvider` factory that creates instances of `PlanChecker`. It implements the `CoordinatorPlugin` interface, which allows it to be used as a plugin within Presto's execution framework. The class provides a method to create a list of plan checker providers based on configuration settings.</t>
        </is>
      </c>
      <c r="M1531" t="n">
        <v>0.0039</v>
      </c>
      <c r="N1531" t="n">
        <v>0.0357</v>
      </c>
      <c r="O1531" t="n">
        <v>0.08400000000000001</v>
      </c>
    </row>
    <row r="1532">
      <c r="A1532" t="inlineStr">
        <is>
          <t>presto</t>
        </is>
      </c>
      <c r="B1532" t="inlineStr">
        <is>
          <t>presto-tests/src/test/java/com/facebook/presto/execution/resourceGroups/TestResourceGroupIntegration.java</t>
        </is>
      </c>
      <c r="C1532">
        <f>HYPERLINK("https://github.com/prestodb/presto/blob/master/presto-tests/src/test/java/com/facebook/presto/execution/resourceGroups/TestResourceGroupIntegration.java")</f>
        <v/>
      </c>
      <c r="D1532" t="inlineStr">
        <is>
          <t>The code defines a resource group manager plugin for Presto, which manages resources within different groups based on predefined policies. It includes classes such as `ResourceGroupManagerPlugin`, `ResourceGroupInfo`, and `ResourceGroupId`. The implementation uses Google Guava's ImmutableMap for storing resource group configurations. The complexity is O(N), where N represents the number of resource groups managed. The comments indicate that it</t>
        </is>
      </c>
      <c r="E1532" t="n">
        <v>0.0031</v>
      </c>
      <c r="F1532" t="n">
        <v>0.0294</v>
      </c>
      <c r="G1532" t="n">
        <v>0.1154</v>
      </c>
      <c r="H1532" t="inlineStr">
        <is>
          <t>The code implements resource group management for Presto, including plugins, resource groups, and query runners. It includes comments explaining its implementation and complexity analysis. The code size is large, indicating it handles complex operations related to managing resources within a distributed system.</t>
        </is>
      </c>
      <c r="I1532" t="n">
        <v>0.0052</v>
      </c>
      <c r="J1532" t="n">
        <v>0.08</v>
      </c>
      <c r="K1532" t="n">
        <v>0.0877</v>
      </c>
      <c r="L1532" t="inlineStr">
        <is>
          <t>The provided code defines a resource group manager plugin for Presto, which manages resource allocation within Presto clusters based on predefined configurations. The plugin allows setting up different resource groups with varying limits and priorities, enabling efficient resource management across multiple queries. It includes methods to create and manage these resource groups, as well as retrieve detailed information about them. The implementation uses Google Guava's ImmutableMap for storing resource</t>
        </is>
      </c>
      <c r="M1532" t="n">
        <v>0.0026</v>
      </c>
      <c r="N1532" t="n">
        <v>0.0256</v>
      </c>
      <c r="O1532" t="n">
        <v>0.1064</v>
      </c>
    </row>
    <row r="1533">
      <c r="A1533" t="inlineStr">
        <is>
          <t>presto</t>
        </is>
      </c>
      <c r="B1533" t="inlineStr">
        <is>
          <t>presto-tests/src/test/java/com/facebook/presto/execution/resourceGroups/db/TestQueuesDb.java</t>
        </is>
      </c>
      <c r="C1533">
        <f>HYPERLINK("https://github.com/prestodb/presto/blob/master/presto-tests/src/test/java/com/facebook/presto/execution/resourceGroups/db/TestQueuesDb.java")</f>
        <v/>
      </c>
      <c r="D1533" t="inlineStr">
        <is>
          <t>The code defines a class `H2ResourceGroupsDb` that implements the `InternalResourceGroupManager` interface using H2 as the database for storing resource group configurations. It provides methods to manage queries within these groups, such as starting, stopping, and querying query statuses. The implementation uses a DAO (`H2ResourceGroupsDao`) to interact with the database and handle data persistence.</t>
        </is>
      </c>
      <c r="E1533" t="n">
        <v>0.0041</v>
      </c>
      <c r="F1533" t="n">
        <v>0.06560000000000001</v>
      </c>
      <c r="G1533" t="n">
        <v>0.12</v>
      </c>
      <c r="H1533" t="inlineStr">
        <is>
          <t>This repository contains backend software components that implement core algorithms for resource group management using H2 database. The complexity is O(N) due to potential operations involving large datasets.</t>
        </is>
      </c>
      <c r="I1533" t="n">
        <v>0.008800000000000001</v>
      </c>
      <c r="J1533" t="n">
        <v>0.2162</v>
      </c>
      <c r="K1533" t="n">
        <v>0.372</v>
      </c>
      <c r="L1533" t="inlineStr">
        <is>
          <t>The code implements a resource group manager using H2 as the database for storing configuration data. It integrates with Presto's session management, query execution, and dispatching mechanisms to manage resources efficiently within a cluster environment. The implementation includes methods for creating, updating, and retrieving resource groups from the database, ensuring dynamic adjustments based on workload requirements.</t>
        </is>
      </c>
      <c r="M1533" t="n">
        <v>0.0039</v>
      </c>
      <c r="N1533" t="n">
        <v>0.0615</v>
      </c>
      <c r="O1533" t="n">
        <v>0.1172</v>
      </c>
    </row>
    <row r="1534">
      <c r="A1534" t="inlineStr">
        <is>
          <t>presto</t>
        </is>
      </c>
      <c r="B1534" t="inlineStr">
        <is>
          <t>presto-tests/src/test/java/com/facebook/presto/execution/resourceGroups/db/H2ResourceGroupConfigurationManagerFactory.java</t>
        </is>
      </c>
      <c r="C1534">
        <f>HYPERLINK("https://github.com/prestodb/presto/blob/master/presto-tests/src/test/java/com/facebook/presto/execution/resourceGroups/db/H2ResourceGroupConfigurationManagerFactory.java")</f>
        <v/>
      </c>
      <c r="D1534" t="inlineStr">
        <is>
          <t>The provided Java code defines a class `ReloadingResourceGroupConfigurationManager` that manages resource group configurations using a database as its storage mechanism. It uses Airflow's dependency injection framework (`com.facebook.airlift.bootstrap.Bootstrap`) to configure various modules such as JSON parsing (`JsonModule`) and node management (`NodeModule`). The class implements methods to reload resource group configurations from a database and manage them</t>
        </is>
      </c>
      <c r="E1534" t="n">
        <v>0.004</v>
      </c>
      <c r="F1534" t="n">
        <v>0.0882</v>
      </c>
      <c r="G1534" t="n">
        <v>0.1575</v>
      </c>
      <c r="H1534" t="inlineStr">
        <is>
          <t>This repository contains backend software components that implement core algorithms. The complexity is O(N), indicating linear time complexity in relation to input size N. The implementation includes modules such as Bootstrap, JsonModule, NodeModule, VariableMap, ReloadingResourceGroupConfigurationManager, and others related to resource group management in Presto.</t>
        </is>
      </c>
      <c r="I1534" t="n">
        <v>0.0059</v>
      </c>
      <c r="J1534" t="n">
        <v>0.1887</v>
      </c>
      <c r="K1534" t="n">
        <v>0.2586</v>
      </c>
      <c r="L1534" t="inlineStr">
        <is>
          <t>The code provides a configuration manager for resource groups in Presto, which reloads configurations dynamically based on variable maps. It uses Airflow's Bootstrap class for dependency injection and includes modules for JSON parsing and node management. The `ReloadingResourceGroupConfigurationManager` handles reloading of resource group configurations using variable maps, facilitating dynamic adjustments to resource allocation during runtime.</t>
        </is>
      </c>
      <c r="M1534" t="n">
        <v>0.0033</v>
      </c>
      <c r="N1534" t="n">
        <v>0.0625</v>
      </c>
      <c r="O1534" t="n">
        <v>0.1181</v>
      </c>
    </row>
    <row r="1535">
      <c r="A1535" t="inlineStr">
        <is>
          <t>presto</t>
        </is>
      </c>
      <c r="B1535" t="inlineStr">
        <is>
          <t>presto-tests/src/test/java/com/facebook/presto/execution/resourceGroups/db/TestResourceGroupDbIntegration.java</t>
        </is>
      </c>
      <c r="C1535">
        <f>HYPERLINK("https://github.com/prestodb/presto/blob/master/presto-tests/src/test/java/com/facebook/presto/execution/resourceGroups/db/TestResourceGroupDbIntegration.java")</f>
        <v/>
      </c>
      <c r="D1535" t="inlineStr">
        <is>
          <t>The provided code is a test suite for resource group management in Presto using H2 as the database backend. It includes a single test method `testResourceGroupDbIntegration` that sets up a distributed query runner, creates a simple query runner, waits for global resource groups to be initialized, and performs some assertions related to resource group configurations. The complexity of the implementation is O(N), where N represents</t>
        </is>
      </c>
      <c r="E1535" t="n">
        <v>0.0028</v>
      </c>
      <c r="F1535" t="n">
        <v>0.027</v>
      </c>
      <c r="G1535" t="n">
        <v>0.1095</v>
      </c>
      <c r="H1535" t="inlineStr">
        <is>
          <t>This repository contains backend software components that implement core algorithms. The complexity of these implementations is O(N), indicating linear time complexity relative to the input size N. The code base has been initialized with a single commit containing the initial implementation. The total size of the codebase is approximately 1000 lines.</t>
        </is>
      </c>
      <c r="I1535" t="n">
        <v>0.0047</v>
      </c>
      <c r="J1535" t="n">
        <v>0.1333</v>
      </c>
      <c r="K1535" t="n">
        <v>0.1626</v>
      </c>
      <c r="L1535" t="inlineStr">
        <is>
          <t>The `TestResourceGroupDbIntegration` class tests the integration between Presto's resource groups and a database using H2 as the test runner. It waits for global resource group initialization and uses a simple query runner to execute queries within these groups. The test focuses on verifying the correct configuration and operation of resource groups in a distributed environment.</t>
        </is>
      </c>
      <c r="M1535" t="n">
        <v>0.0033</v>
      </c>
      <c r="N1535" t="n">
        <v>0.0312</v>
      </c>
      <c r="O1535" t="n">
        <v>0.07870000000000001</v>
      </c>
    </row>
    <row r="1536">
      <c r="A1536" t="inlineStr">
        <is>
          <t>presto</t>
        </is>
      </c>
      <c r="B1536" t="inlineStr">
        <is>
          <t>presto-tests/src/test/java/com/facebook/presto/execution/resourceGroups/db/TestDistributedQueuesDb.java</t>
        </is>
      </c>
      <c r="C1536">
        <f>HYPERLINK("https://github.com/prestodb/presto/blob/master/presto-tests/src/test/java/com/facebook/presto/execution/resourceGroups/db/TestDistributedQueuesDb.java")</f>
        <v/>
      </c>
      <c r="D1536" t="inlineStr">
        <is>
          <t>The provided code defines a Java class that interacts with a database to manage resource groups in Presto, a columnar processing engine. It includes methods for retrieving runtime information about resource groups, managing queries within these groups, and interacting with a Black Hole plugin. The complexity of the implementation is O(N), where N represents the number of operations performed. The comments indicate that it implements core algorithms related to resource</t>
        </is>
      </c>
      <c r="E1536" t="n">
        <v>0.0061</v>
      </c>
      <c r="F1536" t="n">
        <v>0.0506</v>
      </c>
      <c r="G1536" t="n">
        <v>0.18</v>
      </c>
      <c r="H1536" t="inlineStr">
        <is>
          <t>This repository contains backend software components that implement core algorithms. The complexity is O(N), indicating linear time complexity, which means the execution time increases proportionally with the size of the input data. The comments describe the implementation of these algorithms, while the commits indicate the initial creation of the codebase. The total code size is 1000 lines.</t>
        </is>
      </c>
      <c r="I1536" t="n">
        <v>0.0042</v>
      </c>
      <c r="J1536" t="n">
        <v>0.1212</v>
      </c>
      <c r="K1536" t="n">
        <v>0.155</v>
      </c>
      <c r="L1536" t="inlineStr">
        <is>
          <t>The code implements resource group management using H2 database for Presto, allowing dynamic allocation and monitoring of resources across different query groups. It includes functionalities such as creating, updating, and querying resource groups, as well as retrieving runtime information about queries within these groups. The implementation uses annotations from `com.facebook.presto.spi` and interacts with a DAO (`H2ResourceGroupsDao`) to persist and</t>
        </is>
      </c>
      <c r="M1536" t="n">
        <v>0.0037</v>
      </c>
      <c r="N1536" t="n">
        <v>0.0857</v>
      </c>
      <c r="O1536" t="n">
        <v>0.1145</v>
      </c>
    </row>
    <row r="1537">
      <c r="A1537" t="inlineStr">
        <is>
          <t>presto</t>
        </is>
      </c>
      <c r="B1537" t="inlineStr">
        <is>
          <t>presto-tests/src/test/java/com/facebook/presto/execution/resourceGroups/db/H2ResourceGroupsModule.java</t>
        </is>
      </c>
      <c r="C1537">
        <f>HYPERLINK("https://github.com/prestodb/presto/blob/master/presto-tests/src/test/java/com/facebook/presto/execution/resourceGroups/db/H2ResourceGroupsModule.java")</f>
        <v/>
      </c>
      <c r="D1537" t="inlineStr">
        <is>
          <t>The code provides a database-based implementation of resource group management for Presto, including configuration loading, DAO setup, and manager initialization. It includes classes such as `DbManagerSpecProvider`, `DbResourceGroupConfig`, `ForEnvironment`, `H2DaoProvider`, `ResourceGroupsDao`, and a manager class that initializes these components. The complexity is O(N) due to potential operations involving configurations and</t>
        </is>
      </c>
      <c r="E1537" t="n">
        <v>0.0037</v>
      </c>
      <c r="F1537" t="n">
        <v>0.0678</v>
      </c>
      <c r="G1537" t="n">
        <v>0.08260000000000001</v>
      </c>
      <c r="H1537" t="inlineStr">
        <is>
          <t>Manages resource groups using database-backed configurations.</t>
        </is>
      </c>
      <c r="I1537" t="n">
        <v>0</v>
      </c>
      <c r="J1537" t="n">
        <v>0</v>
      </c>
      <c r="K1537" t="n">
        <v>0.0641</v>
      </c>
      <c r="L1537" t="inlineStr">
        <is>
          <t>The code provides a database-based implementation of resource group management for Presto, including configuration loading, DAO setup, and manager initialization. It integrates with H2 as the underlying data store and supports reloading configurations dynamically. The code is designed to be efficient with a time complexity of O(N), where N represents the number of resources being managed.</t>
        </is>
      </c>
      <c r="M1537" t="n">
        <v>0.0033</v>
      </c>
      <c r="N1537" t="n">
        <v>0.0606</v>
      </c>
      <c r="O1537" t="n">
        <v>0.0781</v>
      </c>
    </row>
    <row r="1538">
      <c r="A1538" t="inlineStr">
        <is>
          <t>presto</t>
        </is>
      </c>
      <c r="B1538" t="inlineStr">
        <is>
          <t>presto-tests/src/test/java/com/facebook/presto/execution/resourceGroups/db/TestEnvironments.java</t>
        </is>
      </c>
      <c r="C1538">
        <f>HYPERLINK("https://github.com/prestodb/presto/blob/master/presto-tests/src/test/java/com/facebook/presto/execution/resourceGroups/db/TestEnvironments.java")</f>
        <v/>
      </c>
      <c r="D1538" t="inlineStr">
        <is>
          <t>The code provides a test suite for the `H2ResourceGroupsDao` class using TestNG. It includes tests that verify the behavior of creating, updating, retrieving, and deleting resource groups in a database. The tests cover various scenarios such as inserting multiple resource groups, checking their existence, updating existing ones, and ensuring deletion works correctly. The complexity of the implementation is O(N), where N represents</t>
        </is>
      </c>
      <c r="E1538" t="n">
        <v>0.0029</v>
      </c>
      <c r="F1538" t="n">
        <v>0.0282</v>
      </c>
      <c r="G1538" t="n">
        <v>0.1119</v>
      </c>
      <c r="H1538" t="inlineStr">
        <is>
          <t>The repository contains backend software components that implement core algorithms. The complexity is O(N), indicating linear time complexity for certain operations. The README provides information about the license, package structure, test classes, query states, and overall size of the codebase.</t>
        </is>
      </c>
      <c r="I1538" t="n">
        <v>0.0061</v>
      </c>
      <c r="J1538" t="n">
        <v>0.1633</v>
      </c>
      <c r="K1538" t="n">
        <v>0.2818</v>
      </c>
      <c r="L1538" t="inlineStr">
        <is>
          <t>The code provides tests for resource group management using H2 as the database. It includes test cases to verify the creation, retrieval, and deletion of resource groups, ensuring proper state transitions between running and failed queries. The tests utilize Presto's `DistributedQueryRunner` and Google Guava's `ImmutableMap`.</t>
        </is>
      </c>
      <c r="M1538" t="n">
        <v>0.0041</v>
      </c>
      <c r="N1538" t="n">
        <v>0.0364</v>
      </c>
      <c r="O1538" t="n">
        <v>0.08550000000000001</v>
      </c>
    </row>
    <row r="1539">
      <c r="A1539" t="inlineStr">
        <is>
          <t>presto</t>
        </is>
      </c>
      <c r="B1539" t="inlineStr">
        <is>
          <t>presto-tests/src/test/java/com/facebook/presto/execution/resourceGroups/db/H2TestUtil.java</t>
        </is>
      </c>
      <c r="C1539">
        <f>HYPERLINK("https://github.com/prestodb/presto/blob/master/presto-tests/src/test/java/com/facebook/presto/execution/resourceGroups/db/H2TestUtil.java")</f>
        <v/>
      </c>
      <c r="D1539" t="inlineStr">
        <is>
          <t>The provided Java code defines a class `DbResourceGroupSelector` within the package `com.facebook.presto.execution.resourceGroups.db`. This class implements a resource group selector using data stored in a database (`H2DaoProvider`). The class uses JSON encoding/decoding for configuration and session information. It interacts with a query manager to manage queries based on their state and resource requirements. The complexity of</t>
        </is>
      </c>
      <c r="E1539" t="n">
        <v>0.0044</v>
      </c>
      <c r="F1539" t="n">
        <v>0.08699999999999999</v>
      </c>
      <c r="G1539" t="n">
        <v>0.1575</v>
      </c>
      <c r="H1539" t="inlineStr">
        <is>
          <t>This repository contains backend software components that implement core algorithms using H2 database operations. The complexity is O(N), indicating linear time complexity, which suggests processing each element once. The README provides information about the license, package structure, and initial commits.</t>
        </is>
      </c>
      <c r="I1539" t="n">
        <v>0.0065</v>
      </c>
      <c r="J1539" t="n">
        <v>0.2041</v>
      </c>
      <c r="K1539" t="n">
        <v>0.3807</v>
      </c>
      <c r="L1539" t="inlineStr">
        <is>
          <t>This Java class implements a resource group selector based on database queries using H2 as the underlying storage mechanism. It uses JSON codecs for data serialization/deserialization and interacts with a session and query manager to manage resource groups dynamically. The implementation includes configuration settings from `DbResourceGroupConfig` and utilizes a DAO provider (`H2DaoProvider`) to interact with the database.</t>
        </is>
      </c>
      <c r="M1539" t="n">
        <v>0.0042</v>
      </c>
      <c r="N1539" t="n">
        <v>0.09089999999999999</v>
      </c>
      <c r="O1539" t="n">
        <v>0.155</v>
      </c>
    </row>
    <row r="1540">
      <c r="A1540" t="inlineStr">
        <is>
          <t>presto</t>
        </is>
      </c>
      <c r="B1540" t="inlineStr">
        <is>
          <t>presto-tests/src/test/java/com/facebook/presto/execution/resourceGroups/db/H2ResourceGroupManagerPlugin.java</t>
        </is>
      </c>
      <c r="C1540">
        <f>HYPERLINK("https://github.com/prestodb/presto/blob/master/presto-tests/src/test/java/com/facebook/presto/execution/resourceGroups/db/H2ResourceGroupManagerPlugin.java")</f>
        <v/>
      </c>
      <c r="D1540" t="inlineStr">
        <is>
          <t>The provided code defines a plugin for Presto that integrates with a database-based resource group manager. It includes comments explaining its purpose, licensing information, and dependencies. The main functionality involves implementing `ResourceGroupConfigurationManagerFactory` from the Presto SPI, which allows it to manage resource groups within Presto using a database as the configuration store.</t>
        </is>
      </c>
      <c r="E1540" t="n">
        <v>0.0042</v>
      </c>
      <c r="F1540" t="n">
        <v>0.0328</v>
      </c>
      <c r="G1540" t="n">
        <v>0.121</v>
      </c>
      <c r="H1540" t="inlineStr">
        <is>
          <t>This repository contains backend software components that implement core algorithms. The complexity is O(N), indicating linear time performance relative to input size. The implementation includes comments explaining key parts of the code. The project was initialized with a single commit. The total code size is 1000 lines.</t>
        </is>
      </c>
      <c r="I1540" t="n">
        <v>0.0051</v>
      </c>
      <c r="J1540" t="n">
        <v>0.1429</v>
      </c>
      <c r="K1540" t="n">
        <v>0.2101</v>
      </c>
      <c r="L1540" t="inlineStr">
        <is>
          <t>The `H2ResourceGroupManagerPlugin` class provides a resource group manager implementation using H2 database as the storage mechanism. It integrates with Presto's plugin framework to manage resource groups dynamically based on configuration stored in an H2 database. The plugin includes methods to create and configure resource groups, ensuring efficient allocation and management of resources within the Presto cluster.</t>
        </is>
      </c>
      <c r="M1540" t="n">
        <v>0.0033</v>
      </c>
      <c r="N1540" t="n">
        <v>0.0615</v>
      </c>
      <c r="O1540" t="n">
        <v>0.1172</v>
      </c>
    </row>
    <row r="1541">
      <c r="A1541" t="inlineStr">
        <is>
          <t>presto</t>
        </is>
      </c>
      <c r="B1541" t="inlineStr">
        <is>
          <t>presto-tests/src/test/java/com/facebook/presto/execution/resourceGroups/db/TestDistributedQueuesSchedulingPolicy.java</t>
        </is>
      </c>
      <c r="C1541">
        <f>HYPERLINK("https://github.com/prestodb/presto/blob/master/presto-tests/src/test/java/com/facebook/presto/execution/resourceGroups/db/TestDistributedQueuesSchedulingPolicy.java")</f>
        <v/>
      </c>
      <c r="D1541" t="inlineStr">
        <is>
          <t>The provided Java code defines a class `DbResourceGroupsManager` within the package `com.facebook.presto.execution.resourceGroups.db`. This class manages resource groups using a database-backed implementation. It includes methods for creating, updating, retrieving, and deleting resource group configurations. The class uses the H2 database as its data store and interacts with it through a DAO (`H2ResourceGroupsDao`). The</t>
        </is>
      </c>
      <c r="E1541" t="n">
        <v>0.0042</v>
      </c>
      <c r="F1541" t="n">
        <v>0.09089999999999999</v>
      </c>
      <c r="G1541" t="n">
        <v>0.121</v>
      </c>
      <c r="H1541" t="inlineStr">
        <is>
          <t>The code implements a resource group management system using H2 database and Black Hole plugin, providing basic query execution capabilities. Complexity is high due to extensive data handling and algorithm implementation.</t>
        </is>
      </c>
      <c r="I1541" t="n">
        <v>0.0072</v>
      </c>
      <c r="J1541" t="n">
        <v>0.1026</v>
      </c>
      <c r="K1541" t="n">
        <v>0.1456</v>
      </c>
      <c r="L1541" t="inlineStr">
        <is>
          <t>This Java class implements resource group management using H2 database. It provides methods to create, update, delete, and retrieve resource groups, as well as their runtime information. The class uses the `BlackHolePlugin` for testing purposes and interacts with a `H2ResourceGroupsDao` to manage data in a local H2 database.</t>
        </is>
      </c>
      <c r="M1541" t="n">
        <v>0.005</v>
      </c>
      <c r="N1541" t="n">
        <v>0.1071</v>
      </c>
      <c r="O1541" t="n">
        <v>0.1667</v>
      </c>
    </row>
    <row r="1542">
      <c r="A1542" t="inlineStr">
        <is>
          <t>presto</t>
        </is>
      </c>
      <c r="B1542" t="inlineStr">
        <is>
          <t>presto-tests/src/test/java/com/facebook/presto/server/TestClusterStatsResource.java</t>
        </is>
      </c>
      <c r="C1542">
        <f>HYPERLINK("https://github.com/prestodb/presto/blob/master/presto-tests/src/test/java/com/facebook/presto/server/TestClusterStatsResource.java")</f>
        <v/>
      </c>
      <c r="D1542" t="inlineStr">
        <is>
          <t>The code defines a class `Server` that uses Apache HttpClient to make HTTP requests and Thrift clients to communicate over Thrift protocols. It includes methods for sending requests and handling responses using Thrift codecs. The complexity is O(N), where N represents the number of operations performed during request processing.</t>
        </is>
      </c>
      <c r="E1542" t="n">
        <v>0.0037</v>
      </c>
      <c r="F1542" t="n">
        <v>0.0345</v>
      </c>
      <c r="G1542" t="n">
        <v>0.08260000000000001</v>
      </c>
      <c r="H1542" t="inlineStr">
        <is>
          <t>The code provides a Java implementation of Thrift request handling using Jetty HTTP client and Drift codec manager. It includes comments explaining its purpose and complexity. The README describes it as containing backend software components implementing core algorithms.</t>
        </is>
      </c>
      <c r="I1542" t="n">
        <v>0.0064</v>
      </c>
      <c r="J1542" t="n">
        <v>0.1304</v>
      </c>
      <c r="K1542" t="n">
        <v>0.3382</v>
      </c>
      <c r="L1542" t="inlineStr">
        <is>
          <t>The code implements a server component that uses Thrift over HTTP to communicate with external services. It includes a Jetty-based HTTP client for making requests and a Thrift codec manager for handling data serialization/deserialization. The implementation is designed to be efficient and scalable, suitable for processing large volumes of data through network interactions.</t>
        </is>
      </c>
      <c r="M1542" t="n">
        <v>0.0041</v>
      </c>
      <c r="N1542" t="n">
        <v>0.0635</v>
      </c>
      <c r="O1542" t="n">
        <v>0.12</v>
      </c>
    </row>
    <row r="1543">
      <c r="A1543" t="inlineStr">
        <is>
          <t>presto</t>
        </is>
      </c>
      <c r="B1543" t="inlineStr">
        <is>
          <t>presto-tests/src/test/java/com/facebook/presto/server/TestServerInfoResource.java</t>
        </is>
      </c>
      <c r="C1543">
        <f>HYPERLINK("https://github.com/prestodb/presto/blob/master/presto-tests/src/test/java/com/facebook/presto/server/TestServerInfoResource.java")</f>
        <v/>
      </c>
      <c r="D1543" t="inlineStr">
        <is>
          <t>The code defines a class `Server` that uses Apache HttpClient to send HTTP requests and Thrift requests to a server using Netty's Thrift codec. It includes methods for sending GET and POST requests, as well as handling responses from both types of requests. The implementation is licensed under the Apache License 2.0.</t>
        </is>
      </c>
      <c r="E1543" t="n">
        <v>0.0035</v>
      </c>
      <c r="F1543" t="n">
        <v>0.0323</v>
      </c>
      <c r="G1543" t="n">
        <v>0.121</v>
      </c>
      <c r="H1543" t="inlineStr">
        <is>
          <t>This repository contains backend software components that implement core algorithms using Thrift and Jetty HTTP clients. The complexity is high due to the extensive implementation of various algorithms.</t>
        </is>
      </c>
      <c r="I1543" t="n">
        <v>0.0095</v>
      </c>
      <c r="J1543" t="n">
        <v>0.2778</v>
      </c>
      <c r="K1543" t="n">
        <v>0.3</v>
      </c>
      <c r="L1543" t="inlineStr">
        <is>
          <t>The provided code implements a Thrift client using Jetty as the HTTP transport layer. It includes methods for sending requests and handling responses over Thrift protocol, leveraging Airflow's HttpClient and Thrift codec manager functionalities. The implementation is designed to facilitate communication between Presto server components and external services via Thrift interfaces.</t>
        </is>
      </c>
      <c r="M1543" t="n">
        <v>0.0043</v>
      </c>
      <c r="N1543" t="n">
        <v>0.1</v>
      </c>
      <c r="O1543" t="n">
        <v>0.122</v>
      </c>
    </row>
    <row r="1544">
      <c r="A1544" t="inlineStr">
        <is>
          <t>presto</t>
        </is>
      </c>
      <c r="B1544" t="inlineStr">
        <is>
          <t>presto-tests/src/test/java/com/facebook/presto/server/TestTaskInfoResource.java</t>
        </is>
      </c>
      <c r="C1544">
        <f>HYPERLINK("https://github.com/prestodb/presto/blob/master/presto-tests/src/test/java/com/facebook/presto/server/TestTaskInfoResource.java")</f>
        <v/>
      </c>
      <c r="D1544" t="inlineStr">
        <is>
          <t>The code provides a Presto server implementation that includes a query ID generator, stage information handling, and HTTP client setup using Jetty. It also includes comments explaining its purpose and complexity level. The code size is 1000 lines.</t>
        </is>
      </c>
      <c r="E1544" t="n">
        <v>0.0049</v>
      </c>
      <c r="F1544" t="n">
        <v>0.08699999999999999</v>
      </c>
      <c r="G1544" t="n">
        <v>0.1364</v>
      </c>
      <c r="H1544" t="inlineStr">
        <is>
          <t>This repository contains backend software components that implement core algorithms using Java. The complexity of the implementation is O(N), indicating linear time complexity. The README provides information about the license, package structure, and initial commits. The code size is 1000 lines.</t>
        </is>
      </c>
      <c r="I1544" t="n">
        <v>0.0064</v>
      </c>
      <c r="J1544" t="n">
        <v>0.2</v>
      </c>
      <c r="K1544" t="n">
        <v>0.2655</v>
      </c>
      <c r="L1544" t="inlineStr">
        <is>
          <t>This Java code defines a class `QueryManager` within the `com.facebook.presto.server` package that manages query execution and generation using Presto's internal infrastructure. It uses an HTTP client (`JettyHttpClient`) to interact with other Presto services such as the coordinator, generating unique query IDs, and retrieving stage information. The class provides methods for executing queries and managing their lifecycle.</t>
        </is>
      </c>
      <c r="M1544" t="n">
        <v>0.0039</v>
      </c>
      <c r="N1544" t="n">
        <v>0.0588</v>
      </c>
      <c r="O1544" t="n">
        <v>0.1172</v>
      </c>
    </row>
    <row r="1545">
      <c r="A1545" t="inlineStr">
        <is>
          <t>presto</t>
        </is>
      </c>
      <c r="B1545" t="inlineStr">
        <is>
          <t>presto-tests/src/test/java/com/facebook/presto/server/TestCompression.java</t>
        </is>
      </c>
      <c r="C1545">
        <f>HYPERLINK("https://github.com/prestodb/presto/blob/master/presto-tests/src/test/java/com/facebook/presto/server/TestCompression.java")</f>
        <v/>
      </c>
      <c r="D1545" t="inlineStr">
        <is>
          <t>The code defines a test case `testCompression` within the `TestCompression` class of the `com.facebook.presto.server` package. This test uses a distributed query runner (`DistributedQueryRunner`) to execute queries from the TPC-H benchmark suite and checks if compression is enabled during these operations. The test asserts that compression is active based on the presence of certain properties set in the query</t>
        </is>
      </c>
      <c r="E1545" t="n">
        <v>0.0037</v>
      </c>
      <c r="F1545" t="n">
        <v>0.0571</v>
      </c>
      <c r="G1545" t="n">
        <v>0.1154</v>
      </c>
      <c r="H1545" t="inlineStr">
        <is>
          <t>The repository contains backend software components that implement core algorithms. The complexity is O(N), indicating linear time complexity, which means it scales proportionally with the input size N. The comments describe the implementation of these core algorithms. The commits include an initial codebase commit. The total code size is 1000 lines.</t>
        </is>
      </c>
      <c r="I1545" t="n">
        <v>0.0043</v>
      </c>
      <c r="J1545" t="n">
        <v>0.1</v>
      </c>
      <c r="K1545" t="n">
        <v>0.122</v>
      </c>
      <c r="L1545" t="inlineStr">
        <is>
          <t>This Java unit test suite tests the compression capabilities of Presto's query runner using Google Guava's `ImmutableMap`. The test creates a distributed query runner with TPC-H data and verifies that queries can be executed successfully while compressing results.</t>
        </is>
      </c>
      <c r="M1545" t="n">
        <v>0.0058</v>
      </c>
      <c r="N1545" t="n">
        <v>0.08160000000000001</v>
      </c>
      <c r="O1545" t="n">
        <v>0.1364</v>
      </c>
    </row>
    <row r="1546">
      <c r="A1546" t="inlineStr">
        <is>
          <t>presto</t>
        </is>
      </c>
      <c r="B1546" t="inlineStr">
        <is>
          <t>presto-tests/src/test/java/com/facebook/presto/server/TestAsyncPageTransportServlet.java</t>
        </is>
      </c>
      <c r="C1546">
        <f>HYPERLINK("https://github.com/prestodb/presto/blob/master/presto-tests/src/test/java/com/facebook/presto/server/TestAsyncPageTransportServlet.java")</f>
        <v/>
      </c>
      <c r="D1546" t="inlineStr">
        <is>
          <t>The provided code defines a class `TaskManager` within the package `com.facebook.presto.server`. It handles task management operations such as creating tasks, managing output buffers, and processing HTTP requests related to these tasks. The class uses Google Guava's `ImmutableListMultimap` and `ImmutableMap` for efficient data storage and retrieval. The complexity of the implementation is O(N), where N</t>
        </is>
      </c>
      <c r="E1546" t="n">
        <v>0.0034</v>
      </c>
      <c r="F1546" t="n">
        <v>0.0299</v>
      </c>
      <c r="G1546" t="n">
        <v>0.119</v>
      </c>
      <c r="H1546" t="inlineStr">
        <is>
          <t>This repository contains backend software components that implement core algorithms. The complexity of these implementations is O(N), indicating linear time complexity relative to the input size. The README provides information about the license, package structure, and the purpose of the project.</t>
        </is>
      </c>
      <c r="I1546" t="n">
        <v>0.0064</v>
      </c>
      <c r="J1546" t="n">
        <v>0.2</v>
      </c>
      <c r="K1546" t="n">
        <v>0.2212</v>
      </c>
      <c r="L1546" t="inlineStr">
        <is>
          <t>The provided code defines a servlet that handles HTTP requests related to Presto tasks. It processes incoming GET requests to retrieve task status and output buffer details, returning JSON responses. The code uses Google Guava libraries for collections and Jakarta EE annotations for web services.</t>
        </is>
      </c>
      <c r="M1546" t="n">
        <v>0.0041</v>
      </c>
      <c r="N1546" t="n">
        <v>0.0377</v>
      </c>
      <c r="O1546" t="n">
        <v>0.08550000000000001</v>
      </c>
    </row>
    <row r="1547">
      <c r="A1547" t="inlineStr">
        <is>
          <t>presto</t>
        </is>
      </c>
      <c r="B1547" t="inlineStr">
        <is>
          <t>presto-tests/src/test/java/com/facebook/presto/server/TestResourceGroupStateInfoResource.java</t>
        </is>
      </c>
      <c r="C1547">
        <f>HYPERLINK("https://github.com/prestodb/presto/blob/master/presto-tests/src/test/java/com/facebook/presto/server/TestResourceGroupStateInfoResource.java")</f>
        <v/>
      </c>
      <c r="D1547" t="inlineStr">
        <is>
          <t>The code defines a class `TestingPrestoServer` that sets up a testing environment for Presto, a columnar storage engine used for big data analytics. It uses Jetty as the HTTP client library and includes configurations for resource groups using a factory. The complexity is O(N), where N represents the number of resources being managed. The implementation involves setting up server configurations, handling requests, and</t>
        </is>
      </c>
      <c r="E1547" t="n">
        <v>0.0029</v>
      </c>
      <c r="F1547" t="n">
        <v>0.0556</v>
      </c>
      <c r="G1547" t="n">
        <v>0.1111</v>
      </c>
      <c r="H1547" t="inlineStr">
        <is>
          <t>This repository contains backend software components implementing core algorithms. The complexity is O(N), indicating linear time complexity in relation to input size N.</t>
        </is>
      </c>
      <c r="I1547" t="n">
        <v>0.0109</v>
      </c>
      <c r="J1547" t="n">
        <v>0.25</v>
      </c>
      <c r="K1547" t="n">
        <v>0.3322</v>
      </c>
      <c r="L1547" t="inlineStr">
        <is>
          <t>The code provides a setup for running Presto tests using Jetty as the HTTP client. It includes configurations for resource groups and sets up a testing environment for Presto queries. The implementation complexity is moderate, and existing comments indicate that it implements core algorithms related to Presto server testing.</t>
        </is>
      </c>
      <c r="M1547" t="n">
        <v>0.008800000000000001</v>
      </c>
      <c r="N1547" t="n">
        <v>0.0702</v>
      </c>
      <c r="O1547" t="n">
        <v>0.2608</v>
      </c>
    </row>
    <row r="1548">
      <c r="A1548" t="inlineStr">
        <is>
          <t>presto</t>
        </is>
      </c>
      <c r="B1548" t="inlineStr">
        <is>
          <t>presto-tests/src/test/java/com/facebook/presto/server/TestQueryResource.java</t>
        </is>
      </c>
      <c r="C1548">
        <f>HYPERLINK("https://github.com/prestodb/presto/blob/master/presto-tests/src/test/java/com/facebook/presto/server/TestQueryResource.java")</f>
        <v/>
      </c>
      <c r="D1548" t="inlineStr">
        <is>
          <t>The provided code defines a class `TestingPrestoServer` that extends `DistributedQueryRunner`. It sets up a testing environment using Presto SQL server functionalities. The class uses Jetty HTTP client for making requests to the Presto server and handles query results. The complexity of the implementation is O(N), where N represents the number of operations performed during setup or execution.</t>
        </is>
      </c>
      <c r="E1548" t="n">
        <v>0.0032</v>
      </c>
      <c r="F1548" t="n">
        <v>0.0606</v>
      </c>
      <c r="G1548" t="n">
        <v>0.1163</v>
      </c>
      <c r="H1548" t="inlineStr">
        <is>
          <t>This repository contains backend software components that implement core algorithms. The complexity of these implementations is O(N), indicating linear time complexity relative to the input size N. The README provides information about the license, package structure, and includes comments explaining the implementation details.</t>
        </is>
      </c>
      <c r="I1548" t="n">
        <v>0.0061</v>
      </c>
      <c r="J1548" t="n">
        <v>0.1923</v>
      </c>
      <c r="K1548" t="n">
        <v>0.2174</v>
      </c>
      <c r="L1548" t="inlineStr">
        <is>
          <t>This Java code provides a testing framework for Presto servers using Jetty as the HTTP client. It includes methods to execute queries against a Presto server instance and measure performance. The `TestingPrestoServer` class manages the server setup, while `DistributedQueryRunner` handles query execution. The code uses Google Guava libraries for utilities like stopwatch timing.</t>
        </is>
      </c>
      <c r="M1548" t="n">
        <v>0.0041</v>
      </c>
      <c r="N1548" t="n">
        <v>0.06560000000000001</v>
      </c>
      <c r="O1548" t="n">
        <v>0.12</v>
      </c>
    </row>
    <row r="1549">
      <c r="A1549" t="inlineStr">
        <is>
          <t>presto</t>
        </is>
      </c>
      <c r="B1549" t="inlineStr">
        <is>
          <t>presto-tests/src/test/java/com/facebook/presto/server/TestCoordinatorPluginIntegration.java</t>
        </is>
      </c>
      <c r="C1549">
        <f>HYPERLINK("https://github.com/prestodb/presto/blob/master/presto-tests/src/test/java/com/facebook/presto/server/TestCoordinatorPluginIntegration.java")</f>
        <v/>
      </c>
      <c r="D1549" t="inlineStr">
        <is>
          <t>The provided Java code defines a test suite for integrating Presto's coordinator plugin system using Google Guava collections and TestNG annotations. The `TestCoordinatorPluginIntegration` class sets up a testing environment with a `TestingPrestoServer`, which simulates a Presto cluster. It uses `SqlParserOptions` for parsing SQL queries and tests various functionalities related to coordinating plugins within the Presto framework</t>
        </is>
      </c>
      <c r="E1549" t="n">
        <v>0.0033</v>
      </c>
      <c r="F1549" t="n">
        <v>0.0308</v>
      </c>
      <c r="G1549" t="n">
        <v>0.0781</v>
      </c>
      <c r="H1549" t="inlineStr">
        <is>
          <t>This repository contains backend software components that implement core algorithms. The complexity is O(N), indicating linear time complexity. The comments describe the implementation of these algorithms. The commits include the initial creation of the codebase. The total size of the codebase is 1000 lines.</t>
        </is>
      </c>
      <c r="I1549" t="n">
        <v>0.0055</v>
      </c>
      <c r="J1549" t="n">
        <v>0.1509</v>
      </c>
      <c r="K1549" t="n">
        <v>0.1724</v>
      </c>
      <c r="L1549" t="inlineStr">
        <is>
          <t>This test suite verifies the integration of the Coordinator Plugin into Presto's server environment using Google Guava's Immutable collections for data structures. It sets up a testing instance of Presto and uses TestNG annotations to define a single test case that checks if the plugin can be successfully loaded and registered within the Presto server context. The test ensures that the plugin behaves as expected when integrated into the system.</t>
        </is>
      </c>
      <c r="M1549" t="n">
        <v>0.0031</v>
      </c>
      <c r="N1549" t="n">
        <v>0.05</v>
      </c>
      <c r="O1549" t="n">
        <v>0.1056</v>
      </c>
    </row>
    <row r="1550">
      <c r="A1550" t="inlineStr">
        <is>
          <t>presto</t>
        </is>
      </c>
      <c r="B1550" t="inlineStr">
        <is>
          <t>presto-tests/src/test/java/com/facebook/presto/utils/QueryExecutionClientUtil.java</t>
        </is>
      </c>
      <c r="C1550">
        <f>HYPERLINK("https://github.com/prestodb/presto/blob/master/presto-tests/src/test/java/com/facebook/presto/utils/QueryExecutionClientUtil.java")</f>
        <v/>
      </c>
      <c r="D1550" t="inlineStr">
        <is>
          <t>The code provides utility functions for interacting with Presto's HTTP API using Airflow's HttpClient library. It includes methods for sending requests to query Presto servers, parsing JSON responses, and handling different states of queries. The complexity is O(N) due to potential operations involving data processing or network interactions.</t>
        </is>
      </c>
      <c r="E1550" t="n">
        <v>0.0038</v>
      </c>
      <c r="F1550" t="n">
        <v>0.0678</v>
      </c>
      <c r="G1550" t="n">
        <v>0.0833</v>
      </c>
      <c r="H1550" t="inlineStr">
        <is>
          <t>The code provides a library of utility functions for interacting with Presto databases using HTTP requests. It includes classes for handling JSON encoding/decoding, making HTTP requests, and parsing query results. The complexity is high due to its extensive functionality and integration with Presto's API.</t>
        </is>
      </c>
      <c r="I1550" t="n">
        <v>0.0089</v>
      </c>
      <c r="J1550" t="n">
        <v>0.0741</v>
      </c>
      <c r="K1550" t="n">
        <v>0.1616</v>
      </c>
      <c r="L1550" t="inlineStr">
        <is>
          <t>The provided code defines utility functions for interacting with Presto's HTTP API using Airflow's HttpClient library. It includes methods for making requests to retrieve query results, basic query info, and state information from a Presto server. The code uses JSON codecs for parsing responses and handling data serialization/deserialization. The implementation focuses on providing a simple interface for querying Presto without requiring extensive setup or configuration.</t>
        </is>
      </c>
      <c r="M1550" t="n">
        <v>0.0028</v>
      </c>
      <c r="N1550" t="n">
        <v>0.0526</v>
      </c>
      <c r="O1550" t="n">
        <v>0.1095</v>
      </c>
    </row>
    <row r="1551">
      <c r="A1551" t="inlineStr">
        <is>
          <t>presto</t>
        </is>
      </c>
      <c r="B1551" t="inlineStr">
        <is>
          <t>presto-tests/src/test/java/com/facebook/presto/utils/ResourceUtils.java</t>
        </is>
      </c>
      <c r="C1551">
        <f>HYPERLINK("https://github.com/prestodb/presto/blob/master/presto-tests/src/test/java/com/facebook/presto/utils/ResourceUtils.java")</f>
        <v/>
      </c>
      <c r="D1551" t="inlineStr">
        <is>
          <t>The `ResourceUtils` class provides utility methods for handling resources such as copying files from the classpath to temporary directories. It includes a method `getResourceFilePath` that creates a temporary file and copies a specified resource file into it. The code uses Java's NIO package for file operations and handles exceptions using unchecked exceptions for simplicity.</t>
        </is>
      </c>
      <c r="E1551" t="n">
        <v>0.0034</v>
      </c>
      <c r="F1551" t="n">
        <v>0.0317</v>
      </c>
      <c r="G1551" t="n">
        <v>0.0794</v>
      </c>
      <c r="H1551" t="inlineStr">
        <is>
          <t>The repository contains backend software components that implement core algorithms. The complexity of the implementation is O(N), indicating linear time complexity. The comments describe the implementation as being focused on core algorithms. The commits indicate that it was initially created. The total size of the codebase is 1000 lines.</t>
        </is>
      </c>
      <c r="I1551" t="n">
        <v>0.0045</v>
      </c>
      <c r="J1551" t="n">
        <v>0.1034</v>
      </c>
      <c r="K1551" t="n">
        <v>0.124</v>
      </c>
      <c r="L1551" t="inlineStr">
        <is>
          <t>The `ResourceUtils` class provides utility methods for handling resources within the Presto project. It includes a method `getResourceFilePath` that creates a temporary file from a given resource name and returns its path as a string. The class uses Java's NIO package to handle file operations efficiently.</t>
        </is>
      </c>
      <c r="M1551" t="n">
        <v>0.004</v>
      </c>
      <c r="N1551" t="n">
        <v>0.0364</v>
      </c>
      <c r="O1551" t="n">
        <v>0.0847</v>
      </c>
    </row>
    <row r="1552">
      <c r="A1552" t="inlineStr">
        <is>
          <t>presto</t>
        </is>
      </c>
      <c r="B1552" t="inlineStr">
        <is>
          <t>presto-tests/src/test/java/com/facebook/presto/functions/TestDuplicateSqlInvokedFunctions.java</t>
        </is>
      </c>
      <c r="C1552">
        <f>HYPERLINK("https://github.com/prestodb/presto/blob/master/presto-tests/src/test/java/com/facebook/presto/functions/TestDuplicateSqlInvokedFunctions.java")</f>
        <v/>
      </c>
      <c r="D1552" t="inlineStr">
        <is>
          <t>The provided Java code defines a Presto SQL function named `TestDuplicateSqlInvokedFunctions`. This function is annotated with `@SqlInvoked`, indicating that it will be invoked as a user-defined scalar function within Presto's query engine. The function does not take any parameters (`@Parameters` annotation is missing) and returns a value of type `BIGINT`.
### Key Points:
1.</t>
        </is>
      </c>
      <c r="E1552" t="n">
        <v>0.004</v>
      </c>
      <c r="F1552" t="n">
        <v>0.09520000000000001</v>
      </c>
      <c r="G1552" t="n">
        <v>0.119</v>
      </c>
      <c r="H1552" t="inlineStr">
        <is>
          <t>This repository contains backend software components that implement core algorithms. The complexity of the implementation is O(N), indicating linear time performance. The comments describe the purpose and functionality of each component, while the commits document the initial creation of the codebase. The total size of the codebase is 1000 lines.</t>
        </is>
      </c>
      <c r="I1552" t="n">
        <v>0.0055</v>
      </c>
      <c r="J1552" t="n">
        <v>0.1695</v>
      </c>
      <c r="K1552" t="n">
        <v>0.2459</v>
      </c>
      <c r="L1552" t="inlineStr">
        <is>
          <t>This Java package `com.facebook.presto.functions` contains test classes for duplicate SQL-invoked scalar functions within Presto, a columnar processing engine used for big data analytics. The code uses annotations from the Presto SPI (Server Interface Protocol) to define these functions, which allow them to be executed as part of SQL queries. Each function is annotated with metadata such as description, parameters, and</t>
        </is>
      </c>
      <c r="M1552" t="n">
        <v>0.0036</v>
      </c>
      <c r="N1552" t="n">
        <v>0.0833</v>
      </c>
      <c r="O1552" t="n">
        <v>0.1136</v>
      </c>
    </row>
    <row r="1553">
      <c r="A1553" t="inlineStr">
        <is>
          <t>presto</t>
        </is>
      </c>
      <c r="B1553" t="inlineStr">
        <is>
          <t>presto-tests/src/test/java/com/facebook/presto/functions/TestSqlInvokedFunctionsPlugin.java</t>
        </is>
      </c>
      <c r="C1553">
        <f>HYPERLINK("https://github.com/prestodb/presto/blob/master/presto-tests/src/test/java/com/facebook/presto/functions/TestSqlInvokedFunctionsPlugin.java")</f>
        <v/>
      </c>
      <c r="D1553" t="inlineStr">
        <is>
          <t>The provided code defines a plugin that registers SQL functions within Presto, which is a columnar processing engine used for big data analytics. The `TestSqlInvokedFunctionsPlugin` class implements the necessary methods to register scalar functions using annotations from the Presto SPI (Serverless Platform Interface). These functions can be invoked directly from SQL queries within Presto clusters. The complexity of implementing these functions is O</t>
        </is>
      </c>
      <c r="E1553" t="n">
        <v>0.0029</v>
      </c>
      <c r="F1553" t="n">
        <v>0.0563</v>
      </c>
      <c r="G1553" t="n">
        <v>0.0741</v>
      </c>
      <c r="H1553" t="inlineStr">
        <is>
          <t>This repository contains backend software components that implement core algorithms. The complexity of these implementations is O(N), indicating linear time performance relative to input size. The comments provide details about the implementation's purpose and structure.</t>
        </is>
      </c>
      <c r="I1553" t="n">
        <v>0.0075</v>
      </c>
      <c r="J1553" t="n">
        <v>0.2222</v>
      </c>
      <c r="K1553" t="n">
        <v>0.2336</v>
      </c>
      <c r="L1553" t="inlineStr">
        <is>
          <t>This Java package `com.facebook.presto.functions` contains a plugin that provides SQL functions for Presto, a columnar processing engine used for big data analytics. The plugin includes a single function annotated with `@SqlInvokedScalarFunction`, which likely performs some operation based on input parameters. The function takes two parameters (`@SqlParameter`) and returns a result type specified by `@SqlType`.</t>
        </is>
      </c>
      <c r="M1553" t="n">
        <v>0.004</v>
      </c>
      <c r="N1553" t="n">
        <v>0.09229999999999999</v>
      </c>
      <c r="O1553" t="n">
        <v>0.119</v>
      </c>
    </row>
    <row r="1554">
      <c r="A1554" t="inlineStr">
        <is>
          <t>presto</t>
        </is>
      </c>
      <c r="B1554" t="inlineStr">
        <is>
          <t>presto-tests/src/test/java/com/facebook/presto/functions/TestPluginLoadedDuplicateSqlInvokedFunctions.java</t>
        </is>
      </c>
      <c r="C1554">
        <f>HYPERLINK("https://github.com/prestodb/presto/blob/master/presto-tests/src/test/java/com/facebook/presto/functions/TestPluginLoadedDuplicateSqlInvokedFunctions.java")</f>
        <v/>
      </c>
      <c r="D1554" t="inlineStr">
        <is>
          <t>The provided code defines a test suite for Presto SQL functions using TestNG. It includes setup methods to initialize a testing Presto server and client, as well as tests that verify the correctness of certain SQL functions such as `array_intersect`. The code uses various packages from Facebook's Presto project, including `com.facebook.presto.common.type`, `com.facebook.presto.scalar.sql`, `</t>
        </is>
      </c>
      <c r="E1554" t="n">
        <v>0.0035</v>
      </c>
      <c r="F1554" t="n">
        <v>0.0571</v>
      </c>
      <c r="G1554" t="n">
        <v>0.08</v>
      </c>
      <c r="H1554" t="inlineStr">
        <is>
          <t>This repository contains backend software components that implement core algorithms. The complexity is O(N), indicating linear time performance. The implementation includes classes such as `ArrayIntersectFunction` and uses plugins like `Plugin`. It also involves testing using `TestingPrestoServer`, `TestingPrestoClient`, and other utilities from Google Guava. The code size is 1000 lines.</t>
        </is>
      </c>
      <c r="I1554" t="n">
        <v>0.0053</v>
      </c>
      <c r="J1554" t="n">
        <v>0.1724</v>
      </c>
      <c r="K1554" t="n">
        <v>0.2479</v>
      </c>
      <c r="L1554" t="inlineStr">
        <is>
          <t>The code provides a set of Presto SQL functions that handle array intersection operations. It includes a test suite using TestNG to verify the correctness of these functions. The code uses Google Guava's ImmutableSet for efficient storage and manipulation of arrays. The `ArrayIntersectFunction` class implements the intersection operation between two arrays. The testing framework sets up a local Presto server for running tests against the</t>
        </is>
      </c>
      <c r="M1554" t="n">
        <v>0.0033</v>
      </c>
      <c r="N1554" t="n">
        <v>0.0541</v>
      </c>
      <c r="O1554" t="n">
        <v>0.1095</v>
      </c>
    </row>
    <row r="1555">
      <c r="A1555" t="inlineStr">
        <is>
          <t>presto</t>
        </is>
      </c>
      <c r="B1555" t="inlineStr">
        <is>
          <t>presto-tests/src/test/java/com/facebook/presto/functions/TestBuiltInConnectorFunctions.java</t>
        </is>
      </c>
      <c r="C1555">
        <f>HYPERLINK("https://github.com/prestodb/presto/blob/master/presto-tests/src/test/java/com/facebook/presto/functions/TestBuiltInConnectorFunctions.java")</f>
        <v/>
      </c>
      <c r="D1555" t="inlineStr">
        <is>
          <t>The provided code defines a collection of Presto SQL functions related to aggregation and scalar operations. It includes:
- `CountAggregation`: An implementation of the COUNT aggregate function.
- `MapFilterFunction` and `MapNormalizeFunction`: Custom scalar functions for filtering and normalizing map data types in Presto.
These functions are part of a larger system designed to enhance Presto's capabilities for handling complex</t>
        </is>
      </c>
      <c r="E1555" t="n">
        <v>0.0031</v>
      </c>
      <c r="F1555" t="n">
        <v>0.09089999999999999</v>
      </c>
      <c r="G1555" t="n">
        <v>0.1145</v>
      </c>
      <c r="H1555" t="inlineStr">
        <is>
          <t>This repository contains backend software components that implement core algorithms. The complexity of these implementations is O(N), indicating linear time complexity relative to the size of the input data. The code includes various functions such as `CountAggregation`, `MapFilterFunction`, and `MapNormalizeFunction`.</t>
        </is>
      </c>
      <c r="I1555" t="n">
        <v>0.0065</v>
      </c>
      <c r="J1555" t="n">
        <v>0.2449</v>
      </c>
      <c r="K1555" t="n">
        <v>0.2679</v>
      </c>
      <c r="L1555" t="inlineStr">
        <is>
          <t>The code provides Presto SQL functions for counting elements in maps, filtering map entries based on conditions, and normalizing map keys using timezone-aware comparisons. It includes implementations of `CountAggregation`, `MapFilterFunction`, and `MapNormalizeFunction`. The code size is 1000 lines, and it has been implemented as part of a larger backend software component.</t>
        </is>
      </c>
      <c r="M1555" t="n">
        <v>0.0043</v>
      </c>
      <c r="N1555" t="n">
        <v>0.0667</v>
      </c>
      <c r="O1555" t="n">
        <v>0.1626</v>
      </c>
    </row>
    <row r="1556">
      <c r="A1556" t="inlineStr">
        <is>
          <t>presto</t>
        </is>
      </c>
      <c r="B1556" t="inlineStr">
        <is>
          <t>presto-tests/src/test/java/com/facebook/presto/functions/TestConnectorSystemFunctions.java</t>
        </is>
      </c>
      <c r="C1556">
        <f>HYPERLINK("https://github.com/prestodb/presto/blob/master/presto-tests/src/test/java/com/facebook/presto/functions/TestConnectorSystemFunctions.java")</f>
        <v/>
      </c>
      <c r="D1556" t="inlineStr">
        <is>
          <t>The provided Java code defines a Presto connector system function named `testModulo`. This function takes two parameters: a `Slice` representing a string and an integer (`numberOf`). It returns the remainder when the length of the input string is divided by the given number. The function uses the `StandardTypes.STRING` type for both inputs and outputs. The implementation is straightforward, calculating the modulo operation using</t>
        </is>
      </c>
      <c r="E1556" t="n">
        <v>0.0034</v>
      </c>
      <c r="F1556" t="n">
        <v>0.0833</v>
      </c>
      <c r="G1556" t="n">
        <v>0.1481</v>
      </c>
      <c r="H1556" t="inlineStr">
        <is>
          <t>The code defines a package `com.facebook.presto.functions` containing a single class `TestConnectorSystemFunctions`. This class includes a method annotated with `@Description`, which returns the remainder when one number is divided by another. The complexity of this operation is linear (`O(N)`), where `N` represents the size of the input parameters. The implementation involves basic arithmetic operations within the Presto</t>
        </is>
      </c>
      <c r="I1556" t="n">
        <v>0.0033</v>
      </c>
      <c r="J1556" t="n">
        <v>0.0588</v>
      </c>
      <c r="K1556" t="n">
        <v>0.0781</v>
      </c>
      <c r="L1556" t="inlineStr">
        <is>
          <t>This Java package contains Presto connector system functions that provide basic mathematical operations such as modulo calculation. The `TestConnectorSystemFunctions` class includes a scalar function annotated with `@SqlType(StandardTypes.BIGINT)` named `mod`, which takes two parameters: a `Slice` representing the dividend and another `Slice` representing the divisor. It returns the result of dividing the dividend by the divisor</t>
        </is>
      </c>
      <c r="M1556" t="n">
        <v>0.004</v>
      </c>
      <c r="N1556" t="n">
        <v>0.09229999999999999</v>
      </c>
      <c r="O1556" t="n">
        <v>0.1181</v>
      </c>
    </row>
    <row r="1557">
      <c r="A1557" t="inlineStr">
        <is>
          <t>presto</t>
        </is>
      </c>
      <c r="B1557" t="inlineStr">
        <is>
          <t>presto-tests/src/test/java/com/facebook/presto/functions/TestFunctions.java</t>
        </is>
      </c>
      <c r="C1557">
        <f>HYPERLINK("https://github.com/prestodb/presto/blob/master/presto-tests/src/test/java/com/facebook/presto/functions/TestFunctions.java")</f>
        <v/>
      </c>
      <c r="D1557" t="inlineStr">
        <is>
          <t>The provided Java code defines a Presto SQL function named `testModulo` that calculates the remainder when dividing a given number by a specified bucket count. The function takes two parameters: a `Slice` representing the dividend and a `long` representing the divisor. It returns a `Slice` containing the result of the modulo operation. This implementation uses standard types from Presto's common package and is</t>
        </is>
      </c>
      <c r="E1557" t="n">
        <v>0.0034</v>
      </c>
      <c r="F1557" t="n">
        <v>0.0833</v>
      </c>
      <c r="G1557" t="n">
        <v>0.1481</v>
      </c>
      <c r="H1557" t="inlineStr">
        <is>
          <t>Contains backend software components implementing core algorithms. Complexity is O(N).</t>
        </is>
      </c>
      <c r="I1557" t="n">
        <v>0.0251</v>
      </c>
      <c r="J1557" t="n">
        <v>0.3158</v>
      </c>
      <c r="K1557" t="n">
        <v>0.3117</v>
      </c>
      <c r="L1557" t="inlineStr">
        <is>
          <t>The `TestFunctions` class provides a single scalar function that calculates the remainder when dividing a given input slice by a specified number of buckets. The function returns the result as a long integer. It uses the `@SqlType(StandardTypes.BIGINT)` annotation to specify the return type and includes a description using the `@Description` annotation to provide documentation about the function's purpose.</t>
        </is>
      </c>
      <c r="M1557" t="n">
        <v>0.0031</v>
      </c>
      <c r="N1557" t="n">
        <v>0.058</v>
      </c>
      <c r="O1557" t="n">
        <v>0.0769</v>
      </c>
    </row>
    <row r="1558">
      <c r="A1558" t="inlineStr">
        <is>
          <t>presto</t>
        </is>
      </c>
      <c r="B1558" t="inlineStr">
        <is>
          <t>presto-tests/src/test/java/com/facebook/presto/functions/TestPluginLoadedSqlInvokedFunctions.java</t>
        </is>
      </c>
      <c r="C1558">
        <f>HYPERLINK("https://github.com/prestodb/presto/blob/master/presto-tests/src/test/java/com/facebook/presto/functions/TestPluginLoadedSqlInvokedFunctions.java")</f>
        <v/>
      </c>
      <c r="D1558" t="inlineStr">
        <is>
          <t>The provided code is part of a Presto database system plugin that includes functions for handling time zones. It defines a `TimeZonePlugin` class that implements the `Plugin` interface from Presto's SPI (Service Provider Interface). The plugin registers several timezone-related functions such as `current_timezone`, `timezone_name`, and `time_zone_offset`. These functions allow users to query information about the current time zone</t>
        </is>
      </c>
      <c r="E1558" t="n">
        <v>0.0037</v>
      </c>
      <c r="F1558" t="n">
        <v>0.0833</v>
      </c>
      <c r="G1558" t="n">
        <v>0.1154</v>
      </c>
      <c r="H1558" t="inlineStr">
        <is>
          <t>This repository contains backend software components implementing core algorithms. The complexity is O(N), indicating linear time complexity, which means the performance increases proportionally with the size of the input data.</t>
        </is>
      </c>
      <c r="I1558" t="n">
        <v>0.008200000000000001</v>
      </c>
      <c r="J1558" t="n">
        <v>0.2051</v>
      </c>
      <c r="K1558" t="n">
        <v>0.3094</v>
      </c>
      <c r="L1558" t="inlineStr">
        <is>
          <t>The provided code defines a plugin that adds timezone-related functions to Presto, a columnar processing engine used for large-scale data analytics. The plugin includes methods to convert between different time zones and extract time zone keys from date-time values. It also provides test utilities for verifying the correctness of these functions using Presto's testing framework. The code size is approximately 1000 lines, and it</t>
        </is>
      </c>
      <c r="M1558" t="n">
        <v>0.0028</v>
      </c>
      <c r="N1558" t="n">
        <v>0.0526</v>
      </c>
      <c r="O1558" t="n">
        <v>0.0735</v>
      </c>
    </row>
    <row r="1559">
      <c r="A1559" t="inlineStr">
        <is>
          <t>presto</t>
        </is>
      </c>
      <c r="B1559" t="inlineStr">
        <is>
          <t>presto-tests/src/test/java/com/facebook/presto/memory/TestClusterMemoryLeakDetector.java</t>
        </is>
      </c>
      <c r="C1559">
        <f>HYPERLINK("https://github.com/prestodb/presto/blob/master/presto-tests/src/test/java/com/facebook/presto/memory/TestClusterMemoryLeakDetector.java")</f>
        <v/>
      </c>
      <c r="D1559" t="inlineStr">
        <is>
          <t>The code defines classes related to memory management in Presto, including `MemoryPool`, which manages memory pools for queries, and `ResourceGroupManager`, which handles resource groups for query execution. The code uses Airflow units for data size and duration measurements and provides basic query information and stats. It also includes comments explaining its purpose and complexity.</t>
        </is>
      </c>
      <c r="E1559" t="n">
        <v>0.0034</v>
      </c>
      <c r="F1559" t="n">
        <v>0.0323</v>
      </c>
      <c r="G1559" t="n">
        <v>0.0794</v>
      </c>
      <c r="H1559" t="inlineStr">
        <is>
          <t>This repository contains backend software components that implement core algorithms. The complexity of the implementation is O(N), indicating linear time complexity. The comments describe the implementation as being focused on core algorithms. The commits indicate that it was initially created. The total size of the codebase is 1000 lines.</t>
        </is>
      </c>
      <c r="I1559" t="n">
        <v>0.0049</v>
      </c>
      <c r="J1559" t="n">
        <v>0.1379</v>
      </c>
      <c r="K1559" t="n">
        <v>0.1653</v>
      </c>
      <c r="L1559" t="inlineStr">
        <is>
          <t>The code provides basic query statistics and state management for Presto's memory system. It includes methods to retrieve query IDs, states, and stats, as well as utility functions for handling resource groups and data sizes. The implementation complexity is O(N), and existing comments indicate that it implements core algorithms related to query execution monitoring.</t>
        </is>
      </c>
      <c r="M1559" t="n">
        <v>0.007900000000000001</v>
      </c>
      <c r="N1559" t="n">
        <v>0.0625</v>
      </c>
      <c r="O1559" t="n">
        <v>0.2505</v>
      </c>
    </row>
    <row r="1560">
      <c r="A1560" t="inlineStr">
        <is>
          <t>presto</t>
        </is>
      </c>
      <c r="B1560" t="inlineStr">
        <is>
          <t>presto-tests/src/test/java/com/facebook/presto/memory/TestMemoryManager.java</t>
        </is>
      </c>
      <c r="C1560">
        <f>HYPERLINK("https://github.com/prestodb/presto/blob/master/presto-tests/src/test/java/com/facebook/presto/memory/TestMemoryManager.java")</f>
        <v/>
      </c>
      <c r="D1560" t="inlineStr">
        <is>
          <t>The provided Java code defines a class `ClusterMemoryPoolInfo` within the package `com.facebook.presto.memory`. This class appears to be part of Presto's memory management system and provides information about cluster-wide memory pools used by queries. The comments indicate that it implements core algorithms related to memory usage monitoring and allocation in a distributed query execution environment. The complexity of the implementation is O(N),</t>
        </is>
      </c>
      <c r="E1560" t="n">
        <v>0.0075</v>
      </c>
      <c r="F1560" t="n">
        <v>0.1067</v>
      </c>
      <c r="G1560" t="n">
        <v>0.2797</v>
      </c>
      <c r="H1560" t="inlineStr">
        <is>
          <t>This repository contains backend software components that implement core algorithms. The complexity of these implementations is O(N), indicating they scale linearly with input size. The code base has been initialized with basic structure and comments explaining its purpose and implementation details.</t>
        </is>
      </c>
      <c r="I1560" t="n">
        <v>0.0064</v>
      </c>
      <c r="J1560" t="n">
        <v>0.2</v>
      </c>
      <c r="K1560" t="n">
        <v>0.2212</v>
      </c>
      <c r="L1560" t="inlineStr">
        <is>
          <t>The provided code implements memory management functionalities within Presto, a columnar processing engine used for big data analytics. It includes classes such as `ClusterMemoryPoolInfo` and methods like `getTotalMemory`, which help manage and monitor memory usage across different queries. The code also involves querying session details and managing query execution statistics using `Session` and `BasicQueryStats`. Overall, it supports efficient resource</t>
        </is>
      </c>
      <c r="M1560" t="n">
        <v>0.0037</v>
      </c>
      <c r="N1560" t="n">
        <v>0.0896</v>
      </c>
      <c r="O1560" t="n">
        <v>0.1145</v>
      </c>
    </row>
    <row r="1561">
      <c r="A1561" t="inlineStr">
        <is>
          <t>presto</t>
        </is>
      </c>
      <c r="B1561" t="inlineStr">
        <is>
          <t>presto-tests/src/test/java/com/facebook/presto/resourcemanager/TestDistributedQueryInfoResource.java</t>
        </is>
      </c>
      <c r="C1561">
        <f>HYPERLINK("https://github.com/prestodb/presto/blob/master/presto-tests/src/test/java/com/facebook/presto/resourcemanager/TestDistributedQueryInfoResource.java")</f>
        <v/>
      </c>
      <c r="D1561" t="inlineStr">
        <is>
          <t>The code provides a resource manager implementation that uses a Jetty HTTP client to interact with Presto servers. It includes classes such as `AllNodes`, `FileResourceGroupConfigurationManagerFactory`, and `QueryStateInfo` to manage node information and query states, respectively. The complexity of the implementation is O(N), where N represents the number of nodes being managed.</t>
        </is>
      </c>
      <c r="E1561" t="n">
        <v>0.0036</v>
      </c>
      <c r="F1561" t="n">
        <v>0.0667</v>
      </c>
      <c r="G1561" t="n">
        <v>0.122</v>
      </c>
      <c r="H1561" t="inlineStr">
        <is>
          <t>Manages Presto resource groups using a configuration manager factory.</t>
        </is>
      </c>
      <c r="I1561" t="n">
        <v>0</v>
      </c>
      <c r="J1561" t="n">
        <v>0</v>
      </c>
      <c r="K1561" t="n">
        <v>0.0617</v>
      </c>
      <c r="L1561" t="inlineStr">
        <is>
          <t>The code provides a setup for a Presto resource manager that includes configuration management for resource groups using a file-based approach, testing infrastructure for querying node states, and uses Jetty as the HTTP client library. It also initializes a test server for integration tests.</t>
        </is>
      </c>
      <c r="M1561" t="n">
        <v>0.0042</v>
      </c>
      <c r="N1561" t="n">
        <v>0.0377</v>
      </c>
      <c r="O1561" t="n">
        <v>0.0862</v>
      </c>
    </row>
    <row r="1562">
      <c r="A1562" t="inlineStr">
        <is>
          <t>presto</t>
        </is>
      </c>
      <c r="B1562" t="inlineStr">
        <is>
          <t>presto-tests/src/test/java/com/facebook/presto/resourcemanager/TestRaftServer.java</t>
        </is>
      </c>
      <c r="C1562">
        <f>HYPERLINK("https://github.com/prestodb/presto/blob/master/presto-tests/src/test/java/com/facebook/presto/resourcemanager/TestRaftServer.java")</f>
        <v/>
      </c>
      <c r="D1562" t="inlineStr">
        <is>
          <t>The provided Java code defines a class `ResourceManager` that manages resource allocation within a Presto cluster. It uses Jetty HTTP client for network communication and includes methods to interact with nodes, manage resource groups using a configuration manager factory, and run tests using a testing Presto server. The complexity is O(N) due to potential operations involving node management and resource group configurations.</t>
        </is>
      </c>
      <c r="E1562" t="n">
        <v>0.0029</v>
      </c>
      <c r="F1562" t="n">
        <v>0.0282</v>
      </c>
      <c r="G1562" t="n">
        <v>0.0746</v>
      </c>
      <c r="H1562" t="inlineStr">
        <is>
          <t>The code implements a complex algorithm for resource management within Presto, including configuration management, node communication, and testing infrastructure. It uses Jetty HTTP client for network operations and Google Cloud services for additional functionalities. The complexity is high due to its extensive features and dependencies.</t>
        </is>
      </c>
      <c r="I1562" t="n">
        <v>0.0049</v>
      </c>
      <c r="J1562" t="n">
        <v>0.1132</v>
      </c>
      <c r="K1562" t="n">
        <v>0.1282</v>
      </c>
      <c r="L1562" t="inlineStr">
        <is>
          <t>This Java code defines a class `ResourceManager` within the `com.facebook.presto.resourcemanager` package. It provides methods to manage resource groups using a configuration manager factory from the Airflow library. The class uses a Jetty HTTP client for network communication and interacts with Presto servers through testing environments. The implementation includes basic setup for testing purposes, such as creating a test Presto server and</t>
        </is>
      </c>
      <c r="M1562" t="n">
        <v>0.0036</v>
      </c>
      <c r="N1562" t="n">
        <v>0.0833</v>
      </c>
      <c r="O1562" t="n">
        <v>0.1504</v>
      </c>
    </row>
    <row r="1563">
      <c r="A1563" t="inlineStr">
        <is>
          <t>presto</t>
        </is>
      </c>
      <c r="B1563" t="inlineStr">
        <is>
          <t>presto-tests/src/test/java/com/facebook/presto/resourcemanager/TestDistributedQueryResource.java</t>
        </is>
      </c>
      <c r="C1563">
        <f>HYPERLINK("https://github.com/prestodb/presto/blob/master/presto-tests/src/test/java/com/facebook/presto/resourcemanager/TestDistributedQueryResource.java")</f>
        <v/>
      </c>
      <c r="D1563" t="inlineStr">
        <is>
          <t>The code provides a Java implementation of a resource manager for Presto, which manages queries and resources efficiently. It includes classes such as `BasicQueryInfo`, `TestingPrestoServer`, and `FileResourceGroupConfigurationManagerFactory`. The code uses Jetty HTTP client for communication and handles query states effectively.</t>
        </is>
      </c>
      <c r="E1563" t="n">
        <v>0.0046</v>
      </c>
      <c r="F1563" t="n">
        <v>0.0833</v>
      </c>
      <c r="G1563" t="n">
        <v>0.1339</v>
      </c>
      <c r="H1563" t="inlineStr">
        <is>
          <t>Manages Presto resource groups using a configuration manager factory.</t>
        </is>
      </c>
      <c r="I1563" t="n">
        <v>0</v>
      </c>
      <c r="J1563" t="n">
        <v>0</v>
      </c>
      <c r="K1563" t="n">
        <v>0.0617</v>
      </c>
      <c r="L1563" t="inlineStr">
        <is>
          <t>This Java code defines a class `ResourceManager` within the `com.facebook.presto.resourcemanager` package. It initializes a Presto server using Jetty as the HTTP client and manages resource groups based on configurations from a file. The class includes methods to start the server, handle query states, and manage basic query information.</t>
        </is>
      </c>
      <c r="M1563" t="n">
        <v>0.0045</v>
      </c>
      <c r="N1563" t="n">
        <v>0.0678</v>
      </c>
      <c r="O1563" t="n">
        <v>0.125</v>
      </c>
    </row>
    <row r="1564">
      <c r="A1564" t="inlineStr">
        <is>
          <t>presto</t>
        </is>
      </c>
      <c r="B1564" t="inlineStr">
        <is>
          <t>presto-tests/src/test/java/com/facebook/presto/resourcemanager/TestDistributedClusterStatsResource.java</t>
        </is>
      </c>
      <c r="C1564">
        <f>HYPERLINK("https://github.com/prestodb/presto/blob/master/presto-tests/src/test/java/com/facebook/presto/resourcemanager/TestDistributedClusterStatsResource.java")</f>
        <v/>
      </c>
      <c r="D1564" t="inlineStr">
        <is>
          <t>The code defines a class `ResourceManager` that manages resource groups for Presto queries. It uses a Jetty HTTP client to communicate with other services within the system. The class provides methods to retrieve runtime information about resource groups and nodes, as well as manage query states. The complexity of the implementation is O(N), where N represents the number of resources being managed.</t>
        </is>
      </c>
      <c r="E1564" t="n">
        <v>0.0029</v>
      </c>
      <c r="F1564" t="n">
        <v>0.0282</v>
      </c>
      <c r="G1564" t="n">
        <v>0.1119</v>
      </c>
      <c r="H1564" t="inlineStr">
        <is>
          <t>Manages resource groups and queries in Presto, using HTTP client for communication. Complexity is O(N) due to potential processing of large datasets.</t>
        </is>
      </c>
      <c r="I1564" t="n">
        <v>0.008699999999999999</v>
      </c>
      <c r="J1564" t="n">
        <v>0.0645</v>
      </c>
      <c r="K1564" t="n">
        <v>0.1064</v>
      </c>
      <c r="L1564" t="inlineStr">
        <is>
          <t>This Java class provides a resource management system within Presto, using Jetty HTTP client to interact with external resources. It includes methods to fetch query states, retrieve resource group runtime information, and manage all nodes in the cluster. The implementation complexity is O(N), as it processes data related to queries, resource groups, and node lists.</t>
        </is>
      </c>
      <c r="M1564" t="n">
        <v>0.004</v>
      </c>
      <c r="N1564" t="n">
        <v>0.09379999999999999</v>
      </c>
      <c r="O1564" t="n">
        <v>0.1575</v>
      </c>
    </row>
    <row r="1565">
      <c r="A1565" t="inlineStr">
        <is>
          <t>presto</t>
        </is>
      </c>
      <c r="B1565" t="inlineStr">
        <is>
          <t>presto-tests/src/test/java/com/facebook/presto/resourcemanager/TestDistributedResourceGroupInfoResource.java</t>
        </is>
      </c>
      <c r="C1565">
        <f>HYPERLINK("https://github.com/prestodb/presto/blob/master/presto-tests/src/test/java/com/facebook/presto/resourcemanager/TestDistributedResourceGroupInfoResource.java")</f>
        <v/>
      </c>
      <c r="D1565" t="inlineStr">
        <is>
          <t>The code provides a resource group management system for Presto, using Jetty HTTP client for communication and JSON codec for data serialization/deserialization. It includes classes such as `FileResourceGroupConfigurationManagerFactory` for managing configuration files, `AllNodes`, and `ResourceGroupInfo`. The complexity is O(N) due to potential operations involving node lists.</t>
        </is>
      </c>
      <c r="E1565" t="n">
        <v>0.004</v>
      </c>
      <c r="F1565" t="n">
        <v>0.0357</v>
      </c>
      <c r="G1565" t="n">
        <v>0.0847</v>
      </c>
      <c r="H1565" t="inlineStr">
        <is>
          <t>Manages resource groups in Presto using Jetty HTTP client and JSON codec. Complexity is O(N) due to potential processing of multiple nodes.</t>
        </is>
      </c>
      <c r="I1565" t="n">
        <v>0.008699999999999999</v>
      </c>
      <c r="J1565" t="n">
        <v>0.0645</v>
      </c>
      <c r="K1565" t="n">
        <v>0.1064</v>
      </c>
      <c r="L1565" t="inlineStr">
        <is>
          <t>The code implements a resource group configuration manager factory that uses a Jetty HTTP client to fetch resource group configurations from a specified URL. It handles JSON responses using Airflow's `JsonCodec` and processes them to create instances of `ResourceGroupInfo`. The implementation includes error handling for unexpected response exceptions.</t>
        </is>
      </c>
      <c r="M1565" t="n">
        <v>0.0045</v>
      </c>
      <c r="N1565" t="n">
        <v>0.0702</v>
      </c>
      <c r="O1565" t="n">
        <v>0.125</v>
      </c>
    </row>
    <row r="1566">
      <c r="A1566" t="inlineStr">
        <is>
          <t>presto</t>
        </is>
      </c>
      <c r="B1566" t="inlineStr">
        <is>
          <t>presto-tests/src/test/java/com/facebook/presto/resourcemanager/TestDistributedTaskInfoResource.java</t>
        </is>
      </c>
      <c r="C1566">
        <f>HYPERLINK("https://github.com/prestodb/presto/blob/master/presto-tests/src/test/java/com/facebook/presto/resourcemanager/TestDistributedTaskInfoResource.java")</f>
        <v/>
      </c>
      <c r="D1566" t="inlineStr">
        <is>
          <t>The code defines a class `ResourceManager` that manages resource groups in Presto, which is a distributed SQL query engine. It uses an HTTP client to communicate with other services within the system. The class provides methods to retrieve information about tasks and resource groups, as well as to manage resources dynamically based on usage patterns. The complexity of the implementation is O(N), where N represents the number of operations</t>
        </is>
      </c>
      <c r="E1566" t="n">
        <v>0.0026</v>
      </c>
      <c r="F1566" t="n">
        <v>0.0256</v>
      </c>
      <c r="G1566" t="n">
        <v>0.1064</v>
      </c>
      <c r="H1566" t="inlineStr">
        <is>
          <t>The code implements core algorithms for resource management in Presto, using Java libraries such as Airflow HTTP client and Jetty. It includes classes like `TaskId`, `TaskInfo`, and `ResourceGroupRuntimeInfo` for managing tasks and resources within the Presto system. The complexity is high due to its extensive implementation of various algorithms necessary for efficient resource allocation and scheduling.</t>
        </is>
      </c>
      <c r="I1566" t="n">
        <v>0.0076</v>
      </c>
      <c r="J1566" t="n">
        <v>0.09379999999999999</v>
      </c>
      <c r="K1566" t="n">
        <v>0.2466</v>
      </c>
      <c r="L1566" t="inlineStr">
        <is>
          <t>The code provides a resource management system within Presto, which includes functionalities such as retrieving task information and resource group runtime details using HTTP requests. It uses a Jetty-based HttpClient to make these requests and handles potential exceptions that might occur during network communication. The code is designed to be efficient with a time complexity of O(N), where N represents the number of tasks being processed.</t>
        </is>
      </c>
      <c r="M1566" t="n">
        <v>0.0028</v>
      </c>
      <c r="N1566" t="n">
        <v>0.0526</v>
      </c>
      <c r="O1566" t="n">
        <v>0.0725</v>
      </c>
    </row>
    <row r="1567">
      <c r="A1567" t="inlineStr">
        <is>
          <t>presto</t>
        </is>
      </c>
      <c r="B1567" t="inlineStr">
        <is>
          <t>presto-tests/src/test/java/com/facebook/presto/connector/informationschema/BenchmarkInformationSchema.java</t>
        </is>
      </c>
      <c r="C1567">
        <f>HYPERLINK("https://github.com/prestodb/presto/blob/master/presto-tests/src/test/java/com/facebook/presto/connector/informationschema/BenchmarkInformationSchema.java")</f>
        <v/>
      </c>
      <c r="D1567" t="inlineStr">
        <is>
          <t>The provided code defines a plugin for Presto that implements support for the Informix Information Schema connector. It includes classes such as `MockConnectorFactory`, which provides mock implementations of connectors, and `InformixInformationSchemaPlugin`, which extends the base `Plugin` class to register the connector factory. The complexity of the implementation is O(1) since it involves basic operations like registering a connector factory.</t>
        </is>
      </c>
      <c r="E1567" t="n">
        <v>0.0037</v>
      </c>
      <c r="F1567" t="n">
        <v>0.0588</v>
      </c>
      <c r="G1567" t="n">
        <v>0.07630000000000001</v>
      </c>
      <c r="H1567" t="inlineStr">
        <is>
          <t>The code provides a plugin implementation for Presto that includes a mock connector factory for testing purposes. It also contains basic infrastructure for managing session and table handles within the Presto framework. The complexity is high due to its extensive setup and integration into Presto's architecture.</t>
        </is>
      </c>
      <c r="I1567" t="n">
        <v>0.004</v>
      </c>
      <c r="J1567" t="n">
        <v>0.0727</v>
      </c>
      <c r="K1567" t="n">
        <v>0.0847</v>
      </c>
      <c r="L1567" t="inlineStr">
        <is>
          <t>The provided code defines a mock connector factory for Presto's Informations Schema plugin, which simulates the behavior of retrieving metadata about tables from a database without actually connecting to any data sources. The factory creates mock table handles based on session parameters and schema names, allowing tests to verify how the plugin interacts with different schemas and sessions.</t>
        </is>
      </c>
      <c r="M1567" t="n">
        <v>0.0031</v>
      </c>
      <c r="N1567" t="n">
        <v>0.0299</v>
      </c>
      <c r="O1567" t="n">
        <v>0.0385</v>
      </c>
    </row>
    <row r="1568">
      <c r="A1568" t="inlineStr">
        <is>
          <t>retrofit</t>
        </is>
      </c>
      <c r="B1568" t="inlineStr">
        <is>
          <t>retrofit/robovm-test/src/main/java/retrofit2/RoboVmPlatformTest.java</t>
        </is>
      </c>
      <c r="C1568">
        <f>HYPERLINK("https://github.com/square/retrofit/blob/master/retrofit/robovm-test/src/main/java/retrofit2/RoboVmPlatformTest.java")</f>
        <v/>
      </c>
      <c r="D1568" t="inlineStr">
        <is>
          <t>The provided Java code defines a test case for the `RoboVmPlatform` class within the Retrofit library. The test creates a new instance of Retrofit using a custom call factory that always throws an assertion error. It then checks if there are more than one adapter factories available after building the Retrofit instance. If so, it prints out the size of the adapter factories list. This setup is intended to verify</t>
        </is>
      </c>
      <c r="E1568" t="n">
        <v>0.0026</v>
      </c>
      <c r="F1568" t="n">
        <v>0.0256</v>
      </c>
      <c r="G1568" t="n">
        <v>0.0704</v>
      </c>
      <c r="H1568" t="inlineStr">
        <is>
          <t>The repository contains backend software components that implement core algorithms. The complexity of the implementation is O(N), indicating linear time complexity. The comments describe the implementation as providing core algorithm implementations. The commits include an initial codebase commit. The total size of the codebase is 1000 lines.</t>
        </is>
      </c>
      <c r="I1568" t="n">
        <v>0.0046</v>
      </c>
      <c r="J1568" t="n">
        <v>0.1071</v>
      </c>
      <c r="K1568" t="n">
        <v>0.1261</v>
      </c>
      <c r="L1568" t="inlineStr">
        <is>
          <t>This Java test class uses Retrofit to create a mock `Retrofit` instance with a custom call factory that always throws an assertion error. The test checks whether the number of available call adapter factories exceeds one, which should be false given the custom implementation.</t>
        </is>
      </c>
      <c r="M1568" t="n">
        <v>0.0042</v>
      </c>
      <c r="N1568" t="n">
        <v>0.0769</v>
      </c>
      <c r="O1568" t="n">
        <v>0.0862</v>
      </c>
    </row>
    <row r="1569">
      <c r="A1569" t="inlineStr">
        <is>
          <t>retrofit</t>
        </is>
      </c>
      <c r="B1569" t="inlineStr">
        <is>
          <t>retrofit/android-test/src/androidTest/java/retrofit2/BasicCallTest.java</t>
        </is>
      </c>
      <c r="C1569">
        <f>HYPERLINK("https://github.com/square/retrofit/blob/master/retrofit/android-test/src/androidTest/java/retrofit2/BasicCallTest.java")</f>
        <v/>
      </c>
      <c r="D1569" t="inlineStr">
        <is>
          <t>The provided code is part of a Java project that uses Retrofit to make HTTP requests and test them using OkHttp's mock web server. The `BasicCallTest` class tests basic call functionalities such as GET requests. It sets up a mock web server, defines an API interface with a single method annotated with `@GET`, and then makes a request to the mocked endpoint. The response from the server</t>
        </is>
      </c>
      <c r="E1569" t="n">
        <v>0.0027</v>
      </c>
      <c r="F1569" t="n">
        <v>0.0526</v>
      </c>
      <c r="G1569" t="n">
        <v>0.07190000000000001</v>
      </c>
      <c r="H1569" t="inlineStr">
        <is>
          <t>The repository contains backend software components that implement core algorithms. The complexity of these implementations is O(N), indicating linear time complexity. The code size is 1000 lines, making it relatively large but focused on providing efficient algorithmic solutions.</t>
        </is>
      </c>
      <c r="I1569" t="n">
        <v>0.0058</v>
      </c>
      <c r="J1569" t="n">
        <v>0.1277</v>
      </c>
      <c r="K1569" t="n">
        <v>0.1364</v>
      </c>
      <c r="L1569" t="inlineStr">
        <is>
          <t>The `BasicCallTest` class tests basic HTTP calls using Retrofit and OkHttp's mock web server. It includes a test method that sets up a mock response, makes a GET request, and verifies the response body against expected values. The test uses JUnit annotations and assertions from the Google Truth library.</t>
        </is>
      </c>
      <c r="M1569" t="n">
        <v>0.0037</v>
      </c>
      <c r="N1569" t="n">
        <v>0.0345</v>
      </c>
      <c r="O1569" t="n">
        <v>0.08260000000000001</v>
      </c>
    </row>
    <row r="1570">
      <c r="A1570" t="inlineStr">
        <is>
          <t>retrofit</t>
        </is>
      </c>
      <c r="B1570" t="inlineStr">
        <is>
          <t>retrofit/android-test/src/androidTest/java/retrofit2/OptionalConverterFactoryAndroidTest.java</t>
        </is>
      </c>
      <c r="C1570">
        <f>HYPERLINK("https://github.com/square/retrofit/blob/master/retrofit/android-test/src/androidTest/java/retrofit2/OptionalConverterFactoryAndroidTest.java")</f>
        <v/>
      </c>
      <c r="D1570" t="inlineStr">
        <is>
          <t>The provided code appears to be part of a Java project that uses Retrofit for making HTTP requests and OkHttp for mocking responses. It includes tests using JUnit and Truth to verify the behavior of the `ObjectInstanceConverterFactory`. The code also references Google's Guava library for truth assertions and AndroidX Test libraries for testing purposes. The complexity of the implementation is O(N), indicating it might involve iterating over</t>
        </is>
      </c>
      <c r="E1570" t="n">
        <v>0.0027</v>
      </c>
      <c r="F1570" t="n">
        <v>0.026</v>
      </c>
      <c r="G1570" t="n">
        <v>0.1079</v>
      </c>
      <c r="H1570" t="inlineStr">
        <is>
          <t>The code implements core algorithms for a backend software component. It includes comments explaining the implementation details and complexity analysis. The README provides information about the repository's contents and structure.</t>
        </is>
      </c>
      <c r="I1570" t="n">
        <v>0.0157</v>
      </c>
      <c r="J1570" t="n">
        <v>0.1538</v>
      </c>
      <c r="K1570" t="n">
        <v>0.3094</v>
      </c>
      <c r="L1570" t="inlineStr">
        <is>
          <t>This Java code snippet appears to be part of a Retrofit library used for making HTTP requests. It includes tests that verify the functionality of `ObjectInstanceConverterFactory`, which allows Retrofit clients to handle objects as instances rather than JSON strings. The tests use a mock web server to simulate API responses and assert expected outcomes using Google Truth assertions.</t>
        </is>
      </c>
      <c r="M1570" t="n">
        <v>0.0041</v>
      </c>
      <c r="N1570" t="n">
        <v>0.09089999999999999</v>
      </c>
      <c r="O1570" t="n">
        <v>0.1154</v>
      </c>
    </row>
    <row r="1571">
      <c r="A1571" t="inlineStr">
        <is>
          <t>retrofit</t>
        </is>
      </c>
      <c r="B1571" t="inlineStr">
        <is>
          <t>retrofit/android-test/src/androidTest/java/retrofit2/CompletableFutureAndroidTest.java</t>
        </is>
      </c>
      <c r="C1571">
        <f>HYPERLINK("https://github.com/square/retrofit/blob/master/retrofit/android-test/src/androidTest/java/retrofit2/CompletableFutureAndroidTest.java")</f>
        <v/>
      </c>
      <c r="D1571" t="inlineStr">
        <is>
          <t>The provided code appears to be part of a Retrofit library used for making HTTP requests in Android applications. It includes tests using Mockito and OkHttp MockWebServer to verify the functionality of Retrofit's `@GET` annotation. The code uses Google Truth for assertions and is written in Java.</t>
        </is>
      </c>
      <c r="E1571" t="n">
        <v>0.0046</v>
      </c>
      <c r="F1571" t="n">
        <v>0.07140000000000001</v>
      </c>
      <c r="G1571" t="n">
        <v>0.08400000000000001</v>
      </c>
      <c r="H1571" t="inlineStr">
        <is>
          <t>The repository contains backend software components implementing core algorithms. The complexity is O(N), indicating linear time complexity. The comments describe the implementation of these algorithms. There have been multiple commits since the initial codebase commit. The total size of the codebase is 1000 lines.</t>
        </is>
      </c>
      <c r="I1571" t="n">
        <v>0.005</v>
      </c>
      <c r="J1571" t="n">
        <v>0.1132</v>
      </c>
      <c r="K1571" t="n">
        <v>0.1293</v>
      </c>
      <c r="L1571" t="inlineStr">
        <is>
          <t>This Java code snippet defines a test suite for Retrofit2 using JUnit and OkHttp MockWebServer. It includes tests for various HTTP methods such as GET, POST, PUT, DELETE, etc., ensuring that the library correctly handles different request types and responses. The tests utilize `CompletableFuture` for asynchronous testing and verify the correctness of the generated JSON representations using Google Truth assertions.</t>
        </is>
      </c>
      <c r="M1571" t="n">
        <v>0.0036</v>
      </c>
      <c r="N1571" t="n">
        <v>0.0588</v>
      </c>
      <c r="O1571" t="n">
        <v>0.1136</v>
      </c>
    </row>
    <row r="1572">
      <c r="A1572" t="inlineStr">
        <is>
          <t>retrofit</t>
        </is>
      </c>
      <c r="B1572" t="inlineStr">
        <is>
          <t>retrofit/android-test/src/androidTest/java/retrofit2/UriAndroidTest.java</t>
        </is>
      </c>
      <c r="C1572">
        <f>HYPERLINK("https://github.com/square/retrofit/blob/master/retrofit/android-test/src/androidTest/java/retrofit2/UriAndroidTest.java")</f>
        <v/>
      </c>
      <c r="D1572" t="inlineStr">
        <is>
          <t>The provided code appears to be part of a Java project that uses Retrofit for making HTTP requests and OkHttp for handling network operations. The code includes:
1. A package declaration for `retrofit2`.
2. An import statement from Google Truth for assertions.
3. A comment block describing copyright information and licensing terms.
4. A class named `RetrofitExample` which seems to be the</t>
        </is>
      </c>
      <c r="E1572" t="n">
        <v>0.0029</v>
      </c>
      <c r="F1572" t="n">
        <v>0.0286</v>
      </c>
      <c r="G1572" t="n">
        <v>0.0746</v>
      </c>
      <c r="H1572" t="inlineStr">
        <is>
          <t>The code implements core algorithms for a backend system. It includes comments explaining its implementation and complexity, as well as a README describing its purpose. The code size is large, indicating that it involves multiple functionalities.</t>
        </is>
      </c>
      <c r="I1572" t="n">
        <v>0.0121</v>
      </c>
      <c r="J1572" t="n">
        <v>0.1364</v>
      </c>
      <c r="K1572" t="n">
        <v>0.2366</v>
      </c>
      <c r="L1572" t="inlineStr">
        <is>
          <t>This Java class defines a Retrofit service interface that includes a single method annotated with `@GET`. The method takes a URL as input and returns a response body. It uses OkHttp's MockWebServer for testing purposes, allowing developers to simulate HTTP responses without making actual network requests. The class also includes JUnit tests using Truth to verify the correctness of the service methods.</t>
        </is>
      </c>
      <c r="M1572" t="n">
        <v>0.0035</v>
      </c>
      <c r="N1572" t="n">
        <v>0.0563</v>
      </c>
      <c r="O1572" t="n">
        <v>0.1119</v>
      </c>
    </row>
    <row r="1573">
      <c r="A1573" t="inlineStr">
        <is>
          <t>retrofit</t>
        </is>
      </c>
      <c r="B1573" t="inlineStr">
        <is>
          <t>retrofit/android-test/src/androidTest/java/retrofit2/DefaultMethodsAndroidTest.java</t>
        </is>
      </c>
      <c r="C1573">
        <f>HYPERLINK("https://github.com/square/retrofit/blob/master/retrofit/android-test/src/androidTest/java/retrofit2/DefaultMethodsAndroidTest.java")</f>
        <v/>
      </c>
      <c r="D1573" t="inlineStr">
        <is>
          <t>The provided code appears to be part of a Java project that uses Retrofit, a popular HTTP client library for Android and Java applications. The code includes:
1. **Imports**: It imports necessary classes from libraries such as Google Truth for assertions, JUnit for testing, OkHttp's MockWebServer for mocking network requests, and other utilities.
2. **Package Declaration**: The package `retrofit</t>
        </is>
      </c>
      <c r="E1573" t="n">
        <v>0.0031</v>
      </c>
      <c r="F1573" t="n">
        <v>0.0294</v>
      </c>
      <c r="G1573" t="n">
        <v>0.07630000000000001</v>
      </c>
      <c r="H1573" t="inlineStr">
        <is>
          <t>The code implements core algorithms for a backend system. It includes comments explaining its implementation and complexity analysis. The README provides information about the repository's purpose and structure.</t>
        </is>
      </c>
      <c r="I1573" t="n">
        <v>0.0157</v>
      </c>
      <c r="J1573" t="n">
        <v>0.1622</v>
      </c>
      <c r="K1573" t="n">
        <v>0.2556</v>
      </c>
      <c r="L1573" t="inlineStr">
        <is>
          <t>This Java code snippet defines a test class for Retrofit2 using JUnit and Mockito frameworks. It includes tests for making HTTP GET requests and verifying responses from a mock web server. The `@Test` annotation marks methods that contain test cases, while `@Rule` is used to define a rule for managing the lifecycle of the MockWebServer instance during testing. The `MockResponse` class is utilized</t>
        </is>
      </c>
      <c r="M1573" t="n">
        <v>0.0034</v>
      </c>
      <c r="N1573" t="n">
        <v>0.0563</v>
      </c>
      <c r="O1573" t="n">
        <v>0.1111</v>
      </c>
    </row>
    <row r="1574">
      <c r="A1574" t="inlineStr">
        <is>
          <t>retrofit</t>
        </is>
      </c>
      <c r="B1574" t="inlineStr">
        <is>
          <t>retrofit/test-helpers/src/main/java/retrofit2/TestingUtils.java</t>
        </is>
      </c>
      <c r="C1574">
        <f>HYPERLINK("https://github.com/square/retrofit/blob/master/retrofit/test-helpers/src/main/java/retrofit2/TestingUtils.java")</f>
        <v/>
      </c>
      <c r="D1574" t="inlineStr">
        <is>
          <t>The provided Java code defines a utility class `TestingUtils` within the package `retrofit2`. This class includes a method `buildRequest` that takes several parameters:
1. A generic type parameter `T`, representing the interface being tested.
2. A `Retrofit.Builder` object used to configure the Retrofit instance.
3. An array of objects (`args`) which represent the arguments needed</t>
        </is>
      </c>
      <c r="E1574" t="n">
        <v>0.0033</v>
      </c>
      <c r="F1574" t="n">
        <v>0.0312</v>
      </c>
      <c r="G1574" t="n">
        <v>0.07870000000000001</v>
      </c>
      <c r="H1574" t="inlineStr">
        <is>
          <t>This repository contains backend software components that implement core algorithms. The complexity of these implementations is O(N), indicating linear time complexity. The comments provide details about the implementation's purpose and functionality. The commits include an initial codebase commit. The total size of the codebase is 1000 lines.</t>
        </is>
      </c>
      <c r="I1574" t="n">
        <v>0.0055</v>
      </c>
      <c r="J1574" t="n">
        <v>0.1754</v>
      </c>
      <c r="K1574" t="n">
        <v>0.2101</v>
      </c>
      <c r="L1574" t="inlineStr">
        <is>
          <t>The `TestingUtils` class provides a method `buildRequest` that constructs an HTTP request using Retrofit's `Retrofit.Builder`. It takes a service interface class, a Retrofit builder instance, and any number of arguments representing parameters for the API endpoint. The method returns an `okhttp3.Request`, which can be used to make network requests.</t>
        </is>
      </c>
      <c r="M1574" t="n">
        <v>0.0037</v>
      </c>
      <c r="N1574" t="n">
        <v>0.0333</v>
      </c>
      <c r="O1574" t="n">
        <v>0.08260000000000001</v>
      </c>
    </row>
    <row r="1575">
      <c r="A1575" t="inlineStr">
        <is>
          <t>retrofit</t>
        </is>
      </c>
      <c r="B1575" t="inlineStr">
        <is>
          <t>retrofit/test-helpers/src/main/java/retrofit2/helpers/ObjectInstanceConverterFactory.java</t>
        </is>
      </c>
      <c r="C1575">
        <f>HYPERLINK("https://github.com/square/retrofit/blob/master/retrofit/test-helpers/src/main/java/retrofit2/helpers/ObjectInstanceConverterFactory.java")</f>
        <v/>
      </c>
      <c r="D1575" t="inlineStr">
        <is>
          <t>The `ObjectInstanceConverterFactory` class provides a simple converter factory that always returns a singleton instance (`VALUE`) regardless of the input response body type. It does not perform any actual conversion but simply wraps the value in a converter interface. This can be useful when certain endpoints consistently return the same object structure without needing complex data processing. The complexity of this implementation is O(1), as it involves constant-time</t>
        </is>
      </c>
      <c r="E1575" t="n">
        <v>0.0027</v>
      </c>
      <c r="F1575" t="n">
        <v>0.0519</v>
      </c>
      <c r="G1575" t="n">
        <v>0.1079</v>
      </c>
      <c r="H1575" t="inlineStr">
        <is>
          <t>The repository contains backend software components that implement core algorithms. The complexity is O(N), indicating linear time complexity, and comments describe the implementation details. The commits include an initial codebase commit. The total size of the codebase is 1000 lines.</t>
        </is>
      </c>
      <c r="I1575" t="n">
        <v>0.0061</v>
      </c>
      <c r="J1575" t="n">
        <v>0.1633</v>
      </c>
      <c r="K1575" t="n">
        <v>0.1786</v>
      </c>
      <c r="L1575" t="inlineStr">
        <is>
          <t>This Retrofit converter factory returns a constant object instance regardless of the input response body type, which simplifies handling responses that don't require deserialization.</t>
        </is>
      </c>
      <c r="M1575" t="n">
        <v>0.007900000000000001</v>
      </c>
      <c r="N1575" t="n">
        <v>0.0606</v>
      </c>
      <c r="O1575" t="n">
        <v>0.0521</v>
      </c>
    </row>
    <row r="1576">
      <c r="A1576" t="inlineStr">
        <is>
          <t>retrofit</t>
        </is>
      </c>
      <c r="B1576" t="inlineStr">
        <is>
          <t>retrofit/test-helpers/src/main/java/retrofit2/helpers/NonMatchingConverterFactory.java</t>
        </is>
      </c>
      <c r="C1576">
        <f>HYPERLINK("https://github.com/square/retrofit/blob/master/retrofit/test-helpers/src/main/java/retrofit2/helpers/NonMatchingConverterFactory.java")</f>
        <v/>
      </c>
      <c r="D1576" t="inlineStr">
        <is>
          <t>The provided Java code defines a custom `Converter.Factory` named `NonMatchingConverterFactory`. This factory is designed to handle HTTP responses that do not match any known response types defined in Retrofit's converters. The class includes a method `called` which tracks whether the converter has been used during conversion attempts. It also implements the `Converter.Factory` interface, allowing it to be registered with Retrofit instances to process incoming</t>
        </is>
      </c>
      <c r="E1576" t="n">
        <v>0.0034</v>
      </c>
      <c r="F1576" t="n">
        <v>0.0533</v>
      </c>
      <c r="G1576" t="n">
        <v>0.1103</v>
      </c>
      <c r="H1576" t="inlineStr">
        <is>
          <t>This repository contains backend software components implementing core algorithms. The complexity is O(N), indicating linear time complexity in relation to input size N. Comments describe the implementation of these algorithms, while commits track the initial creation of the codebase. The total code size is 1000 lines.</t>
        </is>
      </c>
      <c r="I1576" t="n">
        <v>0.0053</v>
      </c>
      <c r="J1576" t="n">
        <v>0.1455</v>
      </c>
      <c r="K1576" t="n">
        <v>0.1695</v>
      </c>
      <c r="L1576" t="inlineStr">
        <is>
          <t>This code defines a custom `Converter.Factory` named `NonMatchingConverterFactory`. It provides a method to create converters that handle responses where the response body type does not match the expected request body type. The factory uses annotations and reflection to determine if there's a matching converter available. If no matching converter is found, it returns null.</t>
        </is>
      </c>
      <c r="M1576" t="n">
        <v>0.004</v>
      </c>
      <c r="N1576" t="n">
        <v>0.0625</v>
      </c>
      <c r="O1576" t="n">
        <v>0.119</v>
      </c>
    </row>
    <row r="1577">
      <c r="A1577" t="inlineStr">
        <is>
          <t>retrofit</t>
        </is>
      </c>
      <c r="B1577" t="inlineStr">
        <is>
          <t>retrofit/test-helpers/src/main/java/retrofit2/helpers/ExampleWithoutParameterNames.java</t>
        </is>
      </c>
      <c r="C1577">
        <f>HYPERLINK("https://github.com/square/retrofit/blob/master/retrofit/test-helpers/src/main/java/retrofit2/helpers/ExampleWithoutParameterNames.java")</f>
        <v/>
      </c>
      <c r="D1577" t="inlineStr">
        <is>
          <t>The provided Java code defines a Retrofit service interface named `ExampleWithoutParameterNames`. It includes one HTTP GET endpoint that takes a single string parameter (`theFirstParameter`) and returns a `Call` object wrapping an `ResponseBody`. The interface is annotated with `@GET("/")`, indicating that it maps to the root URL path. The implementation does not include any parameter names within the generated bytecode, as specified</t>
        </is>
      </c>
      <c r="E1577" t="n">
        <v>0.003</v>
      </c>
      <c r="F1577" t="n">
        <v>0.029</v>
      </c>
      <c r="G1577" t="n">
        <v>0.1128</v>
      </c>
      <c r="H1577" t="inlineStr">
        <is>
          <t>The provided code defines an interface `ExampleWithoutParameterNames` from the Retrofit library that includes a single HTTP GET request endpoint `/`. The method `method` takes a string parameter named `theFirstParameter`, but it does not include any parameter names in the generated bytecode due to compilation settings. The README describes this as part of a larger backend software component with complexity O(N), indicating potential operations proportional to</t>
        </is>
      </c>
      <c r="I1577" t="n">
        <v>0.0028</v>
      </c>
      <c r="J1577" t="n">
        <v>0.0548</v>
      </c>
      <c r="K1577" t="n">
        <v>0.1095</v>
      </c>
      <c r="L1577" t="inlineStr">
        <is>
          <t>This Java interface defines a Retrofit service endpoint that makes HTTP GET requests to the root URL (`/`) and returns a `ResponseBody`. The method takes one string parameter named `theFirstParameter`, which is used as part of the request path. The implementation is designed to be compiled without embedding parameter names in the generated bytecode, enhancing security and reducing potential vulnerabilities related to reflection attacks.</t>
        </is>
      </c>
      <c r="M1577" t="n">
        <v>0.0034</v>
      </c>
      <c r="N1577" t="n">
        <v>0.08450000000000001</v>
      </c>
      <c r="O1577" t="n">
        <v>0.1471</v>
      </c>
    </row>
    <row r="1578">
      <c r="A1578" t="inlineStr">
        <is>
          <t>retrofit</t>
        </is>
      </c>
      <c r="B1578" t="inlineStr">
        <is>
          <t>retrofit/test-helpers/src/main/java/retrofit2/helpers/NullObjectConverterFactory.java</t>
        </is>
      </c>
      <c r="C1578">
        <f>HYPERLINK("https://github.com/square/retrofit/blob/master/retrofit/test-helpers/src/main/java/retrofit2/helpers/NullObjectConverterFactory.java")</f>
        <v/>
      </c>
      <c r="D1578" t="inlineStr">
        <is>
          <t>The provided Java code defines a custom `NullObjectConverterFactory` that implements the `Converter.Factory` interface from the Retrofit library. This factory always returns `null` when converting objects to strings using Retrofit's converter mechanism. The implementation includes comments explaining its purpose and usage within the context of Retrofit's conversion process.</t>
        </is>
      </c>
      <c r="E1578" t="n">
        <v>0.0051</v>
      </c>
      <c r="F1578" t="n">
        <v>0.1034</v>
      </c>
      <c r="G1578" t="n">
        <v>0.1681</v>
      </c>
      <c r="H1578" t="inlineStr">
        <is>
          <t>This repository contains backend software components implementing core algorithms. The complexity is O(N), indicating linear time complexity for certain operations. Comments describe the implementation details, and commits include an initial codebase commit. The total size of the codebase is 1000 lines.</t>
        </is>
      </c>
      <c r="I1578" t="n">
        <v>0.0064</v>
      </c>
      <c r="J1578" t="n">
        <v>0.2</v>
      </c>
      <c r="K1578" t="n">
        <v>0.2212</v>
      </c>
      <c r="L1578" t="inlineStr">
        <is>
          <t>This `NullObjectConverterFactory` always returns `null`, regardless of the input data type or annotation. It's designed as a placeholder converter that can be used when no actual conversion is needed, such as during testing or when dealing with unsupported types. The factory is part of a larger library (`retrofit2`) responsible for handling HTTP requests and responses in Java applications.</t>
        </is>
      </c>
      <c r="M1578" t="n">
        <v>0.0037</v>
      </c>
      <c r="N1578" t="n">
        <v>0.0597</v>
      </c>
      <c r="O1578" t="n">
        <v>0.1154</v>
      </c>
    </row>
    <row r="1579">
      <c r="A1579" t="inlineStr">
        <is>
          <t>retrofit</t>
        </is>
      </c>
      <c r="B1579" t="inlineStr">
        <is>
          <t>retrofit/test-helpers/src/main/java/retrofit2/helpers/NonMatchingCallAdapterFactory.java</t>
        </is>
      </c>
      <c r="C1579">
        <f>HYPERLINK("https://github.com/square/retrofit/blob/master/retrofit/test-helpers/src/main/java/retrofit2/helpers/NonMatchingCallAdapterFactory.java")</f>
        <v/>
      </c>
      <c r="D1579" t="inlineStr">
        <is>
          <t>The provided Java code defines a custom `CallAdapter` factory named `NonMatchingCallAdapterFactory`. This adapter is designed to handle requests that do not match any defined service methods in a Retrofit client. It intercepts calls and returns null if no matching method is found, effectively preventing them from being processed further. The implementation includes a simple flag (`called`) to track whether any call was attempted using this adapter</t>
        </is>
      </c>
      <c r="E1579" t="n">
        <v>0.0033</v>
      </c>
      <c r="F1579" t="n">
        <v>0.0541</v>
      </c>
      <c r="G1579" t="n">
        <v>0.1812</v>
      </c>
      <c r="H1579" t="inlineStr">
        <is>
          <t>This repository contains backend software components that implement core algorithms. The complexity of the implementation is O(N), indicating linear time complexity relative to the size of the input data. The comments provide details about the algorithm's purpose and its implementation. The commits include an initial codebase commit. The total code size is 1000 lines.</t>
        </is>
      </c>
      <c r="I1579" t="n">
        <v>0.0048</v>
      </c>
      <c r="J1579" t="n">
        <v>0.1562</v>
      </c>
      <c r="K1579" t="n">
        <v>0.1984</v>
      </c>
      <c r="L1579" t="inlineStr">
        <is>
          <t>This `NonMatchingCallAdapterFactory` is a Retrofit call adapter factory that returns null when attempting to create a call for any type. It is designed to prevent calls from being made if they don't match the expected return types defined in the Retrofit interface methods. The factory uses a simple check to determine if the method's return type matches the specified type, returning null if there is no match.</t>
        </is>
      </c>
      <c r="M1579" t="n">
        <v>0.0027</v>
      </c>
      <c r="N1579" t="n">
        <v>0.026</v>
      </c>
      <c r="O1579" t="n">
        <v>0.07190000000000001</v>
      </c>
    </row>
    <row r="1580">
      <c r="A1580" t="inlineStr">
        <is>
          <t>retrofit</t>
        </is>
      </c>
      <c r="B1580" t="inlineStr">
        <is>
          <t>retrofit/test-helpers/src/main/java/retrofit2/helpers/ToStringConverterFactory.java</t>
        </is>
      </c>
      <c r="C1580">
        <f>HYPERLINK("https://github.com/square/retrofit/blob/master/retrofit/test-helpers/src/main/java/retrofit2/helpers/ToStringConverterFactory.java")</f>
        <v/>
      </c>
      <c r="D1580" t="inlineStr">
        <is>
          <t>The `ToStringConverterFactory` is a Retrofit converter factory that converts objects to their string representations using Java's built-in `toString()` method. It supports both request bodies and response bodies. The factory creates converters based on the specified media type, which defaults to `"text/plain"` if not explicitly set. This allows Retrofit clients to handle objects as plain text without needing additional serialization logic.</t>
        </is>
      </c>
      <c r="E1580" t="n">
        <v>0.004</v>
      </c>
      <c r="F1580" t="n">
        <v>0.0563</v>
      </c>
      <c r="G1580" t="n">
        <v>0.1515</v>
      </c>
      <c r="H1580" t="inlineStr">
        <is>
          <t>The code implements a `ToStringConverterFactory` that converts objects to strings using Java's built-in `toString()` method. It is part of a larger project focused on backend software components, utilizing Retrofit for network requests. The complexity is high due to its implementation of core algorithms, and it includes comments explaining the purpose and usage of the code.</t>
        </is>
      </c>
      <c r="I1580" t="n">
        <v>0.0047</v>
      </c>
      <c r="J1580" t="n">
        <v>0.1231</v>
      </c>
      <c r="K1580" t="n">
        <v>0.1969</v>
      </c>
      <c r="L1580" t="inlineStr">
        <is>
          <t>This Retrofit converter factory converts objects to strings using Java's `toString()` method, suitable for simple data types that can be easily represented as text. It supports various input types and returns string responses, which can be useful for debugging or logging purposes.</t>
        </is>
      </c>
      <c r="M1580" t="n">
        <v>0.0052</v>
      </c>
      <c r="N1580" t="n">
        <v>0.0784</v>
      </c>
      <c r="O1580" t="n">
        <v>0.1316</v>
      </c>
    </row>
    <row r="1581">
      <c r="A1581" t="inlineStr">
        <is>
          <t>retrofit</t>
        </is>
      </c>
      <c r="B1581" t="inlineStr">
        <is>
          <t>retrofit/test-helpers/src/main/java/retrofit2/helpers/DelegatingCallAdapterFactory.java</t>
        </is>
      </c>
      <c r="C1581">
        <f>HYPERLINK("https://github.com/square/retrofit/blob/master/retrofit/test-helpers/src/main/java/retrofit2/helpers/DelegatingCallAdapterFactory.java")</f>
        <v/>
      </c>
      <c r="D1581" t="inlineStr">
        <is>
          <t>The `DelegatingCallAdapterFactory` class is a custom implementation of `CallAdapter.Factory` from the Retrofit library. It provides a way to delegate call creation based on certain conditions or transformations applied during the Retrofit setup process. The factory checks if it has been called and returns a new instance of `CallAdapter`. This adapter can be used to modify how network requests are handled within Retrofit applications.</t>
        </is>
      </c>
      <c r="E1581" t="n">
        <v>0.0034</v>
      </c>
      <c r="F1581" t="n">
        <v>0.0556</v>
      </c>
      <c r="G1581" t="n">
        <v>0.1481</v>
      </c>
      <c r="H1581" t="inlineStr">
        <is>
          <t>This repository contains backend software components implementing core algorithms. The complexity of the implementation is O(N), indicating linear time complexity. The comments provide details about the algorithmic approach used. The commits include an initial codebase commit. The total size of the codebase is 1000 lines.</t>
        </is>
      </c>
      <c r="I1581" t="n">
        <v>0.0054</v>
      </c>
      <c r="J1581" t="n">
        <v>0.1481</v>
      </c>
      <c r="K1581" t="n">
        <v>0.1709</v>
      </c>
      <c r="L1581" t="inlineStr">
        <is>
          <t>The `DelegatingCallAdapterFactory` is a custom call adapter factory used in Retrofit 2 that allows delegating calls to another `CallAdapter`. It tracks whether the `get` method has been called and returns a new instance of `CallAdapter` based on the input parameters. The implementation focuses on handling different types of return values and annotations during the creation process.</t>
        </is>
      </c>
      <c r="M1581" t="n">
        <v>0.0033</v>
      </c>
      <c r="N1581" t="n">
        <v>0.0625</v>
      </c>
      <c r="O1581" t="n">
        <v>0.1172</v>
      </c>
    </row>
    <row r="1582">
      <c r="A1582" t="inlineStr">
        <is>
          <t>retrofit</t>
        </is>
      </c>
      <c r="B1582" t="inlineStr">
        <is>
          <t>retrofit/kotlin-test/src/test/java/retrofit2/KotlinRequestFactoryTest.java</t>
        </is>
      </c>
      <c r="C1582">
        <f>HYPERLINK("https://github.com/square/retrofit/blob/master/retrofit/kotlin-test/src/test/java/retrofit2/KotlinRequestFactoryTest.java")</f>
        <v/>
      </c>
      <c r="D1582" t="inlineStr">
        <is>
          <t>The provided code is a test case for Retrofit's Kotlin support using Google Truth to verify that a `HEAD` HTTP request is correctly generated by Retrofit when calling a method annotated with `@HEAD`. The test checks if the request has the correct method ("HEAD"), no headers, the expected URL, and no body.</t>
        </is>
      </c>
      <c r="E1582" t="n">
        <v>0.0035</v>
      </c>
      <c r="F1582" t="n">
        <v>0.0328</v>
      </c>
      <c r="G1582" t="n">
        <v>0.0806</v>
      </c>
      <c r="H1582" t="inlineStr">
        <is>
          <t>Tests the creation of HTTP HEAD requests using Retrofit with Kotlin annotations.</t>
        </is>
      </c>
      <c r="I1582" t="n">
        <v>0</v>
      </c>
      <c r="J1582" t="n">
        <v>0</v>
      </c>
      <c r="K1582" t="n">
        <v>0.0595</v>
      </c>
      <c r="L1582" t="inlineStr">
        <is>
          <t>This test case verifies that Retrofit can correctly create a HEAD HTTP request for a specified URL using Kotlin annotations. The `headUnit` method tests the creation of such a request by defining a simple interface annotated with `@HEAD`, building the request using `buildRequest`, and then asserting various properties of the resulting `Request` object, including the method, headers, URL, and body.</t>
        </is>
      </c>
      <c r="M1582" t="n">
        <v>0.0036</v>
      </c>
      <c r="N1582" t="n">
        <v>0.0588</v>
      </c>
      <c r="O1582" t="n">
        <v>0.1136</v>
      </c>
    </row>
    <row r="1583">
      <c r="A1583" t="inlineStr">
        <is>
          <t>retrofit</t>
        </is>
      </c>
      <c r="B1583" t="inlineStr">
        <is>
          <t>retrofit/kotlin-test/src/test/java/retrofit2/KotlinSuspendRawTest.java</t>
        </is>
      </c>
      <c r="C1583">
        <f>HYPERLINK("https://github.com/square/retrofit/blob/master/retrofit/kotlin-test/src/test/java/retrofit2/KotlinSuspendRawTest.java")</f>
        <v/>
      </c>
      <c r="D1583" t="inlineStr">
        <is>
          <t>The provided code appears to be part of a Retrofit library used for making HTTP requests. It includes tests that verify the functionality of the `@GET` annotation using a mock web server. The comments indicate that this code cannot be run directly in Kotlin due to restrictions on specifying raw response types, but it can be executed in Java. The complexity of the implementation is O(N), suggesting linear time complexity,</t>
        </is>
      </c>
      <c r="E1583" t="n">
        <v>0.0026</v>
      </c>
      <c r="F1583" t="n">
        <v>0.0506</v>
      </c>
      <c r="G1583" t="n">
        <v>0.1056</v>
      </c>
      <c r="H1583" t="inlineStr">
        <is>
          <t>This repository contains backend software components that implement core algorithms. The complexity of these implementations is O(N), indicating linear time complexity. The code size is 1000 lines, making it relatively large.</t>
        </is>
      </c>
      <c r="I1583" t="n">
        <v>0.007900000000000001</v>
      </c>
      <c r="J1583" t="n">
        <v>0.2</v>
      </c>
      <c r="K1583" t="n">
        <v>0.1942</v>
      </c>
      <c r="L1583" t="inlineStr">
        <is>
          <t>This code appears to be part of a Retrofit-based HTTP client library, specifically designed to handle GET requests using Kotlin's coroutines. The code includes test cases that verify the correctness of the `@GET` annotation usage within Retrofit interfaces. It uses OkHttp's MockWebServer for mocking network responses during testing.</t>
        </is>
      </c>
      <c r="M1583" t="n">
        <v>0.0038</v>
      </c>
      <c r="N1583" t="n">
        <v>0.0339</v>
      </c>
      <c r="O1583" t="n">
        <v>0.0833</v>
      </c>
    </row>
    <row r="1584">
      <c r="A1584" t="inlineStr">
        <is>
          <t>retrofit</t>
        </is>
      </c>
      <c r="B1584" t="inlineStr">
        <is>
          <t>retrofit/kotlin-test/src/test/java/retrofit2/KotlinUnitTest.java</t>
        </is>
      </c>
      <c r="C1584">
        <f>HYPERLINK("https://github.com/square/retrofit/blob/master/retrofit/kotlin-test/src/test/java/retrofit2/KotlinUnitTest.java")</f>
        <v/>
      </c>
      <c r="D1584" t="inlineStr">
        <is>
          <t>The provided code is a unit test for Retrofit using Kotlin. It uses OkHttp's MockWebServer to simulate HTTP requests and responses. The `KotlinUnitTest` class includes tests for both GET and HEAD HTTP methods annotated with Retrofit annotations (`@GET` and `@HEAD`). Each test sets up a mock response from the server, sends a request using Retrofit, and asserts that the response matches the</t>
        </is>
      </c>
      <c r="E1584" t="n">
        <v>0.0029</v>
      </c>
      <c r="F1584" t="n">
        <v>0.0282</v>
      </c>
      <c r="G1584" t="n">
        <v>0.0746</v>
      </c>
      <c r="H1584" t="inlineStr">
        <is>
          <t>This repository contains backend software components that implement core algorithms. The complexity of these implementations is O(N), indicating linear time complexity. The code size is 1000 lines, which suggests it includes multiple modules or classes.</t>
        </is>
      </c>
      <c r="I1584" t="n">
        <v>0.007</v>
      </c>
      <c r="J1584" t="n">
        <v>0.1818</v>
      </c>
      <c r="K1584" t="n">
        <v>0.2336</v>
      </c>
      <c r="L1584" t="inlineStr">
        <is>
          <t>The KotlinUnitTest class tests Retrofit endpoints using a mock web server. It includes test cases for both GET and HEAD HTTP methods, asserting that responses match expected values. The code uses OkHttp's MockWebServer for simulating network requests during testing.</t>
        </is>
      </c>
      <c r="M1584" t="n">
        <v>0.0047</v>
      </c>
      <c r="N1584" t="n">
        <v>0.0417</v>
      </c>
      <c r="O1584" t="n">
        <v>0.0901</v>
      </c>
    </row>
    <row r="1585">
      <c r="A1585" t="inlineStr">
        <is>
          <t>retrofit</t>
        </is>
      </c>
      <c r="B1585" t="inlineStr">
        <is>
          <t>retrofit/kotlin-test/src/test/java/retrofit2/KotlinExtensionsTest.kt</t>
        </is>
      </c>
      <c r="C1585">
        <f>HYPERLINK("https://github.com/square/retrofit/blob/master/retrofit/kotlin-test/src/test/java/retrofit2/KotlinExtensionsTest.kt")</f>
        <v/>
      </c>
      <c r="D1585" t="inlineStr">
        <is>
          <t>The provided code defines a test class `KotlinExtensionsTest` that uses JUnit for testing. It includes a mock web server (`MockWebServer`) from OkHttp and tests the creation of a Retrofit instance using a reified type parameter. The test checks if the `create` method returns a non-null instance of the specified interface `Empty`. This setup is useful for verifying that Retrofit can correctly</t>
        </is>
      </c>
      <c r="E1585" t="n">
        <v>0.0036</v>
      </c>
      <c r="F1585" t="n">
        <v>0.0286</v>
      </c>
      <c r="G1585" t="n">
        <v>0.1128</v>
      </c>
      <c r="H1585" t="inlineStr">
        <is>
          <t>The code defines a test class `KotlinExtensionsTest` that uses Retrofit to create instances of interfaces defined as empty types (`Empty`). It sets up a mock web server using OkHttp's MockWebServer library and tests whether the `create` method returns non-null instances of these interfaces. The complexity is O(N), where N represents the number of operations performed during the test execution.</t>
        </is>
      </c>
      <c r="I1585" t="n">
        <v>0.0031</v>
      </c>
      <c r="J1585" t="n">
        <v>0.0286</v>
      </c>
      <c r="K1585" t="n">
        <v>0.07630000000000001</v>
      </c>
      <c r="L1585" t="inlineStr">
        <is>
          <t>This test suite verifies that the `Retrofit` library can create instances of empty interfaces using Kotlin's reified type parameters. The `MockWebServer` rule sets up a mock HTTP server for testing purposes, while the `reifiedCreate` method tests whether the `create` function correctly handles empty interfaces without throwing exceptions.</t>
        </is>
      </c>
      <c r="M1585" t="n">
        <v>0.0039</v>
      </c>
      <c r="N1585" t="n">
        <v>0.07140000000000001</v>
      </c>
      <c r="O1585" t="n">
        <v>0.08400000000000001</v>
      </c>
    </row>
    <row r="1586">
      <c r="A1586" t="inlineStr">
        <is>
          <t>retrofit</t>
        </is>
      </c>
      <c r="B1586" t="inlineStr">
        <is>
          <t>retrofit/kotlin-test/src/test/java/retrofit2/KotlinSuspendTest.kt</t>
        </is>
      </c>
      <c r="C1586">
        <f>HYPERLINK("https://github.com/square/retrofit/blob/master/retrofit/kotlin-test/src/test/java/retrofit2/KotlinSuspendTest.kt")</f>
        <v/>
      </c>
      <c r="D1586" t="inlineStr">
        <is>
          <t>The provided code appears to be part of a Java library called Retrofit, which is used for making network requests from Android applications. The code includes various classes and methods related to handling HTTP requests, such as `Retrofit`, `Call`, and `Response`. It also uses Google's Truth framework for assertions and Kotlin coroutines for asynchronous operations. The complexity of the implementation is O(N), indicating that it</t>
        </is>
      </c>
      <c r="E1586" t="n">
        <v>0.0028</v>
      </c>
      <c r="F1586" t="n">
        <v>0.0267</v>
      </c>
      <c r="G1586" t="n">
        <v>0.1095</v>
      </c>
      <c r="H1586" t="inlineStr">
        <is>
          <t>This repository contains backend software components implementing core algorithms. The complexity of these implementations is O(N), indicating linear time complexity. The README provides information about the project's license and structure, while comments explain the implementation details.</t>
        </is>
      </c>
      <c r="I1586" t="n">
        <v>0.0073</v>
      </c>
      <c r="J1586" t="n">
        <v>0.2174</v>
      </c>
      <c r="K1586" t="n">
        <v>0.2315</v>
      </c>
      <c r="L1586" t="inlineStr">
        <is>
          <t>The provided code defines a package `retrofit2` that includes classes and utilities related to making HTTP requests using Retrofit, a popular library for Android development. The code uses Kotlin coroutines for asynchronous request handling and Google Truth for assertions. It also includes basic utility methods for working with parameterized types and coroutine contexts.</t>
        </is>
      </c>
      <c r="M1586" t="n">
        <v>0.0035</v>
      </c>
      <c r="N1586" t="n">
        <v>0.0328</v>
      </c>
      <c r="O1586" t="n">
        <v>0.08</v>
      </c>
    </row>
    <row r="1587">
      <c r="A1587" t="inlineStr">
        <is>
          <t>retrofit</t>
        </is>
      </c>
      <c r="B1587" t="inlineStr">
        <is>
          <t>retrofit/java-test/src/test/java/retrofit2/CallAdapterTest.java</t>
        </is>
      </c>
      <c r="C1587">
        <f>HYPERLINK("https://github.com/square/retrofit/blob/master/retrofit/java-test/src/test/java/retrofit2/CallAdapterTest.java")</f>
        <v/>
      </c>
      <c r="D1587" t="inlineStr">
        <is>
          <t>The provided Java code defines a class `CallAdapter.Factory` within the Retrofit library, which is used to adapt HTTP responses into domain objects. The factory takes a generic type as input and returns a `CallAdapter` that can handle requests and convert responses accordingly. It includes methods to retrieve parameter upper bounds and raw types from the input type. The code also uses Google Truth for assertions and JUnit for</t>
        </is>
      </c>
      <c r="E1587" t="n">
        <v>0.0027</v>
      </c>
      <c r="F1587" t="n">
        <v>0.026</v>
      </c>
      <c r="G1587" t="n">
        <v>0.07140000000000001</v>
      </c>
      <c r="H1587" t="inlineStr">
        <is>
          <t>This repository contains backend software components implementing core algorithms. The complexity is O(N), indicating linear time performance. The implementation includes comments explaining the purpose of each part of the code.</t>
        </is>
      </c>
      <c r="I1587" t="n">
        <v>0.008200000000000001</v>
      </c>
      <c r="J1587" t="n">
        <v>0.2051</v>
      </c>
      <c r="K1587" t="n">
        <v>0.2451</v>
      </c>
      <c r="L1587" t="inlineStr">
        <is>
          <t>This Java code defines a package `retrofit2` containing classes and interfaces related to building HTTP requests using Retrofit, a popular library for making network calls in Android applications. The code includes utility methods for handling parameter types and type tokens, as well as assertions used in unit tests. It also references Google's Guava libraries for truth testing and reflection utilities.</t>
        </is>
      </c>
      <c r="M1587" t="n">
        <v>0.0036</v>
      </c>
      <c r="N1587" t="n">
        <v>0.058</v>
      </c>
      <c r="O1587" t="n">
        <v>0.1136</v>
      </c>
    </row>
    <row r="1588">
      <c r="A1588" t="inlineStr">
        <is>
          <t>retrofit</t>
        </is>
      </c>
      <c r="B1588" t="inlineStr">
        <is>
          <t>retrofit/java-test/src/test/java/retrofit2/RetrofitTest.java</t>
        </is>
      </c>
      <c r="C1588">
        <f>HYPERLINK("https://github.com/square/retrofit/blob/master/retrofit/java-test/src/test/java/retrofit2/RetrofitTest.java")</f>
        <v/>
      </c>
      <c r="D1588" t="inlineStr">
        <is>
          <t>The provided code appears to be part of Retrofit, a popular HTTP client library for Android and Java applications. It includes various utility methods and classes used for testing and verifying the behavior of network requests made using Retrofit. The comments indicate that it's part of the Retrofit project, which is licensed under the Apache License version 2.0. The complexity level is O(N), suggesting that some operations might involve</t>
        </is>
      </c>
      <c r="E1588" t="n">
        <v>0.0026</v>
      </c>
      <c r="F1588" t="n">
        <v>0.025</v>
      </c>
      <c r="G1588" t="n">
        <v>0.0709</v>
      </c>
      <c r="H1588" t="inlineStr">
        <is>
          <t>This repository contains backend software components implementing core algorithms. The complexity of these implementations is O(N), indicating linear time complexity relative to the input size.</t>
        </is>
      </c>
      <c r="I1588" t="n">
        <v>0.01</v>
      </c>
      <c r="J1588" t="n">
        <v>0.2353</v>
      </c>
      <c r="K1588" t="n">
        <v>0.2062</v>
      </c>
      <c r="L1588" t="inlineStr">
        <is>
          <t>The provided code is part of Retrofit, a popular HTTP client library for Android that simplifies network requests. It includes unit tests using JUnit and Mockito to verify the correctness of various methods within the `Retrofit` class. The code focuses on testing the initialization and configuration of Retrofit instances, as well as handling exceptions during request execution.</t>
        </is>
      </c>
      <c r="M1588" t="n">
        <v>0.0032</v>
      </c>
      <c r="N1588" t="n">
        <v>0.0308</v>
      </c>
      <c r="O1588" t="n">
        <v>0.0775</v>
      </c>
    </row>
    <row r="1589">
      <c r="A1589" t="inlineStr">
        <is>
          <t>retrofit</t>
        </is>
      </c>
      <c r="B1589" t="inlineStr">
        <is>
          <t>retrofit/java-test/src/test/java/retrofit2/RequestFactoryTest.java</t>
        </is>
      </c>
      <c r="C1589">
        <f>HYPERLINK("https://github.com/square/retrofit/blob/master/retrofit/java-test/src/test/java/retrofit2/RequestFactoryTest.java")</f>
        <v/>
      </c>
      <c r="D1589" t="inlineStr">
        <is>
          <t>The provided code appears to be part of Retrofit, a popular HTTP client library for Android and Java applications. It includes utility methods for building HTTP requests and testing them using Google Truth assertions. The code does not contain any implementation details but rather serves as documentation and setup for tests related to Retrofit's request building capabilities.</t>
        </is>
      </c>
      <c r="E1589" t="n">
        <v>0.0032</v>
      </c>
      <c r="F1589" t="n">
        <v>0.0606</v>
      </c>
      <c r="G1589" t="n">
        <v>0.1163</v>
      </c>
      <c r="H1589" t="inlineStr">
        <is>
          <t>This repository contains backend software components that implement core algorithms. The complexity of these implementations is O(N), indicating they scale linearly with input size. The codebase has been initialized with basic structure and includes tests using JUnit.</t>
        </is>
      </c>
      <c r="I1589" t="n">
        <v>0.0071</v>
      </c>
      <c r="J1589" t="n">
        <v>0.2174</v>
      </c>
      <c r="K1589" t="n">
        <v>0.2752</v>
      </c>
      <c r="L1589" t="inlineStr">
        <is>
          <t>The provided Java code defines a class `Retrofit` that serves as a client library for making HTTP requests using Retrofit, a popular framework for building type-safe REST clients. The class includes methods for creating API interfaces, executing network calls, handling responses, and managing error cases. It also provides utility functions for testing purposes. The code complexity is high due to its extensive feature set and dependency on other libraries</t>
        </is>
      </c>
      <c r="M1589" t="n">
        <v>0.0026</v>
      </c>
      <c r="N1589" t="n">
        <v>0.0513</v>
      </c>
      <c r="O1589" t="n">
        <v>0.0709</v>
      </c>
    </row>
    <row r="1590">
      <c r="A1590" t="inlineStr">
        <is>
          <t>retrofit</t>
        </is>
      </c>
      <c r="B1590" t="inlineStr">
        <is>
          <t>retrofit/java-test/src/test/java/retrofit2/Java8DefaultStaticMethodsInValidationTest.java</t>
        </is>
      </c>
      <c r="C1590">
        <f>HYPERLINK("https://github.com/square/retrofit/blob/master/retrofit/java-test/src/test/java/retrofit2/Java8DefaultStaticMethodsInValidationTest.java")</f>
        <v/>
      </c>
      <c r="D1590" t="inlineStr">
        <is>
          <t>The provided code snippet appears to be part of a test suite for Retrofit, specifically focusing on testing default methods in Java 8 interfaces using JUnit and OkHttp's MockWebServer. The main purpose of this test is likely to ensure that Retrofit can handle methods defined as `default` in Java 8 interfaces correctly when making HTTP requests. The test uses a mock web server to simulate network responses and</t>
        </is>
      </c>
      <c r="E1590" t="n">
        <v>0.0027</v>
      </c>
      <c r="F1590" t="n">
        <v>0.0519</v>
      </c>
      <c r="G1590" t="n">
        <v>0.1071</v>
      </c>
      <c r="H1590" t="inlineStr">
        <is>
          <t>This repository contains backend software components implementing core algorithms. The complexity is O(N), indicating linear time operations. The comments describe the implementation of these algorithms. The commits include an initial codebase commit. The total size of the codebase is 1000 lines.</t>
        </is>
      </c>
      <c r="I1590" t="n">
        <v>0.0059</v>
      </c>
      <c r="J1590" t="n">
        <v>0.16</v>
      </c>
      <c r="K1590" t="n">
        <v>0.177</v>
      </c>
      <c r="L1590" t="inlineStr">
        <is>
          <t>This test suite uses Retrofit 2 to validate the implementation of default methods and static methods introduced in Java 8 within the `ToStringConverterFactory` class. It sets up a mock web server and tests various endpoints using annotations like `@GET` and `@Query`. The test ensures that the conversion factory correctly handles string representations of objects returned from these endpoints.</t>
        </is>
      </c>
      <c r="M1590" t="n">
        <v>0.0037</v>
      </c>
      <c r="N1590" t="n">
        <v>0.09089999999999999</v>
      </c>
      <c r="O1590" t="n">
        <v>0.1538</v>
      </c>
    </row>
    <row r="1591">
      <c r="A1591" t="inlineStr">
        <is>
          <t>retrofit</t>
        </is>
      </c>
      <c r="B1591" t="inlineStr">
        <is>
          <t>retrofit/java-test/src/test/java/retrofit2/CallTest.java</t>
        </is>
      </c>
      <c r="C1591">
        <f>HYPERLINK("https://github.com/square/retrofit/blob/master/retrofit/java-test/src/test/java/retrofit2/CallTest.java")</f>
        <v/>
      </c>
      <c r="D1591" t="inlineStr">
        <is>
          <t>The provided code appears to be part of a Java project using Retrofit, which is a popular HTTP client library for Android and Java applications. The code includes several test cases that verify the functionality of Retrofit's request handling capabilities. It uses Google Truth for assertions and OkHttp MockServer for simulating network responses. The tests cover various aspects such as response timeouts, error handling, and connection interruptions during response body</t>
        </is>
      </c>
      <c r="E1591" t="n">
        <v>0.0031</v>
      </c>
      <c r="F1591" t="n">
        <v>0.0506</v>
      </c>
      <c r="G1591" t="n">
        <v>0.0704</v>
      </c>
      <c r="H1591" t="inlineStr">
        <is>
          <t>The repository contains backend software components implementing core algorithms. The complexity is O(N), indicating linear time complexity, which means the execution time grows proportionally to the size of the input data. The implementation includes various tests using JUnit and OkHttp MockWebServer.</t>
        </is>
      </c>
      <c r="I1591" t="n">
        <v>0.0059</v>
      </c>
      <c r="J1591" t="n">
        <v>0.16</v>
      </c>
      <c r="K1591" t="n">
        <v>0.2212</v>
      </c>
      <c r="L1591" t="inlineStr">
        <is>
          <t>This Java code snippet from Retrofit 2 demonstrates testing utilities using JUnit and OkHttp MockWebServer. It includes assertions for HTTP responses, timeouts, and connection errors, ensuring robustness in network-based applications. The code is part of a larger project focused on backend software components.</t>
        </is>
      </c>
      <c r="M1591" t="n">
        <v>0.0056</v>
      </c>
      <c r="N1591" t="n">
        <v>0.0769</v>
      </c>
      <c r="O1591" t="n">
        <v>0.1739</v>
      </c>
    </row>
    <row r="1592">
      <c r="A1592" t="inlineStr">
        <is>
          <t>retrofit</t>
        </is>
      </c>
      <c r="B1592" t="inlineStr">
        <is>
          <t>retrofit/java-test/src/test/java/retrofit2/ResponseTest.java</t>
        </is>
      </c>
      <c r="C1592">
        <f>HYPERLINK("https://github.com/square/retrofit/blob/master/retrofit/java-test/src/test/java/retrofit2/ResponseTest.java")</f>
        <v/>
      </c>
      <c r="D1592" t="inlineStr">
        <is>
          <t>The provided code defines a test suite for Retrofit's `ResponseBody` class using JUnit and Google Truth. It includes tests that verify various aspects of the response body such as status codes, headers, media types, and content length. The code uses OkHttp's `Response` object to create mock responses and then checks their properties against expected values.</t>
        </is>
      </c>
      <c r="E1592" t="n">
        <v>0.0033</v>
      </c>
      <c r="F1592" t="n">
        <v>0.0308</v>
      </c>
      <c r="G1592" t="n">
        <v>0.07870000000000001</v>
      </c>
      <c r="H1592" t="inlineStr">
        <is>
          <t>The repository contains backend software components that implement core algorithms. The complexity of these implementations is O(N), indicating linear time complexity. The comments provide details about the implementation's purpose and functionality. The commits indicate the initial creation of the codebase. The total size of the codebase is 1000 lines.</t>
        </is>
      </c>
      <c r="I1592" t="n">
        <v>0.0049</v>
      </c>
      <c r="J1592" t="n">
        <v>0.1356</v>
      </c>
      <c r="K1592" t="n">
        <v>0.1653</v>
      </c>
      <c r="L1592" t="inlineStr">
        <is>
          <t>This Java code defines a test suite for Retrofit's `ResponseBody` class using JUnit. It includes tests for creating successful responses with various HTTP codes and headers, as well as handling different media types and protocols. The tests verify that the response objects can be constructed correctly and provide expected values when accessed through methods like `code`, `headers`, `protocol`, and `body`.</t>
        </is>
      </c>
      <c r="M1592" t="n">
        <v>0.0036</v>
      </c>
      <c r="N1592" t="n">
        <v>0.058</v>
      </c>
      <c r="O1592" t="n">
        <v>0.1136</v>
      </c>
    </row>
    <row r="1593">
      <c r="A1593" t="inlineStr">
        <is>
          <t>retrofit</t>
        </is>
      </c>
      <c r="B1593" t="inlineStr">
        <is>
          <t>retrofit/java-test/src/test/java/retrofit2/HttpExceptionTest.java</t>
        </is>
      </c>
      <c r="C1593">
        <f>HYPERLINK("https://github.com/square/retrofit/blob/master/retrofit/java-test/src/test/java/retrofit2/HttpExceptionTest.java")</f>
        <v/>
      </c>
      <c r="D1593" t="inlineStr">
        <is>
          <t>The provided Java code defines a test case for `HttpException` within Retrofit library. The test checks if the HTTP status code from the response object is correctly set when creating an instance of `HttpException`. If the code does not match the expected value (200), it fails the assertion. This ensures that the `HttpException` constructor properly initializes the error code based on the response's status.</t>
        </is>
      </c>
      <c r="E1593" t="n">
        <v>0.0028</v>
      </c>
      <c r="F1593" t="n">
        <v>0.0274</v>
      </c>
      <c r="G1593" t="n">
        <v>0.0368</v>
      </c>
      <c r="H1593" t="inlineStr">
        <is>
          <t>The repository contains backend software components that implement core algorithms. The complexity is O(N), indicating linear time complexity for certain operations. Comments describe the implementation details, and the commits include an initial codebase commit. The total size of the codebase is 1000 lines.</t>
        </is>
      </c>
      <c r="I1593" t="n">
        <v>0.0056</v>
      </c>
      <c r="J1593" t="n">
        <v>0.1538</v>
      </c>
      <c r="K1593" t="n">
        <v>0.1739</v>
      </c>
      <c r="L1593" t="inlineStr">
        <is>
          <t>This Java test suite verifies that the `HttpException` class correctly extracts HTTP status codes from successful responses using Retrofit's `Response`. The test uses JUnit assertions to ensure that the `code()` method returns the expected value when called on an instance created with a successful response object.</t>
        </is>
      </c>
      <c r="M1593" t="n">
        <v>0.004</v>
      </c>
      <c r="N1593" t="n">
        <v>0.0364</v>
      </c>
      <c r="O1593" t="n">
        <v>0.0847</v>
      </c>
    </row>
    <row r="1594">
      <c r="A1594" t="inlineStr">
        <is>
          <t>retrofit</t>
        </is>
      </c>
      <c r="B1594" t="inlineStr">
        <is>
          <t>retrofit/java-test/src/test/java/retrofit2/OptionalConverterFactoryTest.java</t>
        </is>
      </c>
      <c r="C1594">
        <f>HYPERLINK("https://github.com/square/retrofit/blob/master/retrofit/java-test/src/test/java/retrofit2/OptionalConverterFactoryTest.java")</f>
        <v/>
      </c>
      <c r="D1594" t="inlineStr">
        <is>
          <t>The provided Java code defines a test case using JUnit and Retrofit2 libraries to verify the behavior of optional handling in network requests. The `Optio` class includes a method annotated with `@GET`, which simulates a GET request to a mock server. The response from the server is expected to be parsed as an instance of a specified type using Retrofit's converter factory. The test checks if the</t>
        </is>
      </c>
      <c r="E1594" t="n">
        <v>0.0027</v>
      </c>
      <c r="F1594" t="n">
        <v>0.0263</v>
      </c>
      <c r="G1594" t="n">
        <v>0.07190000000000001</v>
      </c>
      <c r="H1594" t="inlineStr">
        <is>
          <t>The code implements a Java library that provides utility methods for handling optional values using Retrofit 2. It includes tests for these utilities. The complexity is high due to the extensive testing framework used.</t>
        </is>
      </c>
      <c r="I1594" t="n">
        <v>0.0055</v>
      </c>
      <c r="J1594" t="n">
        <v>0.0476</v>
      </c>
      <c r="K1594" t="n">
        <v>0.09429999999999999</v>
      </c>
      <c r="L1594" t="inlineStr">
        <is>
          <t>The provided code defines a test suite for Retrofit's `Optional` support using OkHttp MockWebServer. It includes tests for handling optional responses from network requests, ensuring that null values are correctly converted to empty Optionals when appropriate. The code uses JUnit annotations and Google Truth assertions to verify expected outcomes.</t>
        </is>
      </c>
      <c r="M1594" t="n">
        <v>0.0037</v>
      </c>
      <c r="N1594" t="n">
        <v>0.0345</v>
      </c>
      <c r="O1594" t="n">
        <v>0.08260000000000001</v>
      </c>
    </row>
    <row r="1595">
      <c r="A1595" t="inlineStr">
        <is>
          <t>retrofit</t>
        </is>
      </c>
      <c r="B1595" t="inlineStr">
        <is>
          <t>retrofit/java-test/src/test/java/retrofit2/DefaultCallAdapterFactoryTest.java</t>
        </is>
      </c>
      <c r="C1595">
        <f>HYPERLINK("https://github.com/square/retrofit/blob/master/retrofit/java-test/src/test/java/retrofit2/DefaultCallAdapterFactoryTest.java")</f>
        <v/>
      </c>
      <c r="D1595" t="inlineStr">
        <is>
          <t>The provided Java code snippet appears to be part of Retrofit, a popular HTTP client library for Android and Java applications. It includes utility methods for testing and verifying network requests using OkHttp. The code uses Google Truth for assertions and JUnit for test cases. The `TypeToken` class from Guava is used to handle generic types. The complexity of the implementation is O(1), as it primarily</t>
        </is>
      </c>
      <c r="E1595" t="n">
        <v>0.0028</v>
      </c>
      <c r="F1595" t="n">
        <v>0.0267</v>
      </c>
      <c r="G1595" t="n">
        <v>0.1087</v>
      </c>
      <c r="H1595" t="inlineStr">
        <is>
          <t>The code implements core algorithms for a backend software component. It includes methods for handling requests and responses using OkHttp and Java reflection. The complexity is O(N), indicating that it scales linearly with input size.</t>
        </is>
      </c>
      <c r="I1595" t="n">
        <v>0.0134</v>
      </c>
      <c r="J1595" t="n">
        <v>0.1364</v>
      </c>
      <c r="K1595" t="n">
        <v>0.3477</v>
      </c>
      <c r="L1595" t="inlineStr">
        <is>
          <t>This Java code defines a Retrofit client library that provides a simple way to make HTTP requests using annotations. It includes methods for creating API interfaces, executing network calls, handling responses, and managing error cases. The code uses Google Guava's Truth framework for assertions and OkHttp for making HTTP requests.</t>
        </is>
      </c>
      <c r="M1595" t="n">
        <v>0.0044</v>
      </c>
      <c r="N1595" t="n">
        <v>0.0678</v>
      </c>
      <c r="O1595" t="n">
        <v>0.123</v>
      </c>
    </row>
    <row r="1596">
      <c r="A1596" t="inlineStr">
        <is>
          <t>retrofit</t>
        </is>
      </c>
      <c r="B1596" t="inlineStr">
        <is>
          <t>retrofit/java-test/src/test/java/retrofit2/MethodParameterReflectionTest.java</t>
        </is>
      </c>
      <c r="C1596">
        <f>HYPERLINK("https://github.com/square/retrofit/blob/master/retrofit/java-test/src/test/java/retrofit2/MethodParameterReflectionTest.java")</f>
        <v/>
      </c>
      <c r="D1596" t="inlineStr">
        <is>
          <t>The provided Java code defines a test suite for method parameter reflection using Retrofit library. It includes a test case that verifies the behavior of a hypothetical `ExampleWithoutParameterNames` interface annotated with `@GET`. The test uses Google Truth assertions to check if the response body matches expected values after making a network request. The code also sets up a basic Retrofit instance with a base URL.</t>
        </is>
      </c>
      <c r="E1596" t="n">
        <v>0</v>
      </c>
      <c r="F1596" t="n">
        <v>0</v>
      </c>
      <c r="G1596" t="n">
        <v>0.0365</v>
      </c>
      <c r="H1596" t="inlineStr">
        <is>
          <t>The code implements a test suite for method parameter reflection using Retrofit and JUnit. It includes tests for various HTTP methods such as GET, POST, PUT, DELETE, etc., and verifies that parameters are correctly reflected during request execution. The complexity is high due to the extensive testing setup and the number of test cases.</t>
        </is>
      </c>
      <c r="I1596" t="n">
        <v>0.004</v>
      </c>
      <c r="J1596" t="n">
        <v>0.0645</v>
      </c>
      <c r="K1596" t="n">
        <v>0.119</v>
      </c>
      <c r="L1596" t="inlineStr">
        <is>
          <t>This Java code tests method parameter reflection using Retrofit's `@GET` annotation. It verifies that Retrofit can correctly handle methods without explicit parameter names by comparing expected responses with actual responses from the server. The test uses Google Truth assertions to ensure correctness.</t>
        </is>
      </c>
      <c r="M1596" t="n">
        <v>0.0044</v>
      </c>
      <c r="N1596" t="n">
        <v>0.0392</v>
      </c>
      <c r="O1596" t="n">
        <v>0.0877</v>
      </c>
    </row>
    <row r="1597">
      <c r="A1597" t="inlineStr">
        <is>
          <t>retrofit</t>
        </is>
      </c>
      <c r="B1597" t="inlineStr">
        <is>
          <t>retrofit/java-test/src/test/java/retrofit2/CompletableFutureCallAdapterFactoryTest.java</t>
        </is>
      </c>
      <c r="C1597">
        <f>HYPERLINK("https://github.com/square/retrofit/blob/master/retrofit/java-test/src/test/java/retrofit2/CompletableFutureCallAdapterFactoryTest.java")</f>
        <v/>
      </c>
      <c r="D1597" t="inlineStr">
        <is>
          <t>The provided Java code defines a class `Retrofit` that serves as a client interface for making HTTP requests using Retrofit, a popular library for building type-safe REST clients in Android applications. The code includes methods for creating instances of Retrofit, defining endpoints, and handling responses asynchronously through CompletableFuture objects. It also uses Google Truth for assertions and OkHttp's MockWebServer for testing purposes. The complexity of the</t>
        </is>
      </c>
      <c r="E1597" t="n">
        <v>0.0028</v>
      </c>
      <c r="F1597" t="n">
        <v>0.0263</v>
      </c>
      <c r="G1597" t="n">
        <v>0.0725</v>
      </c>
      <c r="H1597" t="inlineStr">
        <is>
          <t>This repository contains backend software components that implement core algorithms. The complexity of the implementation is O(N), indicating linear time complexity. The comments describe the purpose as implementing core algorithms. There have been initial commits to establish the codebase. The total size of the codebase is 1000 lines.</t>
        </is>
      </c>
      <c r="I1597" t="n">
        <v>0.005</v>
      </c>
      <c r="J1597" t="n">
        <v>0.1404</v>
      </c>
      <c r="K1597" t="n">
        <v>0.263</v>
      </c>
      <c r="L1597" t="inlineStr">
        <is>
          <t>This Java code defines a Retrofit client library that provides a simple way to make HTTP requests using annotations. It includes methods for creating instances of `Retrofit` and `Call`, as well as utilities for handling responses asynchronously. The code also uses Google Guava's Truth framework for assertions and OkHttp's MockWebServer for testing purposes.</t>
        </is>
      </c>
      <c r="M1597" t="n">
        <v>0.0041</v>
      </c>
      <c r="N1597" t="n">
        <v>0.0635</v>
      </c>
      <c r="O1597" t="n">
        <v>0.12</v>
      </c>
    </row>
    <row r="1598">
      <c r="A1598" t="inlineStr">
        <is>
          <t>retrofit</t>
        </is>
      </c>
      <c r="B1598" t="inlineStr">
        <is>
          <t>retrofit/java-test/src/test/java/retrofit2/RequestFactoryBuilderTest.java</t>
        </is>
      </c>
      <c r="C1598">
        <f>HYPERLINK("https://github.com/square/retrofit/blob/master/retrofit/java-test/src/test/java/retrofit2/RequestFactoryBuilderTest.java")</f>
        <v/>
      </c>
      <c r="D1598" t="inlineStr">
        <is>
          <t>The `RequestFactoryBuilderTest` class tests the parsing capabilities of a request factory builder using various URL paths. It uses JUnit for testing and Google Truth for assertions. The test focuses on ensuring that different URL patterns are correctly parsed into parameters.</t>
        </is>
      </c>
      <c r="E1598" t="n">
        <v>0.0046</v>
      </c>
      <c r="F1598" t="n">
        <v>0.0417</v>
      </c>
      <c r="G1598" t="n">
        <v>0.0893</v>
      </c>
      <c r="H1598" t="inlineStr">
        <is>
          <t>The repository contains backend software components that implement core algorithms. The complexity is high due to the large number of files and lines of code. Comments provide basic descriptions of each algorithm implemented. The commits include the initial creation of the codebase.</t>
        </is>
      </c>
      <c r="I1598" t="n">
        <v>0.0058</v>
      </c>
      <c r="J1598" t="n">
        <v>0.16</v>
      </c>
      <c r="K1598" t="n">
        <v>0.2769</v>
      </c>
      <c r="L1598" t="inlineStr">
        <is>
          <t>The `RequestFactoryBuilderTest` class tests the parsing of path parameters using Retrofit's request factory builder. It includes several test cases to ensure that different path patterns are correctly handled, focusing on basic URL structures like `/`, `/foo`, `/foo/bar`, and `/foo/bar/`. The tests utilize JUnit assertions from Google Truth to validate expected outcomes against actual results.</t>
        </is>
      </c>
      <c r="M1598" t="n">
        <v>0.0034</v>
      </c>
      <c r="N1598" t="n">
        <v>0.0312</v>
      </c>
      <c r="O1598" t="n">
        <v>0.0794</v>
      </c>
    </row>
    <row r="1599">
      <c r="A1599" t="inlineStr">
        <is>
          <t>retrofit</t>
        </is>
      </c>
      <c r="B1599" t="inlineStr">
        <is>
          <t>retrofit/java-test/src/test/java/retrofit2/CompletableFutureTest.java</t>
        </is>
      </c>
      <c r="C1599">
        <f>HYPERLINK("https://github.com/square/retrofit/blob/master/retrofit/java-test/src/test/java/retrofit2/CompletableFutureTest.java")</f>
        <v/>
      </c>
      <c r="D1599" t="inlineStr">
        <is>
          <t>The provided code appears to be part of a Java project that uses Retrofit for making HTTP requests and OkHttp for handling network interactions. It includes tests using JUnit and Truth to verify the correctness of the implementation. The code is licensed under the Apache License 2.0.</t>
        </is>
      </c>
      <c r="E1599" t="n">
        <v>0.0039</v>
      </c>
      <c r="F1599" t="n">
        <v>0.0357</v>
      </c>
      <c r="G1599" t="n">
        <v>0.08400000000000001</v>
      </c>
      <c r="H1599" t="inlineStr">
        <is>
          <t>This repository contains backend software components implementing core algorithms. The complexity is O(N), indicating linear time complexity for certain operations. The README provides information about the project's license, package structure, and includes example usage through JUnit tests and mock web server interactions.</t>
        </is>
      </c>
      <c r="I1599" t="n">
        <v>0.0062</v>
      </c>
      <c r="J1599" t="n">
        <v>0.1923</v>
      </c>
      <c r="K1599" t="n">
        <v>0.3263</v>
      </c>
      <c r="L1599" t="inlineStr">
        <is>
          <t>This Java code defines a package `retrofit2` containing classes that implement HTTP client functionalities using Retrofit, a popular library for making network requests. The code includes tests using JUnit and OkHttp MockWebServer to verify the implementation of core algorithms. The complexity of the code is O(N), indicating linear time complexity, which suggests efficient handling of data processing tasks.</t>
        </is>
      </c>
      <c r="M1599" t="n">
        <v>0.0041</v>
      </c>
      <c r="N1599" t="n">
        <v>0.1194</v>
      </c>
      <c r="O1599" t="n">
        <v>0.1923</v>
      </c>
    </row>
    <row r="1600">
      <c r="A1600" t="inlineStr">
        <is>
          <t>retrofit</t>
        </is>
      </c>
      <c r="B1600" t="inlineStr">
        <is>
          <t>retrofit/java-test/src/test/java/retrofit2/DefaultMethodsTest.java</t>
        </is>
      </c>
      <c r="C1600">
        <f>HYPERLINK("https://github.com/square/retrofit/blob/master/retrofit/java-test/src/test/java/retrofit2/DefaultMethodsTest.java")</f>
        <v/>
      </c>
      <c r="D1600" t="inlineStr">
        <is>
          <t>The provided Java code defines a test suite for Retrofit's default methods feature using JUnit and OkHttp MockWebServer. It includes tests that verify the behavior of default methods when used in Retrofit interfaces. The code uses Google Truth assertions to check expected outcomes against actual responses from mock HTTP requests.</t>
        </is>
      </c>
      <c r="E1600" t="n">
        <v>0.0037</v>
      </c>
      <c r="F1600" t="n">
        <v>0.0339</v>
      </c>
      <c r="G1600" t="n">
        <v>0.082</v>
      </c>
      <c r="H1600" t="inlineStr">
        <is>
          <t>This repository contains backend software components implementing core algorithms. The complexity is O(N), indicating linear time operations. The comments describe the implementation of these algorithms. The commits include an initial codebase commit. The total size of the codebase is 1000 lines.</t>
        </is>
      </c>
      <c r="I1600" t="n">
        <v>0.0059</v>
      </c>
      <c r="J1600" t="n">
        <v>0.16</v>
      </c>
      <c r="K1600" t="n">
        <v>0.177</v>
      </c>
      <c r="L1600" t="inlineStr">
        <is>
          <t>The `DefaultMethodsTest` class tests default methods implemented in Retrofit interfaces using OkHttp's MockWebServer for mocking HTTP responses. It includes test cases for GET requests with query parameters, ensuring that the generated JSON response matches expected values. The code uses Google Truth assertions for validation.</t>
        </is>
      </c>
      <c r="M1600" t="n">
        <v>0</v>
      </c>
      <c r="N1600" t="n">
        <v>0.0377</v>
      </c>
      <c r="O1600" t="n">
        <v>0.0862</v>
      </c>
    </row>
    <row r="1601">
      <c r="A1601" t="inlineStr">
        <is>
          <t>retrofit</t>
        </is>
      </c>
      <c r="B1601" t="inlineStr">
        <is>
          <t>retrofit/java-test/src/test/java/retrofit2/InvocationTest.java</t>
        </is>
      </c>
      <c r="C1601">
        <f>HYPERLINK("https://github.com/square/retrofit/blob/master/retrofit/java-test/src/test/java/retrofit2/InvocationTest.java")</f>
        <v/>
      </c>
      <c r="D1601" t="inlineStr">
        <is>
          <t>The provided code appears to be part of a Java project that uses Retrofit for making HTTP requests. It includes test cases using JUnit and Google Truth to verify the behavior of certain methods annotated with `@Body`. The code imports various classes from libraries such as OkHttp, Retrofit, and Guava Truth, which suggests it's likely used in a RESTful API client application. The complexity level is O</t>
        </is>
      </c>
      <c r="E1601" t="n">
        <v>0.0027</v>
      </c>
      <c r="F1601" t="n">
        <v>0.0263</v>
      </c>
      <c r="G1601" t="n">
        <v>0.07190000000000001</v>
      </c>
      <c r="H1601" t="inlineStr">
        <is>
          <t>This repository contains backend software components that implement core algorithms using Java and Retrofit library. The complexity is high due to the implementation of multiple algorithms and features.</t>
        </is>
      </c>
      <c r="I1601" t="n">
        <v>0.0095</v>
      </c>
      <c r="J1601" t="n">
        <v>0.2778</v>
      </c>
      <c r="K1601" t="n">
        <v>0.3</v>
      </c>
      <c r="L1601" t="inlineStr">
        <is>
          <t>The provided code appears to be part of a Retrofit library used for making HTTP requests in Android applications. It includes tests that verify the functionality of various methods within the Retrofit framework, such as handling `@Body` annotations and making POST requests using OkHttp. The code uses Google Truth for assertions and JUnit for testing.</t>
        </is>
      </c>
      <c r="M1601" t="n">
        <v>0.004</v>
      </c>
      <c r="N1601" t="n">
        <v>0.0635</v>
      </c>
      <c r="O1601" t="n">
        <v>0.07870000000000001</v>
      </c>
    </row>
    <row r="1602">
      <c r="A1602" t="inlineStr">
        <is>
          <t>retrofit</t>
        </is>
      </c>
      <c r="B1602" t="inlineStr">
        <is>
          <t>retrofit/java-test/src/test/java/retrofit2/AnnotationArraySubject.java</t>
        </is>
      </c>
      <c r="C1602">
        <f>HYPERLINK("https://github.com/square/retrofit/blob/master/retrofit/java-test/src/test/java/retrofit2/AnnotationArraySubject.java")</f>
        <v/>
      </c>
      <c r="D1602" t="inlineStr">
        <is>
          <t>The provided Java code defines a custom `AnnotationArraySubject` class that extends Google's Truth framework to provide assertions for arrays of annotations. The class includes methods to check if the array is non-empty and contains at least one element of a specified type. It also provides factory methods to create instances of the subject and perform assertions using the Truth API. This utility simplifies testing scenarios involving annotation-based configurations in</t>
        </is>
      </c>
      <c r="E1602" t="n">
        <v>0.0031</v>
      </c>
      <c r="F1602" t="n">
        <v>0.025</v>
      </c>
      <c r="G1602" t="n">
        <v>0.1064</v>
      </c>
      <c r="H1602" t="inlineStr">
        <is>
          <t>The repository contains backend software components with implementations of core algorithms. The complexity is O(N), indicating linear time operations in relation to input size.</t>
        </is>
      </c>
      <c r="I1602" t="n">
        <v>0.0094</v>
      </c>
      <c r="J1602" t="n">
        <v>0.1818</v>
      </c>
      <c r="K1602" t="n">
        <v>0.1562</v>
      </c>
      <c r="L1602" t="inlineStr">
        <is>
          <t>The `AnnotationArraySubject` class is a custom subject for testing arrays of annotations using Google Truth framework. It provides methods to check if the array contains at least one element of a specified type. The class uses generics to handle different types of annotations and includes factory methods to create instances of the subject.</t>
        </is>
      </c>
      <c r="M1602" t="n">
        <v>0.0035</v>
      </c>
      <c r="N1602" t="n">
        <v>0.0328</v>
      </c>
      <c r="O1602" t="n">
        <v>0.08</v>
      </c>
    </row>
    <row r="1603">
      <c r="A1603" t="inlineStr">
        <is>
          <t>retrofit</t>
        </is>
      </c>
      <c r="B1603" t="inlineStr">
        <is>
          <t>retrofit/java-test/src/test/java/retrofit2/NonFatalError.java</t>
        </is>
      </c>
      <c r="C1603">
        <f>HYPERLINK("https://github.com/square/retrofit/blob/master/retrofit/java-test/src/test/java/retrofit2/NonFatalError.java")</f>
        <v/>
      </c>
      <c r="D1603" t="inlineStr">
        <is>
          <t>The provided code defines a `NonFatalError` class that extends Java's built-in `Error`. This custom error type is used when an exception occurs but does not require immediate termination of the program. The constructor takes a string message as input and passes it to the superclass constructor. This allows instances of `NonFatalError` to be thrown and caught like regular errors, providing additional context about non-f</t>
        </is>
      </c>
      <c r="E1603" t="n">
        <v>0.0034</v>
      </c>
      <c r="F1603" t="n">
        <v>0.0533</v>
      </c>
      <c r="G1603" t="n">
        <v>0.1103</v>
      </c>
      <c r="H1603" t="inlineStr">
        <is>
          <t>This repository contains backend software components implementing core algorithms. The complexity of the implementation is O(N), indicating linear time complexity.</t>
        </is>
      </c>
      <c r="I1603" t="n">
        <v>0.0127</v>
      </c>
      <c r="J1603" t="n">
        <v>0.2759</v>
      </c>
      <c r="K1603" t="n">
        <v>0.2174</v>
      </c>
      <c r="L1603" t="inlineStr">
        <is>
          <t>The `NonFatalError` class extends Java's built-in `Error` class and serves as a custom error type specifically designed to handle non-fatal errors that occur during runtime without causing the application to crash. It provides a constructor that accepts a string message, allowing developers to specify details about the error when throwing instances of this exception.</t>
        </is>
      </c>
      <c r="M1603" t="n">
        <v>0.0034</v>
      </c>
      <c r="N1603" t="n">
        <v>0.0308</v>
      </c>
      <c r="O1603" t="n">
        <v>0.0794</v>
      </c>
    </row>
    <row r="1604">
      <c r="A1604" t="inlineStr">
        <is>
          <t>retrofit</t>
        </is>
      </c>
      <c r="B1604" t="inlineStr">
        <is>
          <t>retrofit/src/main/java16/retrofit2/DefaultMethodSupport.java</t>
        </is>
      </c>
      <c r="C1604">
        <f>HYPERLINK("https://github.com/square/retrofit/blob/master/retrofit/src/main/java16/retrofit2/DefaultMethodSupport.java")</f>
        <v/>
      </c>
      <c r="D1604" t="inlineStr">
        <is>
          <t>The provided code defines a utility class `DefaultMethodSupport` that includes a static method `invoke`. This method allows invoking default methods on a proxy object using reflection. The method takes a `Method`, `declaringClass`, `proxy`, and optional `args` as parameters and returns the result of the invocation. It handles exceptions thrown during the invocation process.</t>
        </is>
      </c>
      <c r="E1604" t="n">
        <v>0.0041</v>
      </c>
      <c r="F1604" t="n">
        <v>0.06560000000000001</v>
      </c>
      <c r="G1604" t="n">
        <v>0.12</v>
      </c>
      <c r="H1604" t="inlineStr">
        <is>
          <t>The repository contains backend software components that implement core algorithms using complex data structures and operations. The complexity of these implementations is high due to their extensive use of recursion and dynamic programming techniques.</t>
        </is>
      </c>
      <c r="I1604" t="n">
        <v>0.0072</v>
      </c>
      <c r="J1604" t="n">
        <v>0.1905</v>
      </c>
      <c r="K1604" t="n">
        <v>0.2358</v>
      </c>
      <c r="L1604" t="inlineStr">
        <is>
          <t>The `DefaultMethodSupport` class provides support for invoking default methods on a proxy using Java's new reflection capabilities introduced in Java 16. It includes a static method `invoke` that takes a method, declaring class, proxy object, and optional arguments, then invokes the specified default method on the proxy. The method handles exceptions and returns the result of the invocation.</t>
        </is>
      </c>
      <c r="M1604" t="n">
        <v>0.0031</v>
      </c>
      <c r="N1604" t="n">
        <v>0.0299</v>
      </c>
      <c r="O1604" t="n">
        <v>0.0769</v>
      </c>
    </row>
    <row r="1605">
      <c r="A1605" t="inlineStr">
        <is>
          <t>retrofit</t>
        </is>
      </c>
      <c r="B1605" t="inlineStr">
        <is>
          <t>retrofit/src/main/java14/retrofit2/DefaultMethodSupport.java</t>
        </is>
      </c>
      <c r="C1605">
        <f>HYPERLINK("https://github.com/square/retrofit/blob/master/retrofit/src/main/java14/retrofit2/DefaultMethodSupport.java")</f>
        <v/>
      </c>
      <c r="D1605" t="inlineStr">
        <is>
          <t>The provided code defines a utility class `DefaultMethodSupport` that provides support for invoking default methods in Java using reflection. It includes a method `invoke` that takes a `Method` object representing a default method and its declaring class as parameters. The method attempts to invoke the default method without requiring trusted access, which was previously restricted in Java versions prior to JDK 14. This utility can be</t>
        </is>
      </c>
      <c r="E1605" t="n">
        <v>0.0033</v>
      </c>
      <c r="F1605" t="n">
        <v>0.027</v>
      </c>
      <c r="G1605" t="n">
        <v>0.1087</v>
      </c>
      <c r="H1605" t="inlineStr">
        <is>
          <t>This repository contains backend software components implementing core algorithms. The complexity of the implementation is O(N), indicating linear time complexity. The comments describe the implementation as providing core algorithmic functionalities. The commits indicate that it was initially created. The total size of the codebase is 1000 lines.</t>
        </is>
      </c>
      <c r="I1605" t="n">
        <v>0.0051</v>
      </c>
      <c r="J1605" t="n">
        <v>0.1786</v>
      </c>
      <c r="K1605" t="n">
        <v>0.1681</v>
      </c>
      <c r="L1605" t="inlineStr">
        <is>
          <t>The `DefaultMethodSupport` class provides support for invoking default methods in Java 14 using a regular lookup, which was previously restricted due to security concerns. The class includes a static method `invoke` that takes a `Method` object and a declaring class as parameters and returns the result of invoking the default method. This feature enhances flexibility and compatibility with newer versions of Java while maintaining security measures.</t>
        </is>
      </c>
      <c r="M1605" t="n">
        <v>0.0033</v>
      </c>
      <c r="N1605" t="n">
        <v>0.0541</v>
      </c>
      <c r="O1605" t="n">
        <v>0.1087</v>
      </c>
    </row>
    <row r="1606">
      <c r="A1606" t="inlineStr">
        <is>
          <t>retrofit</t>
        </is>
      </c>
      <c r="B1606" t="inlineStr">
        <is>
          <t>retrofit/src/main/java/retrofit2/OptionalConverterFactory.java</t>
        </is>
      </c>
      <c r="C1606">
        <f>HYPERLINK("https://github.com/square/retrofit/blob/master/retrofit/src/main/java/retrofit2/OptionalConverterFactory.java")</f>
        <v/>
      </c>
      <c r="D1606" t="inlineStr">
        <is>
          <t>The provided code defines a `ConverterFactory` class within the Retrofit library that supports converting between Java objects and HTTP response bodies using OkHttp's `ResponseBody`. The factory can handle various data types such as POJOs, collections, maps, enums, and primitives. It uses reflection to determine how to convert each type based on its annotations and parameterization. The implementation includes support for custom converters through interfaces like</t>
        </is>
      </c>
      <c r="E1606" t="n">
        <v>0.0028</v>
      </c>
      <c r="F1606" t="n">
        <v>0.027</v>
      </c>
      <c r="G1606" t="n">
        <v>0.1095</v>
      </c>
      <c r="H1606" t="inlineStr">
        <is>
          <t>The code implements a `Converter.Factory` that supports converting between Java objects and HTTP response bodies using Retrofit. It includes support for various data types such as JSON, XML, and custom serializers/deserializers. The complexity is high due to its extensive implementation of conversion logic across multiple classes and methods.</t>
        </is>
      </c>
      <c r="I1606" t="n">
        <v>0.0045</v>
      </c>
      <c r="J1606" t="n">
        <v>0.1034</v>
      </c>
      <c r="K1606" t="n">
        <v>0.125</v>
      </c>
      <c r="L1606" t="inlineStr">
        <is>
          <t>This Retrofit converter factory supports converting `ResponseBody` objects into Java objects based on their type annotations. It handles both generic types and non-generic types, using reflection to determine how to map JSON data to Java classes. The factory uses Jackson's ObjectMapper internally for deserialization.</t>
        </is>
      </c>
      <c r="M1606" t="n">
        <v>0.005</v>
      </c>
      <c r="N1606" t="n">
        <v>0.0741</v>
      </c>
      <c r="O1606" t="n">
        <v>0.1293</v>
      </c>
    </row>
    <row r="1607">
      <c r="A1607" t="inlineStr">
        <is>
          <t>retrofit</t>
        </is>
      </c>
      <c r="B1607" t="inlineStr">
        <is>
          <t>retrofit/src/main/java/retrofit2/Call.java</t>
        </is>
      </c>
      <c r="C1607">
        <f>HYPERLINK("https://github.com/square/retrofit/blob/master/retrofit/src/main/java/retrofit2/Call.java")</f>
        <v/>
      </c>
      <c r="D1607" t="inlineStr">
        <is>
          <t>The provided code defines a class `Call` within the Retrofit library, which represents an asynchronous network request made using Retrofit's API. The class encapsulates the logic for sending an HTTP request and handling the corresponding response. It includes methods for executing the request asynchronously (`execute()`), obtaining the original request object (`request()`), and cloning the call to allow making multiple requests with the same parameters. The class</t>
        </is>
      </c>
      <c r="E1607" t="n">
        <v>0.0028</v>
      </c>
      <c r="F1607" t="n">
        <v>0.0267</v>
      </c>
      <c r="G1607" t="n">
        <v>0.0725</v>
      </c>
      <c r="H1607" t="inlineStr">
        <is>
          <t>The provided code is part of a library called Retrofit, which is designed to simplify making network requests using Java or Kotlin. It includes classes such as `Retrofit`, `Request`, and `Timeout` to handle HTTP requests and responses efficiently. The README describes the project's purpose, license, and structure, while the complexity indicates it involves handling multiple operations concurrently. Comments explain key functionalities like sending HTTP requests</t>
        </is>
      </c>
      <c r="I1607" t="n">
        <v>0.0028</v>
      </c>
      <c r="J1607" t="n">
        <v>0.027</v>
      </c>
      <c r="K1607" t="n">
        <v>0.073</v>
      </c>
      <c r="L1607" t="inlineStr">
        <is>
          <t>This Java class represents an invocation of a Retrofit method, which sends an HTTP request to a server and returns a response. It includes methods to execute the request asynchronously, clone the invocation to allow multiple requests with the same parameters, and handle timeouts. The class uses OkHttp's `Request` object to construct the HTTP request and handles exceptions during execution.</t>
        </is>
      </c>
      <c r="M1607" t="n">
        <v>0.0036</v>
      </c>
      <c r="N1607" t="n">
        <v>0.058</v>
      </c>
      <c r="O1607" t="n">
        <v>0.1136</v>
      </c>
    </row>
    <row r="1608">
      <c r="A1608" t="inlineStr">
        <is>
          <t>retrofit</t>
        </is>
      </c>
      <c r="B1608" t="inlineStr">
        <is>
          <t>retrofit/src/main/java/retrofit2/HttpException.java</t>
        </is>
      </c>
      <c r="C1608">
        <f>HYPERLINK("https://github.com/square/retrofit/blob/master/retrofit/src/main/java/retrofit2/HttpException.java")</f>
        <v/>
      </c>
      <c r="D1608" t="inlineStr">
        <is>
          <t>The provided Java code defines a custom exception `HttpException` that extends `RuntimeException`. This exception is used to handle unexpected HTTP responses that do not have a status code within the range of 200 to 299. The constructor of `HttpException` takes a `Response&lt;?&gt;` object as a parameter, which must not be null. It constructs an error message indicating the HTTP status code and</t>
        </is>
      </c>
      <c r="E1608" t="n">
        <v>0.0035</v>
      </c>
      <c r="F1608" t="n">
        <v>0.0571</v>
      </c>
      <c r="G1608" t="n">
        <v>0.1119</v>
      </c>
      <c r="H1608" t="inlineStr">
        <is>
          <t>This repository contains backend software components that implement core algorithms. The complexity of the implementation is O(N), indicating linear time complexity, which means it scales proportionally with the size of the input data. The comments provide details about the implementation's purpose and structure. The commits include an initial codebase commit. The total code size is 1000 lines.</t>
        </is>
      </c>
      <c r="I1608" t="n">
        <v>0.0045</v>
      </c>
      <c r="J1608" t="n">
        <v>0.1493</v>
      </c>
      <c r="K1608" t="n">
        <v>0.1938</v>
      </c>
      <c r="L1608" t="inlineStr">
        <is>
          <t>This Java class `HttpException` extends `RuntimeException` to handle unexpected HTTP responses that are not within the range of 200-299 status codes. It includes a method `getMessage` that constructs a descriptive error message using the HTTP status code and message from a given `Response`. The class is part of Retrofit's library for making network requests and handling HTTP errors.</t>
        </is>
      </c>
      <c r="M1608" t="n">
        <v>0.0037</v>
      </c>
      <c r="N1608" t="n">
        <v>0.0588</v>
      </c>
      <c r="O1608" t="n">
        <v>0.1154</v>
      </c>
    </row>
    <row r="1609">
      <c r="A1609" t="inlineStr">
        <is>
          <t>retrofit</t>
        </is>
      </c>
      <c r="B1609" t="inlineStr">
        <is>
          <t>retrofit/src/main/java/retrofit2/RequestBuilder.java</t>
        </is>
      </c>
      <c r="C1609">
        <f>HYPERLINK("https://github.com/square/retrofit/blob/master/retrofit/src/main/java/retrofit2/RequestBuilder.java")</f>
        <v/>
      </c>
      <c r="D1609" t="inlineStr">
        <is>
          <t>The `RequestBuilder` class in Retrofit 2 is responsible for constructing HTTP requests based on method annotations such as `@GET`, `@POST`, etc., and parameters like query strings, path variables, headers, and request bodies. It handles different types of request bodies, including form data, multipart forms, and raw byte arrays, using OkHttp's `RequestBody`. The class uses regular expressions to</t>
        </is>
      </c>
      <c r="E1609" t="n">
        <v>0.0032</v>
      </c>
      <c r="F1609" t="n">
        <v>0.0303</v>
      </c>
      <c r="G1609" t="n">
        <v>0.0775</v>
      </c>
      <c r="H1609" t="inlineStr">
        <is>
          <t>The repository contains backend software components implementing core algorithms. The complexity is O(N), indicating linear time complexity. Comments describe the implementation details, while commits document the initial creation of the codebase. The total size of the code is 1000 lines.</t>
        </is>
      </c>
      <c r="I1609" t="n">
        <v>0.0055</v>
      </c>
      <c r="J1609" t="n">
        <v>0.1224</v>
      </c>
      <c r="K1609" t="n">
        <v>0.1339</v>
      </c>
      <c r="L1609" t="inlineStr">
        <is>
          <t>The `RequestBuilder` class constructs HTTP requests using Retrofit, handling various request types such as GET, POST, PUT, DELETE, etc., including form data, multipart bodies, and headers. It processes URL parameters, query strings, and body content dynamically based on method calls and input parameters. The class uses OkHttp's `RequestBody` and `Headers` classes to construct the full HTTP request object,</t>
        </is>
      </c>
      <c r="M1609" t="n">
        <v>0.0031</v>
      </c>
      <c r="N1609" t="n">
        <v>0.0299</v>
      </c>
      <c r="O1609" t="n">
        <v>0.0769</v>
      </c>
    </row>
    <row r="1610">
      <c r="A1610" t="inlineStr">
        <is>
          <t>retrofit</t>
        </is>
      </c>
      <c r="B1610" t="inlineStr">
        <is>
          <t>retrofit/src/main/java/retrofit2/CallAdapter.java</t>
        </is>
      </c>
      <c r="C1610">
        <f>HYPERLINK("https://github.com/square/retrofit/blob/master/retrofit/src/main/java/retrofit2/CallAdapter.java")</f>
        <v/>
      </c>
      <c r="D1610" t="inlineStr">
        <is>
          <t>The provided Java code defines a `Converter` interface that converts between raw HTTP responses (`Response`) and application-specific data types (`T`). It includes methods for converting from a `Response&lt;T&gt;` to `T`, as well as from `T` back to `Request`. The class also handles parameterized types and annotations, allowing it to adapt different request/response formats seamlessly. This conversion process is crucial for</t>
        </is>
      </c>
      <c r="E1610" t="n">
        <v>0.0036</v>
      </c>
      <c r="F1610" t="n">
        <v>0.0282</v>
      </c>
      <c r="G1610" t="n">
        <v>0.07580000000000001</v>
      </c>
      <c r="H1610" t="inlineStr">
        <is>
          <t>Implements core algorithms for backend software components.</t>
        </is>
      </c>
      <c r="I1610" t="n">
        <v>0.0341</v>
      </c>
      <c r="J1610" t="n">
        <v>0.2667</v>
      </c>
      <c r="K1610" t="n">
        <v>0.3235</v>
      </c>
      <c r="L1610" t="inlineStr">
        <is>
          <t>This Java class `ResponseConverter` provides a mechanism to convert a generic `Call&lt;R&gt;` into another specified type `T`. It uses reflection to determine how to map the response body from `R` to `T`, allowing for flexible conversion based on the target type's structure. The class includes methods to handle different types of responses, including handling null values gracefully.</t>
        </is>
      </c>
      <c r="M1610" t="n">
        <v>0.0032</v>
      </c>
      <c r="N1610" t="n">
        <v>0.0299</v>
      </c>
      <c r="O1610" t="n">
        <v>0.0775</v>
      </c>
    </row>
    <row r="1611">
      <c r="A1611" t="inlineStr">
        <is>
          <t>retrofit</t>
        </is>
      </c>
      <c r="B1611" t="inlineStr">
        <is>
          <t>retrofit/src/main/java/retrofit2/package-info.java</t>
        </is>
      </c>
      <c r="C1611">
        <f>HYPERLINK("https://github.com/square/retrofit/blob/master/retrofit/src/main/java/retrofit2/package-info.java")</f>
        <v/>
      </c>
      <c r="D1611" t="inlineStr">
        <is>
          <t>Retrofit is a library that simplifies making network requests in Android applications by converting HTTP endpoints into Java interfaces. It allows developers to define APIs using annotations like `@GET`, `@POST`, etc., and automatically handles the conversion between JSON data and Java objects. The example demonstrates how to create an interface for listing repositories from a GitHub API.</t>
        </is>
      </c>
      <c r="E1611" t="n">
        <v>0.0032</v>
      </c>
      <c r="F1611" t="n">
        <v>0.0308</v>
      </c>
      <c r="G1611" t="n">
        <v>0.0775</v>
      </c>
      <c r="H1611" t="inlineStr">
        <is>
          <t>Retrofit is a library that simplifies consuming web services in Android applications by converting HTTP requests to Java interfaces. It allows developers to define APIs using annotations and automatically handles the conversion between JSON data and Java objects. The complexity of this project is high due to its extensive features and integration with other libraries like OkHttp for network operations.</t>
        </is>
      </c>
      <c r="I1611" t="n">
        <v>0.003</v>
      </c>
      <c r="J1611" t="n">
        <v>0.0588</v>
      </c>
      <c r="K1611" t="n">
        <v>0.1136</v>
      </c>
      <c r="L1611" t="inlineStr">
        <is>
          <t>Retrofit is a popular library for creating HTTP clients that convert JSON responses from web services into Java objects. It simplifies network requests by allowing developers to define interfaces representing their APIs and automatically handling serialization/deserialization using annotations like `@GET` and `@Path`. The example demonstrates how to use Retrofit to interact with a GitHub API to retrieve repositories for a given user.</t>
        </is>
      </c>
      <c r="M1611" t="n">
        <v>0.0029</v>
      </c>
      <c r="N1611" t="n">
        <v>0.0282</v>
      </c>
      <c r="O1611" t="n">
        <v>0.0746</v>
      </c>
    </row>
    <row r="1612">
      <c r="A1612" t="inlineStr">
        <is>
          <t>retrofit</t>
        </is>
      </c>
      <c r="B1612" t="inlineStr">
        <is>
          <t>retrofit/src/main/java/retrofit2/OkHttpCall.java</t>
        </is>
      </c>
      <c r="C1612">
        <f>HYPERLINK("https://github.com/square/retrofit/blob/master/retrofit/src/main/java/retrofit2/OkHttpCall.java")</f>
        <v/>
      </c>
      <c r="D1612" t="inlineStr">
        <is>
          <t>The provided Java code snippet defines a class `ResponseBody` that extends `java.lang.Object`. It includes methods for handling HTTP response bodies using OkHttp library. The class provides functionalities such as reading from the body, checking if it's complete, and throwing exceptions if necessary. The implementation uses OkHttp's `BufferedSource` to manage the data source efficiently.</t>
        </is>
      </c>
      <c r="E1612" t="n">
        <v>0.0035</v>
      </c>
      <c r="F1612" t="n">
        <v>0.0615</v>
      </c>
      <c r="G1612" t="n">
        <v>0.12</v>
      </c>
      <c r="H1612" t="inlineStr">
        <is>
          <t>This repository contains backend software components implementing core algorithms. The complexity of the implementation is O(N), indicating that it scales linearly with input size.</t>
        </is>
      </c>
      <c r="I1612" t="n">
        <v>0.0104</v>
      </c>
      <c r="J1612" t="n">
        <v>0.2424</v>
      </c>
      <c r="K1612" t="n">
        <v>0.2083</v>
      </c>
      <c r="L1612" t="inlineStr">
        <is>
          <t>This Java class provides utilities for handling HTTP responses from Retrofit requests, including error checking and response body manipulation. It includes methods for throwing fatal exceptions if necessary, reading response bodies safely, and managing timeouts. The implementation focuses on maintaining clarity and efficiency while adhering to best practices for code readability and maintainability.</t>
        </is>
      </c>
      <c r="M1612" t="n">
        <v>0.0041</v>
      </c>
      <c r="N1612" t="n">
        <v>0.0984</v>
      </c>
      <c r="O1612" t="n">
        <v>0.12</v>
      </c>
    </row>
    <row r="1613">
      <c r="A1613" t="inlineStr">
        <is>
          <t>retrofit</t>
        </is>
      </c>
      <c r="B1613" t="inlineStr">
        <is>
          <t>retrofit/src/main/java/retrofit2/BuiltInFactories.java</t>
        </is>
      </c>
      <c r="C1613">
        <f>HYPERLINK("https://github.com/square/retrofit/blob/master/retrofit/src/main/java/retrofit2/BuiltInFactories.java")</f>
        <v/>
      </c>
      <c r="D1613" t="inlineStr">
        <is>
          <t>The provided Java code defines a class `BuiltInFactories` within the Retrofit library, which serves as a factory for creating default call adapter factories used in Retrofit's HTTP client implementation. The class includes methods that return lists of `CallAdapter.Factory`, which are responsible for converting raw network responses into domain objects based on the specified response type. These factories are crucial for handling different types of data formats and</t>
        </is>
      </c>
      <c r="E1613" t="n">
        <v>0.0027</v>
      </c>
      <c r="F1613" t="n">
        <v>0.0519</v>
      </c>
      <c r="G1613" t="n">
        <v>0.07190000000000001</v>
      </c>
      <c r="H1613" t="inlineStr">
        <is>
          <t>The repository contains backend software components that implement core algorithms. The complexity is O(N), indicating linear time complexity, which suggests efficient processing of data structures where N represents the number of elements involved. Comments describe the implementation as focusing on core algorithms, while commits indicate the initial creation of the codebase. The total size of the codebase is 1000 lines.</t>
        </is>
      </c>
      <c r="I1613" t="n">
        <v>0.0036</v>
      </c>
      <c r="J1613" t="n">
        <v>0.08699999999999999</v>
      </c>
      <c r="K1613" t="n">
        <v>0.1136</v>
      </c>
      <c r="L1613" t="inlineStr">
        <is>
          <t>The `BuiltInFactories` class provides default implementations of `CallAdapter.Factory`, which are used to convert HTTP responses into typed objects based on the requested data type. It includes factories for JSON serialization/deserialization using Gson, XML parsing using Jackson, and other common formats. The class also supports custom executor services for asynchronous request handling.</t>
        </is>
      </c>
      <c r="M1613" t="n">
        <v>0.0036</v>
      </c>
      <c r="N1613" t="n">
        <v>0.06560000000000001</v>
      </c>
      <c r="O1613" t="n">
        <v>0.122</v>
      </c>
    </row>
    <row r="1614">
      <c r="A1614" t="inlineStr">
        <is>
          <t>retrofit</t>
        </is>
      </c>
      <c r="B1614" t="inlineStr">
        <is>
          <t>retrofit/src/main/java/retrofit2/ParameterHandler.java</t>
        </is>
      </c>
      <c r="C1614">
        <f>HYPERLINK("https://github.com/square/retrofit/blob/master/retrofit/src/main/java/retrofit2/ParameterHandler.java")</f>
        <v/>
      </c>
      <c r="D1614" t="inlineStr">
        <is>
          <t>The provided Java code defines an abstract class `ParameterHandler` that serves as a base for handling different types of parameters in Retrofit requests. It includes methods for applying parameter values to request builders and managing nullability. The class uses reflection to handle various data types such as arrays, maps, and custom objects. The implementation does not provide any concrete logic but rather outlines the structure for subclasses to implement specific behavior</t>
        </is>
      </c>
      <c r="E1614" t="n">
        <v>0.0026</v>
      </c>
      <c r="F1614" t="n">
        <v>0.0506</v>
      </c>
      <c r="G1614" t="n">
        <v>0.1049</v>
      </c>
      <c r="H1614" t="inlineStr">
        <is>
          <t>This repository contains backend software components that implement core algorithms. The complexity of these implementations is O(N), indicating linear time complexity relative to the size of the input data. The code size is 1000 lines, which suggests it includes multiple classes and methods related to various algorithmic tasks.</t>
        </is>
      </c>
      <c r="I1614" t="n">
        <v>0.0054</v>
      </c>
      <c r="J1614" t="n">
        <v>0.1754</v>
      </c>
      <c r="K1614" t="n">
        <v>0.2083</v>
      </c>
      <c r="L1614" t="inlineStr">
        <is>
          <t>This abstract class `ParameterHandler` defines a method `apply` that takes a `RequestBuilder` and a parameter value, applying the necessary HTTP request parameters based on the type of parameter being handled. It supports various types such as primitive values, arrays, maps, and complex objects like `RequestBody` and `MultipartBody`. The implementation details vary depending on the concrete subclass, which handles different data</t>
        </is>
      </c>
      <c r="M1614" t="n">
        <v>0.0036</v>
      </c>
      <c r="N1614" t="n">
        <v>0.0588</v>
      </c>
      <c r="O1614" t="n">
        <v>0.1136</v>
      </c>
    </row>
    <row r="1615">
      <c r="A1615" t="inlineStr">
        <is>
          <t>retrofit</t>
        </is>
      </c>
      <c r="B1615" t="inlineStr">
        <is>
          <t>retrofit/src/main/java/retrofit2/Response.java</t>
        </is>
      </c>
      <c r="C1615">
        <f>HYPERLINK("https://github.com/square/retrofit/blob/master/retrofit/src/main/java/retrofit2/Response.java")</f>
        <v/>
      </c>
      <c r="D1615" t="inlineStr">
        <is>
          <t>The provided code defines a `Response` class in Retrofit 2, which represents an HTTP response. It includes methods to create a successful response with a given body and retrieve various properties such as headers, status code, protocol, request, and body. The class uses generics to handle different types of responses based on the type parameter `T`.</t>
        </is>
      </c>
      <c r="E1615" t="n">
        <v>0.0033</v>
      </c>
      <c r="F1615" t="n">
        <v>0.0312</v>
      </c>
      <c r="G1615" t="n">
        <v>0.0781</v>
      </c>
      <c r="H1615" t="inlineStr">
        <is>
          <t>This repository contains backend software components that implement core algorithms. The complexity of these implementations is O(N), indicating linear time complexity. The code size is 1000 lines, which suggests it includes multiple modules and functionalities.</t>
        </is>
      </c>
      <c r="I1615" t="n">
        <v>0.0075</v>
      </c>
      <c r="J1615" t="n">
        <v>0.2273</v>
      </c>
      <c r="K1615" t="n">
        <v>0.2804</v>
      </c>
      <c r="L1615" t="inlineStr">
        <is>
          <t>The `Response` class encapsulates an HTTP response, providing methods to access various aspects such as headers, status code, protocol, request, and body. It includes a method to create a synthetic successful response with a given body. The class is part of Retrofit's implementation and is used to handle responses from network requests.</t>
        </is>
      </c>
      <c r="M1615" t="n">
        <v>0.0035</v>
      </c>
      <c r="N1615" t="n">
        <v>0.06560000000000001</v>
      </c>
      <c r="O1615" t="n">
        <v>0.121</v>
      </c>
    </row>
    <row r="1616">
      <c r="A1616" t="inlineStr">
        <is>
          <t>retrofit</t>
        </is>
      </c>
      <c r="B1616" t="inlineStr">
        <is>
          <t>retrofit/src/main/java/retrofit2/KotlinExtensions.kt</t>
        </is>
      </c>
      <c r="C1616">
        <f>HYPERLINK("https://github.com/square/retrofit/blob/master/retrofit/src/main/java/retrofit2/KotlinExtensions.kt")</f>
        <v/>
      </c>
      <c r="D1616" t="inlineStr">
        <is>
          <t>The provided Kotlin code defines a package `retrofit2` that includes extensions for handling coroutines using the `kotlinx.coroutines` library. The main function appears to be named `suspendCancellableCoroutineUninterceptedOrReturn`, which is used to create a suspending coroutine that can handle cancellation requests. This function intercepts the suspension point and resumes it when the coroutine is resumed normally</t>
        </is>
      </c>
      <c r="E1616" t="n">
        <v>0.004</v>
      </c>
      <c r="F1616" t="n">
        <v>0.09520000000000001</v>
      </c>
      <c r="G1616" t="n">
        <v>0.119</v>
      </c>
      <c r="H1616" t="inlineStr">
        <is>
          <t>The code implements core algorithms for backend software components. Complexity is O(N), indicating linear time complexity. The implementation uses Kotlin extensions and coroutine functions for asynchronous operations.</t>
        </is>
      </c>
      <c r="I1616" t="n">
        <v>0.0176</v>
      </c>
      <c r="J1616" t="n">
        <v>0.1667</v>
      </c>
      <c r="K1616" t="n">
        <v>0.3758</v>
      </c>
      <c r="L1616" t="inlineStr">
        <is>
          <t>This Kotlin extension package provides coroutine support for Retrofit requests, allowing developers to make network calls asynchronously using suspend functions. It includes methods like `enqueue`, `execute`, and `suspendCall` that wrap Retrofit's request execution mechanisms within coroutines, enabling more flexible and responsive asynchronous programming patterns. The package also supports cancellation through suspending cancellable coroutines, enhancing the robustness of network interactions.</t>
        </is>
      </c>
      <c r="M1616" t="n">
        <v>0.0037</v>
      </c>
      <c r="N1616" t="n">
        <v>0.0882</v>
      </c>
      <c r="O1616" t="n">
        <v>0.1145</v>
      </c>
    </row>
    <row r="1617">
      <c r="A1617" t="inlineStr">
        <is>
          <t>retrofit</t>
        </is>
      </c>
      <c r="B1617" t="inlineStr">
        <is>
          <t>retrofit/src/main/java/retrofit2/HttpServiceMethod.java</t>
        </is>
      </c>
      <c r="C1617">
        <f>HYPERLINK("https://github.com/square/retrofit/blob/master/retrofit/src/main/java/retrofit2/HttpServiceMethod.java")</f>
        <v/>
      </c>
      <c r="D1617" t="inlineStr">
        <is>
          <t>The provided Java code defines a class `Retrofit` that serves as a client library for making HTTP requests using Retrofit, a popular framework for building type-safe RESTful clients in Android applications. The class includes methods for creating instances of Retrofit, defining endpoints, and handling responses from those endpoints. It also supports asynchronous request execution through Kotlin coroutines.</t>
        </is>
      </c>
      <c r="E1617" t="n">
        <v>0.0032</v>
      </c>
      <c r="F1617" t="n">
        <v>0.0303</v>
      </c>
      <c r="G1617" t="n">
        <v>0.0775</v>
      </c>
      <c r="H1617" t="inlineStr">
        <is>
          <t>This repository contains backend software components that implement core algorithms. The complexity of the implementation is O(N), indicating linear time complexity. The comments provide detailed explanations of the algorithm's implementation. The commits include an initial codebase commit. The total size of the codebase is 1000 lines.</t>
        </is>
      </c>
      <c r="I1617" t="n">
        <v>0.0053</v>
      </c>
      <c r="J1617" t="n">
        <v>0.1429</v>
      </c>
      <c r="K1617" t="n">
        <v>0.1695</v>
      </c>
      <c r="L1617" t="inlineStr">
        <is>
          <t>This Java class `Retrofit` serves as a facade that simplifies HTTP requests using annotations like `@GET`, `@POST`, etc., allowing developers to define API endpoints without manually handling network connections. It uses reflection to parse method parameters and return types, automatically generating appropriate request bodies and parsing responses into objects based on annotated fields. The class also supports asynchronous execution through Kotlin coroutines.</t>
        </is>
      </c>
      <c r="M1617" t="n">
        <v>0.0035</v>
      </c>
      <c r="N1617" t="n">
        <v>0.0571</v>
      </c>
      <c r="O1617" t="n">
        <v>0.1119</v>
      </c>
    </row>
    <row r="1618">
      <c r="A1618" t="inlineStr">
        <is>
          <t>retrofit</t>
        </is>
      </c>
      <c r="B1618" t="inlineStr">
        <is>
          <t>retrofit/src/main/java/retrofit2/Retrofit.java</t>
        </is>
      </c>
      <c r="C1618">
        <f>HYPERLINK("https://github.com/square/retrofit/blob/master/retrofit/src/main/java/retrofit2/Retrofit.java")</f>
        <v/>
      </c>
      <c r="D1618" t="inlineStr">
        <is>
          <t>The provided Java code defines a class `Retrofit` that serves as a client-side library for making HTTP requests using Retrofit 2. It includes methods for creating instances of service interfaces annotated with annotations like `@GET`, `@POST`, etc., which map to RESTful endpoints. The class uses reflection to dynamically generate proxy objects that implement these service interfaces based on the method signatures defined in the annotations</t>
        </is>
      </c>
      <c r="E1618" t="n">
        <v>0</v>
      </c>
      <c r="F1618" t="n">
        <v>0.027</v>
      </c>
      <c r="G1618" t="n">
        <v>0.073</v>
      </c>
      <c r="H1618" t="inlineStr">
        <is>
          <t>This repository contains backend software components that implement core algorithms. The complexity of the implementation is O(N), indicating linear time complexity. The comments provide details about the algorithmic approach used. The commits include an initial codebase commit. The total size of the codebase is 1000 lines.</t>
        </is>
      </c>
      <c r="I1618" t="n">
        <v>0.0053</v>
      </c>
      <c r="J1618" t="n">
        <v>0.1455</v>
      </c>
      <c r="K1618" t="n">
        <v>0.1695</v>
      </c>
      <c r="L1618" t="inlineStr">
        <is>
          <t>This Java library provides Retrofit, a type-safe HTTP client that simplifies making network requests using annotations. It supports both synchronous and asynchronous calls and integrates well with Android applications. The library uses reflection to map method signatures to HTTP URLs, allowing developers to define API endpoints without writing boilerplate code.</t>
        </is>
      </c>
      <c r="M1618" t="n">
        <v>0.0044</v>
      </c>
      <c r="N1618" t="n">
        <v>0.0678</v>
      </c>
      <c r="O1618" t="n">
        <v>0.123</v>
      </c>
    </row>
    <row r="1619">
      <c r="A1619" t="inlineStr">
        <is>
          <t>retrofit</t>
        </is>
      </c>
      <c r="B1619" t="inlineStr">
        <is>
          <t>retrofit/src/main/java/retrofit2/CompletableFutureCallAdapterFactory.java</t>
        </is>
      </c>
      <c r="C1619">
        <f>HYPERLINK("https://github.com/square/retrofit/blob/master/retrofit/src/main/java/retrofit2/CompletableFutureCallAdapterFactory.java")</f>
        <v/>
      </c>
      <c r="D1619" t="inlineStr">
        <is>
          <t>The provided Java code defines a class `Retrofit` within the package `retrofit2`. This class appears to be part of a library designed for making HTTP requests using Retrofit, which is a popular framework for building network clients in Android applications. The code includes annotations and methods that facilitate the creation of Retrofit instances and handling of API endpoints. It also mentions support for asynchronous operations through the use of</t>
        </is>
      </c>
      <c r="E1619" t="n">
        <v>0.0031</v>
      </c>
      <c r="F1619" t="n">
        <v>0.0519</v>
      </c>
      <c r="G1619" t="n">
        <v>0.1064</v>
      </c>
      <c r="H1619" t="inlineStr">
        <is>
          <t>This repository contains backend software components that implement core algorithms. The complexity of these implementations varies depending on the algorithm being used, but it ranges from O(1) for constant time operations to O(N^2) for quadratic time operations. The code size is approximately 1000 lines.</t>
        </is>
      </c>
      <c r="I1619" t="n">
        <v>0.0055</v>
      </c>
      <c r="J1619" t="n">
        <v>0.1455</v>
      </c>
      <c r="K1619" t="n">
        <v>0.1724</v>
      </c>
      <c r="L1619" t="inlineStr">
        <is>
          <t>This Java package provides Retrofit, a popular HTTP client library that simplifies making network requests from Android applications. It supports both synchronous and asynchronous calls using `CompletableFuture` for non-blocking operations. The library uses annotations to define API endpoints and automatically handles JSON serialization/deserialization.</t>
        </is>
      </c>
      <c r="M1619" t="n">
        <v>0.0051</v>
      </c>
      <c r="N1619" t="n">
        <v>0.0755</v>
      </c>
      <c r="O1619" t="n">
        <v>0.1304</v>
      </c>
    </row>
    <row r="1620">
      <c r="A1620" t="inlineStr">
        <is>
          <t>retrofit</t>
        </is>
      </c>
      <c r="B1620" t="inlineStr">
        <is>
          <t>retrofit/src/main/java/retrofit2/Platform.java</t>
        </is>
      </c>
      <c r="C1620">
        <f>HYPERLINK("https://github.com/square/retrofit/blob/master/retrofit/src/main/java/retrofit2/Platform.java")</f>
        <v/>
      </c>
      <c r="D1620" t="inlineStr">
        <is>
          <t>The provided code defines a `Platform` class within the Retrofit library that initializes various platform-specific settings such as executor services and reflection capabilities. The class uses system properties to determine the Java Virtual Machine name and sets up different configurations based on whether it's running on Android or another JVM. This setup allows Retrofit to adapt its behavior accordingly, optimizing performance and compatibility across different environments.</t>
        </is>
      </c>
      <c r="E1620" t="n">
        <v>0.0033</v>
      </c>
      <c r="F1620" t="n">
        <v>0.0526</v>
      </c>
      <c r="G1620" t="n">
        <v>0.1087</v>
      </c>
      <c r="H1620" t="inlineStr">
        <is>
          <t>The repository contains backend software components that implement core algorithms. The complexity is O(N), indicating linear time complexity. The implementation includes comments explaining the purpose of each part of the code. There have been several commits since the initial codebase was created, and the total size of the codebase is 1000 lines.</t>
        </is>
      </c>
      <c r="I1620" t="n">
        <v>0.0046</v>
      </c>
      <c r="J1620" t="n">
        <v>0.1311</v>
      </c>
      <c r="K1620" t="n">
        <v>0.2016</v>
      </c>
      <c r="L1620" t="inlineStr">
        <is>
          <t>The `Platform` class provides platform-specific implementations for Retrofit's networking capabilities. It includes methods for handling callbacks and executing network requests using different executors based on the Java Virtual Machine name. The class uses reflection to access system properties and determines whether to use Dalvik or ART as the JVM implementation.</t>
        </is>
      </c>
      <c r="M1620" t="n">
        <v>0.0037</v>
      </c>
      <c r="N1620" t="n">
        <v>0.0667</v>
      </c>
      <c r="O1620" t="n">
        <v>0.123</v>
      </c>
    </row>
    <row r="1621">
      <c r="A1621" t="inlineStr">
        <is>
          <t>retrofit</t>
        </is>
      </c>
      <c r="B1621" t="inlineStr">
        <is>
          <t>retrofit/src/main/java/retrofit2/SkipCallbackExecutorImpl.java</t>
        </is>
      </c>
      <c r="C1621">
        <f>HYPERLINK("https://github.com/square/retrofit/blob/master/retrofit/src/main/java/retrofit2/SkipCallbackExecutorImpl.java")</f>
        <v/>
      </c>
      <c r="D1621" t="inlineStr">
        <is>
          <t>The provided Java code defines a `SkipCallbackExecutor` implementation that ensures certain annotations are present in an array. It includes a static instance of `SkipCallbackExecutorImpl`, a method `ensurePresent` to check for presence of annotations, and a comment indicating its purpose as part of a larger project. The complexity is O(N), where N is the number of annotations being checked.</t>
        </is>
      </c>
      <c r="E1621" t="n">
        <v>0.0031</v>
      </c>
      <c r="F1621" t="n">
        <v>0.0597</v>
      </c>
      <c r="G1621" t="n">
        <v>0.1154</v>
      </c>
      <c r="H1621" t="inlineStr">
        <is>
          <t>The repository contains backend software components that implement core algorithms. The complexity of these implementations is O(N), indicating linear time complexity. The comments describe their implementation as core algorithms. The commits indicate the initial creation of the codebase. The total size of the codebase is 1000 lines.</t>
        </is>
      </c>
      <c r="I1621" t="n">
        <v>0.0046</v>
      </c>
      <c r="J1621" t="n">
        <v>0.1071</v>
      </c>
      <c r="K1621" t="n">
        <v>0.1261</v>
      </c>
      <c r="L1621" t="inlineStr">
        <is>
          <t>This Java class `SkipCallbackExecutorImpl` implements the `SkipCallbackExecutor` interface from Retrofit, which is used to skip callback execution during network requests. The method `ensurePresent` checks for the presence of specified annotations and returns them as an array. The implementation uses a singleton pattern to provide a global instance of `SkipCallbackExecutor`.</t>
        </is>
      </c>
      <c r="M1621" t="n">
        <v>0.0049</v>
      </c>
      <c r="N1621" t="n">
        <v>0.1053</v>
      </c>
      <c r="O1621" t="n">
        <v>0.1653</v>
      </c>
    </row>
    <row r="1622">
      <c r="A1622" t="inlineStr">
        <is>
          <t>retrofit</t>
        </is>
      </c>
      <c r="B1622" t="inlineStr">
        <is>
          <t>retrofit/src/main/java/retrofit2/Converter.java</t>
        </is>
      </c>
      <c r="C1622">
        <f>HYPERLINK("https://github.com/square/retrofit/blob/master/retrofit/src/main/java/retrofit2/Converter.java")</f>
        <v/>
      </c>
      <c r="D1622" t="inlineStr">
        <is>
          <t>The provided Java code defines Retrofit annotations used for defining HTTP requests. It includes annotations like `@Body`, `@Field`, `@FieldMap`, `@Header`, and `@Head` which can be applied to methods in interfaces annotated with `@RestService`. These annotations allow developers to specify how data should be sent and received over HTTP using Retrofit's client library. The complexity of the implementation</t>
        </is>
      </c>
      <c r="E1622" t="n">
        <v>0.0032</v>
      </c>
      <c r="F1622" t="n">
        <v>0.0303</v>
      </c>
      <c r="G1622" t="n">
        <v>0.1163</v>
      </c>
      <c r="H1622" t="inlineStr">
        <is>
          <t>This repository contains backend software components implementing core algorithms. The complexity of these implementations is O(N), indicating linear time complexity relative to input size.</t>
        </is>
      </c>
      <c r="I1622" t="n">
        <v>0.0104</v>
      </c>
      <c r="J1622" t="n">
        <v>0.2424</v>
      </c>
      <c r="K1622" t="n">
        <v>0.2083</v>
      </c>
      <c r="L1622" t="inlineStr">
        <is>
          <t>This Java library provides Retrofit, a type-safe HTTP client for Android and Java applications that simplifies network requests using annotations. It supports various request methods like GET, POST, PUT, DELETE, etc., and can handle JSON data through `@Body` annotation. The library also allows mapping query parameters (`@Query`) and form fields (`@Field`, `@FieldMap`).</t>
        </is>
      </c>
      <c r="M1622" t="n">
        <v>0.0042</v>
      </c>
      <c r="N1622" t="n">
        <v>0.06560000000000001</v>
      </c>
      <c r="O1622" t="n">
        <v>0.121</v>
      </c>
    </row>
    <row r="1623">
      <c r="A1623" t="inlineStr">
        <is>
          <t>retrofit</t>
        </is>
      </c>
      <c r="B1623" t="inlineStr">
        <is>
          <t>retrofit/src/main/java/retrofit2/Reflection.java</t>
        </is>
      </c>
      <c r="C1623">
        <f>HYPERLINK("https://github.com/square/retrofit/blob/master/retrofit/src/main/java/retrofit2/Reflection.java")</f>
        <v/>
      </c>
      <c r="D1623" t="inlineStr">
        <is>
          <t>The provided Java class `Reflection` from the Retrofit library includes methods related to reflection operations, specifically checking if a method is a default method and invoking it using reflection. The class uses Android-specific annotations and handles null values gracefully. It does not contain any complex logic but rather serves as a utility for handling reflective operations within the Retrofit framework.</t>
        </is>
      </c>
      <c r="E1623" t="n">
        <v>0.003</v>
      </c>
      <c r="F1623" t="n">
        <v>0.058</v>
      </c>
      <c r="G1623" t="n">
        <v>0.07580000000000001</v>
      </c>
      <c r="H1623" t="inlineStr">
        <is>
          <t>This repository contains backend software components that implement core algorithms. The complexity of these implementations is O(N), indicating linear time complexity. The code size is 1000 lines, which suggests it includes multiple modules or classes.</t>
        </is>
      </c>
      <c r="I1623" t="n">
        <v>0.007</v>
      </c>
      <c r="J1623" t="n">
        <v>0.1818</v>
      </c>
      <c r="K1623" t="n">
        <v>0.2336</v>
      </c>
      <c r="L1623" t="inlineStr">
        <is>
          <t>The `Reflection` class provides methods to check if a given method is a default method and to invoke a default method using reflection. It includes a simple implementation that always returns `false` for checking default methods and uses reflection to invoke them when necessary. The class is part of a larger library used for handling HTTP requests in Android applications.</t>
        </is>
      </c>
      <c r="M1623" t="n">
        <v>0.003</v>
      </c>
      <c r="N1623" t="n">
        <v>0.0588</v>
      </c>
      <c r="O1623" t="n">
        <v>0.1136</v>
      </c>
    </row>
    <row r="1624">
      <c r="A1624" t="inlineStr">
        <is>
          <t>retrofit</t>
        </is>
      </c>
      <c r="B1624" t="inlineStr">
        <is>
          <t>retrofit/src/main/java/retrofit2/BuiltInConverters.java</t>
        </is>
      </c>
      <c r="C1624">
        <f>HYPERLINK("https://github.com/square/retrofit/blob/master/retrofit/src/main/java/retrofit2/BuiltInConverters.java")</f>
        <v/>
      </c>
      <c r="D1624" t="inlineStr">
        <is>
          <t>The `BuiltInConverters` class in Retrofit 2 provides built-in converters for handling HTTP responses and requests. It includes support for converting between Java objects and JSON using Gson, as well as streaming responses without loading them into memory all at once. The class implements the `Converter.Factory` interface, allowing it to be used to register these converters with Retrofit instances.</t>
        </is>
      </c>
      <c r="E1624" t="n">
        <v>0.0037</v>
      </c>
      <c r="F1624" t="n">
        <v>0.0294</v>
      </c>
      <c r="G1624" t="n">
        <v>0.1154</v>
      </c>
      <c r="H1624" t="inlineStr">
        <is>
          <t>This repository contains backend software components that implement core algorithms. The complexity is high due to the extensive implementation of various algorithms. The comments provide details about the implementation process. There have been multiple commits since the initial codebase was created. The total size of the codebase is large, indicating a comprehensive set of functionalities.</t>
        </is>
      </c>
      <c r="I1624" t="n">
        <v>0.0044</v>
      </c>
      <c r="J1624" t="n">
        <v>0.1587</v>
      </c>
      <c r="K1624" t="n">
        <v>0.1575</v>
      </c>
      <c r="L1624" t="inlineStr">
        <is>
          <t>This code defines a `BuiltInConverters` factory that provides built-in converters for Retrofit, handling common data types like JSON and raw byte streams. It includes methods for converting between `ResponseBody` and various Java objects using annotations such as `@Streaming`. The implementation complexity is O(1), and existing comments indicate its role in implementing core algorithms for Retrofit's conversion capabilities.</t>
        </is>
      </c>
      <c r="M1624" t="n">
        <v>0.0042</v>
      </c>
      <c r="N1624" t="n">
        <v>0.0882</v>
      </c>
      <c r="O1624" t="n">
        <v>0.2884</v>
      </c>
    </row>
    <row r="1625">
      <c r="A1625" t="inlineStr">
        <is>
          <t>retrofit</t>
        </is>
      </c>
      <c r="B1625" t="inlineStr">
        <is>
          <t>retrofit/src/main/java/retrofit2/Utils.java</t>
        </is>
      </c>
      <c r="C1625">
        <f>HYPERLINK("https://github.com/square/retrofit/blob/master/retrofit/src/main/java/retrofit2/Utils.java")</f>
        <v/>
      </c>
      <c r="D1625" t="inlineStr">
        <is>
          <t>The provided Java code defines a package `retrofit2` that includes classes and interfaces related to building HTTP clients using Retrofit, a popular library for making network requests in Android applications. The code does not contain any actual implementation details but rather serves as documentation and metadata about the package's structure and purpose. It outlines the license terms, copyright information, and provides links to additional resources such as the Apache</t>
        </is>
      </c>
      <c r="E1625" t="n">
        <v>0.0026</v>
      </c>
      <c r="F1625" t="n">
        <v>0.0513</v>
      </c>
      <c r="G1625" t="n">
        <v>0.1064</v>
      </c>
      <c r="H1625" t="inlineStr">
        <is>
          <t>This repository contains backend software components that implement core algorithms. The complexity of the implementation is O(N), indicating linear time complexity. The code size is 1000 lines, making it relatively large but focused on providing efficient algorithmic solutions.</t>
        </is>
      </c>
      <c r="I1625" t="n">
        <v>0.0064</v>
      </c>
      <c r="J1625" t="n">
        <v>0.1702</v>
      </c>
      <c r="K1625" t="n">
        <v>0.1818</v>
      </c>
      <c r="L1625" t="inlineStr">
        <is>
          <t>This Java library provides Retrofit, a type-safe HTTP client for Android and Java applications that simplifies making network requests using annotations. It supports both synchronous and asynchronous calls and can handle various data formats like JSON and XML. The library uses reflection to map method parameters to request bodies and responses to model classes.</t>
        </is>
      </c>
      <c r="M1625" t="n">
        <v>0.004</v>
      </c>
      <c r="N1625" t="n">
        <v>0.0635</v>
      </c>
      <c r="O1625" t="n">
        <v>0.119</v>
      </c>
    </row>
    <row r="1626">
      <c r="A1626" t="inlineStr">
        <is>
          <t>retrofit</t>
        </is>
      </c>
      <c r="B1626" t="inlineStr">
        <is>
          <t>retrofit/src/main/java/retrofit2/SkipCallbackExecutor.java</t>
        </is>
      </c>
      <c r="C1626">
        <f>HYPERLINK("https://github.com/square/retrofit/blob/master/retrofit/src/main/java/retrofit2/SkipCallbackExecutor.java")</f>
        <v/>
      </c>
      <c r="D1626" t="inlineStr">
        <is>
          <t>The provided Java code defines an annotation `@NoCallAdapterFactory` which can be used to modify how Retrofit handles HTTP calls that return types annotated with `Call`. The annotation specifies that Retrofit should not create actual call objects but instead provide a custom implementation that might handle the request differently, such as caching responses or modifying headers before sending them. This allows developers to customize the behavior of Retrofit's default handling of</t>
        </is>
      </c>
      <c r="E1626" t="n">
        <v>0.0026</v>
      </c>
      <c r="F1626" t="n">
        <v>0.0253</v>
      </c>
      <c r="G1626" t="n">
        <v>0.1056</v>
      </c>
      <c r="H1626" t="inlineStr">
        <is>
          <t>The code implements core algorithms for a backend system. It includes comments explaining the implementation details and commits detailing the initial creation of the codebase. The complexity is rated as O(N), indicating that it scales linearly with input size.</t>
        </is>
      </c>
      <c r="I1626" t="n">
        <v>0.0111</v>
      </c>
      <c r="J1626" t="n">
        <v>0.125</v>
      </c>
      <c r="K1626" t="n">
        <v>0.2302</v>
      </c>
      <c r="L1626" t="inlineStr">
        <is>
          <t>This Java code defines a Retrofit annotation `@CallAdapterFactory` that allows developers to customize how HTTP calls are executed. It provides a way to integrate different call execution strategies into Retrofit's request handling pipeline. The annotation targets methods annotated with `@GET`, `@POST`, etc., allowing users to specify custom adapters for each endpoint.</t>
        </is>
      </c>
      <c r="M1626" t="n">
        <v>0.0036</v>
      </c>
      <c r="N1626" t="n">
        <v>0.0333</v>
      </c>
      <c r="O1626" t="n">
        <v>0.0407</v>
      </c>
    </row>
    <row r="1627">
      <c r="A1627" t="inlineStr">
        <is>
          <t>retrofit</t>
        </is>
      </c>
      <c r="B1627" t="inlineStr">
        <is>
          <t>retrofit/src/main/java/retrofit2/Invocation.java</t>
        </is>
      </c>
      <c r="C1627">
        <f>HYPERLINK("https://github.com/square/retrofit/blob/master/retrofit/src/main/java/retrofit2/Invocation.java")</f>
        <v/>
      </c>
      <c r="D1627" t="inlineStr">
        <is>
          <t>The provided code defines a `ServiceMethod` class within the Retrofit library, which represents a single invocation of a Retrofit service interface method. It includes fields for the method being invoked (`method`), its parameters (`parameters`), and annotations associated with the method (`annotations`). The class provides methods to retrieve these details and perform operations related to the service call.</t>
        </is>
      </c>
      <c r="E1627" t="n">
        <v>0.0032</v>
      </c>
      <c r="F1627" t="n">
        <v>0.0308</v>
      </c>
      <c r="G1627" t="n">
        <v>0.0388</v>
      </c>
      <c r="H1627" t="inlineStr">
        <is>
          <t>This repository contains backend software components implementing core algorithms. Complexity is O(N), indicating linear time complexity for certain operations. Comments provide detailed explanations of the implementation. Initial codebase commit marks the start of development. The total size of the codebase is 1000 lines.</t>
        </is>
      </c>
      <c r="I1627" t="n">
        <v>0.0056</v>
      </c>
      <c r="J1627" t="n">
        <v>0.1538</v>
      </c>
      <c r="K1627" t="n">
        <v>0.2745</v>
      </c>
      <c r="L1627" t="inlineStr">
        <is>
          <t>This class represents a single call made to a Retrofit service interface method, capturing both the invoked method and its parameters. It is used internally by Retrofit to handle HTTP requests based on the annotated methods defined in the service interfaces.</t>
        </is>
      </c>
      <c r="M1627" t="n">
        <v>0.0054</v>
      </c>
      <c r="N1627" t="n">
        <v>0.08160000000000001</v>
      </c>
      <c r="O1627" t="n">
        <v>0.1327</v>
      </c>
    </row>
    <row r="1628">
      <c r="A1628" t="inlineStr">
        <is>
          <t>retrofit</t>
        </is>
      </c>
      <c r="B1628" t="inlineStr">
        <is>
          <t>retrofit/src/main/java/retrofit2/AndroidMainExecutor.java</t>
        </is>
      </c>
      <c r="C1628">
        <f>HYPERLINK("https://github.com/square/retrofit/blob/master/retrofit/src/main/java/retrofit2/AndroidMainExecutor.java")</f>
        <v/>
      </c>
      <c r="D1628" t="inlineStr">
        <is>
          <t>The provided code defines a custom `Executor` implementation called `AndroidMainExecutor`. This executor uses an Android-specific `Handler` that posts tasks back onto the main thread's message queue. The primary purpose of this executor is to ensure that any work performed using it runs on the UI thread, which is crucial for maintaining the responsiveness of applications running on Android devices.</t>
        </is>
      </c>
      <c r="E1628" t="n">
        <v>0.0031</v>
      </c>
      <c r="F1628" t="n">
        <v>0.029</v>
      </c>
      <c r="G1628" t="n">
        <v>0.1145</v>
      </c>
      <c r="H1628" t="inlineStr">
        <is>
          <t>Provides an executor that posts tasks to the main thread using Android's `Handler`.</t>
        </is>
      </c>
      <c r="I1628" t="n">
        <v>0</v>
      </c>
      <c r="J1628" t="n">
        <v>0</v>
      </c>
      <c r="K1628" t="n">
        <v>0.0588</v>
      </c>
      <c r="L1628" t="inlineStr">
        <is>
          <t>This code defines an `AndroidMainExecutor` class that executes tasks on the main thread using an `Handler`. It provides a simple way to ensure that UI updates occur on the correct thread, which is crucial for maintaining app stability and responsiveness. The implementation uses the `Looper.getMainLooper()` method to get the main looper associated with the application's main thread and posts the given runnable task to it</t>
        </is>
      </c>
      <c r="M1628" t="n">
        <v>0.0033</v>
      </c>
      <c r="N1628" t="n">
        <v>0.08</v>
      </c>
      <c r="O1628" t="n">
        <v>0.146</v>
      </c>
    </row>
    <row r="1629">
      <c r="A1629" t="inlineStr">
        <is>
          <t>retrofit</t>
        </is>
      </c>
      <c r="B1629" t="inlineStr">
        <is>
          <t>retrofit/src/main/java/retrofit2/RequestFactory.java</t>
        </is>
      </c>
      <c r="C1629">
        <f>HYPERLINK("https://github.com/square/retrofit/blob/master/retrofit/src/main/java/retrofit2/RequestFactory.java")</f>
        <v/>
      </c>
      <c r="D1629" t="inlineStr">
        <is>
          <t>The provided code appears to be part of Retrofit, a popular HTTP client library for Android and Java applications. It includes utility methods for handling errors related to method and parameter annotations during API calls. The code uses reflection to inspect method signatures and parameters, providing error messages if there are issues such as missing or incorrect annotations. This helps ensure that developers adhere to proper usage guidelines when working with Retrofit APIs.</t>
        </is>
      </c>
      <c r="E1629" t="n">
        <v>0.003</v>
      </c>
      <c r="F1629" t="n">
        <v>0.0247</v>
      </c>
      <c r="G1629" t="n">
        <v>0.1034</v>
      </c>
      <c r="H1629" t="inlineStr">
        <is>
          <t>The code implements core algorithms for backend software components. It includes methods for handling method errors, parameter errors, I/O operations, reflection-based type checking, URI manipulation, list management, set operations, and more. The complexity is O(N), indicating that it scales linearly with input size.</t>
        </is>
      </c>
      <c r="I1629" t="n">
        <v>0.0108</v>
      </c>
      <c r="J1629" t="n">
        <v>0.1111</v>
      </c>
      <c r="K1629" t="n">
        <v>0.2745</v>
      </c>
      <c r="L1629" t="inlineStr">
        <is>
          <t>The provided code defines a Retrofit library that facilitates HTTP requests using annotations. It includes methods for creating service interfaces, handling method errors, parameter validation, and managing URI construction. The code complexity is O(N), where N represents the number of API endpoints defined in the service interface.</t>
        </is>
      </c>
      <c r="M1629" t="n">
        <v>0.0039</v>
      </c>
      <c r="N1629" t="n">
        <v>0.0357</v>
      </c>
      <c r="O1629" t="n">
        <v>0.08400000000000001</v>
      </c>
    </row>
    <row r="1630">
      <c r="A1630" t="inlineStr">
        <is>
          <t>retrofit</t>
        </is>
      </c>
      <c r="B1630" t="inlineStr">
        <is>
          <t>retrofit/src/main/java/retrofit2/ServiceMethod.java</t>
        </is>
      </c>
      <c r="C1630">
        <f>HYPERLINK("https://github.com/square/retrofit/blob/master/retrofit/src/main/java/retrofit2/ServiceMethod.java")</f>
        <v/>
      </c>
      <c r="D1630" t="inlineStr">
        <is>
          <t>The provided code defines an abstract class `ServiceMethod` within the Retrofit library, which serves as a base for handling HTTP requests generated from annotated methods in Java interfaces. The class includes a static method `parseAnnotations` that takes a Retrofit instance, a service interface class, and a method from that interface, then parses annotations to create a `RequestFactory`. This factory is responsible for constructing actual HTTP requests</t>
        </is>
      </c>
      <c r="E1630" t="n">
        <v>0.0033</v>
      </c>
      <c r="F1630" t="n">
        <v>0.027</v>
      </c>
      <c r="G1630" t="n">
        <v>0.0725</v>
      </c>
      <c r="H1630" t="inlineStr">
        <is>
          <t>This repository contains backend software components that implement core algorithms. The complexity of the implementation is O(N), indicating linear time complexity. The comments describe the purpose of each part of the code, while the commits log the initial creation of the codebase. The total size of the codebase is 1000 lines.</t>
        </is>
      </c>
      <c r="I1630" t="n">
        <v>0.0047</v>
      </c>
      <c r="J1630" t="n">
        <v>0.1333</v>
      </c>
      <c r="K1630" t="n">
        <v>0.2033</v>
      </c>
      <c r="L1630" t="inlineStr">
        <is>
          <t>This abstract class `ServiceMethod` serves as a base for handling HTTP requests generated from Retrofit annotations. It includes methods for parsing annotations, creating request factories, and executing network calls. The implementation details are encapsulated within subclasses that handle different types of HTTP methods like GET, POST, etc., ensuring flexibility and reusability across various services defined in the application.</t>
        </is>
      </c>
      <c r="M1630" t="n">
        <v>0.0037</v>
      </c>
      <c r="N1630" t="n">
        <v>0.09089999999999999</v>
      </c>
      <c r="O1630" t="n">
        <v>0.1154</v>
      </c>
    </row>
    <row r="1631">
      <c r="A1631" t="inlineStr">
        <is>
          <t>retrofit</t>
        </is>
      </c>
      <c r="B1631" t="inlineStr">
        <is>
          <t>retrofit/src/main/java/retrofit2/DefaultCallAdapterFactory.java</t>
        </is>
      </c>
      <c r="C1631">
        <f>HYPERLINK("https://github.com/square/retrofit/blob/master/retrofit/src/main/java/retrofit2/DefaultCallAdapterFactory.java")</f>
        <v/>
      </c>
      <c r="D1631" t="inlineStr">
        <is>
          <t>The `DefaultCallAdapterFactory` is a Retrofit call adapter factory that provides default implementations for HTTP requests using OkHttp. It handles various types of responses such as raw bytes, JSON objects, and custom data classes. The factory uses Java reflection to determine the appropriate response type and creates a corresponding `Call` object based on the request method and URL. This allows developers to easily integrate Retrofit into their applications for</t>
        </is>
      </c>
      <c r="E1631" t="n">
        <v>0.0032</v>
      </c>
      <c r="F1631" t="n">
        <v>0.0526</v>
      </c>
      <c r="G1631" t="n">
        <v>0.1429</v>
      </c>
      <c r="H1631" t="inlineStr">
        <is>
          <t>The repository contains backend software components that implement core algorithms. The complexity of the implementation is O(N), indicating linear time complexity. The comments provide details about the algorithm's purpose, while the commits record the initial creation of the codebase. The total size of the codebase is 1000 lines.</t>
        </is>
      </c>
      <c r="I1631" t="n">
        <v>0.0045</v>
      </c>
      <c r="J1631" t="n">
        <v>0.1034</v>
      </c>
      <c r="K1631" t="n">
        <v>0.125</v>
      </c>
      <c r="L1631" t="inlineStr">
        <is>
          <t>The `DefaultCallAdapterFactory` is a Retrofit call adapter factory that provides default implementations for HTTP calls. It handles various types of responses, such as JSON, XML, and custom data formats, using OkHttp's request and response handling capabilities. The factory uses Java reflection to determine the appropriate deserialization strategy based on the method parameter type and returns a `Call` object that can be executed asynchronously.</t>
        </is>
      </c>
      <c r="M1631" t="n">
        <v>0.0029</v>
      </c>
      <c r="N1631" t="n">
        <v>0.0556</v>
      </c>
      <c r="O1631" t="n">
        <v>0.1111</v>
      </c>
    </row>
    <row r="1632">
      <c r="A1632" t="inlineStr">
        <is>
          <t>retrofit</t>
        </is>
      </c>
      <c r="B1632" t="inlineStr">
        <is>
          <t>retrofit/src/main/java/retrofit2/DefaultMethodSupport.java</t>
        </is>
      </c>
      <c r="C1632">
        <f>HYPERLINK("https://github.com/square/retrofit/blob/master/retrofit/src/main/java/retrofit2/DefaultMethodSupport.java")</f>
        <v/>
      </c>
      <c r="D1632" t="inlineStr">
        <is>
          <t>The provided code snippet defines a class `Retrofit` within the package `retrofit2`. It includes comments explaining its purpose and copyright information. The class does not contain any executable code but rather serves as documentation for the Retrofit library, which is used for making HTTP requests in Android applications.</t>
        </is>
      </c>
      <c r="E1632" t="n">
        <v>0.0038</v>
      </c>
      <c r="F1632" t="n">
        <v>0.0357</v>
      </c>
      <c r="G1632" t="n">
        <v>0.0833</v>
      </c>
      <c r="H1632" t="inlineStr">
        <is>
          <t>This repository contains backend software components implementing core algorithms. The complexity of the implementation is O(N), indicating linear time complexity relative to the input size N. The comments provide details about the algorithm's implementation, while the commits document the initial creation of the codebase. The total code size is 1000 lines.</t>
        </is>
      </c>
      <c r="I1632" t="n">
        <v>0.0047</v>
      </c>
      <c r="J1632" t="n">
        <v>0.1311</v>
      </c>
      <c r="K1632" t="n">
        <v>0.1626</v>
      </c>
      <c r="L1632" t="inlineStr">
        <is>
          <t>The code provides utilities for invoking default methods on interfaces using reflection, which is necessary due to changes in how default methods can be accessed between Java 8 and Java 13. It includes classes like `Lookup` and `Method`, as well as utility methods for dynamically accessing these methods through reflection. The code is part of a larger library designed to support backward compatibility across different versions of Java.</t>
        </is>
      </c>
      <c r="M1632" t="n">
        <v>0.0027</v>
      </c>
      <c r="N1632" t="n">
        <v>0.0263</v>
      </c>
      <c r="O1632" t="n">
        <v>0.07140000000000001</v>
      </c>
    </row>
    <row r="1633">
      <c r="A1633" t="inlineStr">
        <is>
          <t>retrofit</t>
        </is>
      </c>
      <c r="B1633" t="inlineStr">
        <is>
          <t>retrofit/src/main/java/retrofit2/Callback.java</t>
        </is>
      </c>
      <c r="C1633">
        <f>HYPERLINK("https://github.com/square/retrofit/blob/master/retrofit/src/main/java/retrofit2/Callback.java")</f>
        <v/>
      </c>
      <c r="D1633" t="inlineStr">
        <is>
          <t>The provided Java code defines a `Callback` interface in the `retrofit2` package. This interface is designed to handle asynchronous responses from network requests made through Retrofit, which is a popular HTTP client library for Android and other platforms. The `Callback` interface has two abstract methods:
1. **onResponse(Response&lt;T&gt;, RetrofitError error)**: This method is called when a successful response is</t>
        </is>
      </c>
      <c r="E1633" t="n">
        <v>0.0037</v>
      </c>
      <c r="F1633" t="n">
        <v>0.0588</v>
      </c>
      <c r="G1633" t="n">
        <v>0.0769</v>
      </c>
      <c r="H1633" t="inlineStr">
        <is>
          <t>This repository contains backend software components that implement core algorithms. The complexity of these implementations is O(N), indicating linear time complexity. The comments provide detailed explanations of the implementation process, while the commits document the initial creation of the codebase. The total size of the codebase is 1000 lines.</t>
        </is>
      </c>
      <c r="I1633" t="n">
        <v>0.0049</v>
      </c>
      <c r="J1633" t="n">
        <v>0.1379</v>
      </c>
      <c r="K1633" t="n">
        <v>0.1653</v>
      </c>
      <c r="L1633" t="inlineStr">
        <is>
          <t>This class defines a callback interface for handling network responses in Retrofit, which allows developers to specify different behaviors based on whether the request was successful or failed. The callbacks are executed asynchronously using the Retrofit callback executor, defaulting to the UI thread for Android applications if no custom executor is set.</t>
        </is>
      </c>
      <c r="M1633" t="n">
        <v>0.0035</v>
      </c>
      <c r="N1633" t="n">
        <v>0.0333</v>
      </c>
      <c r="O1633" t="n">
        <v>0.0806</v>
      </c>
    </row>
    <row r="1634">
      <c r="A1634" t="inlineStr">
        <is>
          <t>retrofit</t>
        </is>
      </c>
      <c r="B1634" t="inlineStr">
        <is>
          <t>retrofit/src/main/java/retrofit2/http/Tag.java</t>
        </is>
      </c>
      <c r="C1634">
        <f>HYPERLINK("https://github.com/square/retrofit/blob/master/retrofit/src/main/java/retrofit2/http/Tag.java")</f>
        <v/>
      </c>
      <c r="D1634" t="inlineStr">
        <is>
          <t>The provided Java annotation `@Tag` is used to add an object as a request tag in Retrofit HTTP requests. It specifies that the annotated parameter should be treated as a request tag, where the type of the parameter serves as the key for tagging the request. This allows for easy identification and management of tags associated with network requests within Retrofit applications.</t>
        </is>
      </c>
      <c r="E1634" t="n">
        <v>0.0035</v>
      </c>
      <c r="F1634" t="n">
        <v>0.0571</v>
      </c>
      <c r="G1634" t="n">
        <v>0.1119</v>
      </c>
      <c r="H1634" t="inlineStr">
        <is>
          <t>This repository contains backend software components that implement core algorithms. The complexity of these implementations is O(N), indicating linear time complexity relative to the input size N. The comments provide detailed explanations of the implementation process, while the commits document the initial creation of the codebase. The total code size is 1000 lines.</t>
        </is>
      </c>
      <c r="I1634" t="n">
        <v>0.0045</v>
      </c>
      <c r="J1634" t="n">
        <v>0.129</v>
      </c>
      <c r="K1634" t="n">
        <v>0.16</v>
      </c>
      <c r="L1634" t="inlineStr">
        <is>
          <t>This Java annotation is used to add an object's class name as a request tag when making HTTP requests via Retrofit. It allows developers to easily identify which objects were involved in each API call during debugging or logging. The annotation targets method parameters and retains metadata at runtime, ensuring that the tag can be accessed during execution.</t>
        </is>
      </c>
      <c r="M1634" t="n">
        <v>0.0037</v>
      </c>
      <c r="N1634" t="n">
        <v>0.0597</v>
      </c>
      <c r="O1634" t="n">
        <v>0.1154</v>
      </c>
    </row>
    <row r="1635">
      <c r="A1635" t="inlineStr">
        <is>
          <t>retrofit</t>
        </is>
      </c>
      <c r="B1635" t="inlineStr">
        <is>
          <t>retrofit/src/main/java/retrofit2/http/Header.java</t>
        </is>
      </c>
      <c r="C1635">
        <f>HYPERLINK("https://github.com/square/retrofit/blob/master/retrofit/src/main/java/retrofit2/http/Header.java")</f>
        <v/>
      </c>
      <c r="D1635" t="inlineStr">
        <is>
          <t>The provided Java annotation `@Header` from Retrofit library is used to specify that the value of a method parameter should be included as a HTTP header in the request. It targets parameters annotated with `@Path`, `@Query`, or other similar annotations, allowing developers to easily pass values directly into headers without manually constructing them. The annotation is part of the Retrofit framework, which simplifies RESTful API</t>
        </is>
      </c>
      <c r="E1635" t="n">
        <v>0</v>
      </c>
      <c r="F1635" t="n">
        <v>0</v>
      </c>
      <c r="G1635" t="n">
        <v>0.0365</v>
      </c>
      <c r="H1635" t="inlineStr">
        <is>
          <t>This repository contains backend software components that implement core algorithms. The complexity of these implementations is O(N), indicating linear time complexity relative to the size of the input data. The comments provide detailed explanations of the implementation process, while the commits document the initial creation of the codebase. The total code size is 1000 lines.</t>
        </is>
      </c>
      <c r="I1635" t="n">
        <v>0.0044</v>
      </c>
      <c r="J1635" t="n">
        <v>0.125</v>
      </c>
      <c r="K1635" t="n">
        <v>0.1575</v>
      </c>
      <c r="L1635" t="inlineStr">
        <is>
          <t>This Java annotation class `@Header` from the Retrofit library allows developers to specify HTTP headers that should be included in requests made through Retrofit's API. It targets method parameters annotated with `@Path`, `@Query`, or other similar annotations, replacing them with values specified in the corresponding request methods. The annotation provides flexibility in specifying different types of headers such as query parameters, path variables, etc.,</t>
        </is>
      </c>
      <c r="M1635" t="n">
        <v>0.0028</v>
      </c>
      <c r="N1635" t="n">
        <v>0.0274</v>
      </c>
      <c r="O1635" t="n">
        <v>0.0368</v>
      </c>
    </row>
    <row r="1636">
      <c r="A1636" t="inlineStr">
        <is>
          <t>retrofit</t>
        </is>
      </c>
      <c r="B1636" t="inlineStr">
        <is>
          <t>retrofit/src/main/java/retrofit2/http/FormUrlEncoded.java</t>
        </is>
      </c>
      <c r="C1636">
        <f>HYPERLINK("https://github.com/square/retrofit/blob/master/retrofit/src/main/java/retrofit2/http/FormUrlEncoded.java")</f>
        <v/>
      </c>
      <c r="D1636" t="inlineStr">
        <is>
          <t>The provided Java annotation `@FormUrlEncoded` from Retrofit library indicates that the HTTP request's body should be encoded using form URL encoding. This means that fields within the method parameter annotated with `@Field` will be included in the query string of the request. The annotation can only be used on methods where the return type is `Call&lt;T&gt;`. It requires the `java.util.Map&lt;String,</t>
        </is>
      </c>
      <c r="E1636" t="n">
        <v>0.003</v>
      </c>
      <c r="F1636" t="n">
        <v>0.0274</v>
      </c>
      <c r="G1636" t="n">
        <v>0.07580000000000001</v>
      </c>
      <c r="H1636" t="inlineStr">
        <is>
          <t>The code defines annotations used for HTTP requests in Retrofit, which allows developers to specify how data should be sent in the request body using form URL encoding. The README describes the purpose of the repository, its complexity, comments, commits, and size.</t>
        </is>
      </c>
      <c r="I1636" t="n">
        <v>0.0044</v>
      </c>
      <c r="J1636" t="n">
        <v>0.04</v>
      </c>
      <c r="K1636" t="n">
        <v>0.0877</v>
      </c>
      <c r="L1636" t="inlineStr">
        <is>
          <t>This Java annotation defines a method parameter that will be encoded using form URL encoding when making HTTP requests via Retrofit. It allows developers to specify fields within methods annotated with `@FormUrlEncoded` as part of the request body. The annotation is used to handle data transmission efficiently, especially when dealing with simple forms where each field maps to a query parameter.</t>
        </is>
      </c>
      <c r="M1636" t="n">
        <v>0.003</v>
      </c>
      <c r="N1636" t="n">
        <v>0.029</v>
      </c>
      <c r="O1636" t="n">
        <v>0.0752</v>
      </c>
    </row>
    <row r="1637">
      <c r="A1637" t="inlineStr">
        <is>
          <t>retrofit</t>
        </is>
      </c>
      <c r="B1637" t="inlineStr">
        <is>
          <t>retrofit/src/main/java/retrofit2/http/Field.java</t>
        </is>
      </c>
      <c r="C1637">
        <f>HYPERLINK("https://github.com/square/retrofit/blob/master/retrofit/src/main/java/retrofit2/http/Field.java")</f>
        <v/>
      </c>
      <c r="D1637" t="inlineStr">
        <is>
          <t>The provided Java code defines an annotation `@FormUrlEncoded` that can be used to mark parameters in HTTP requests as part of a URL-encoded form body. This annotation is part of Retrofit, a popular library for making network calls in Android applications. It allows developers to easily send data in the format specified by HTML forms when making POST requests. The annotation specifies how the parameter values should be encoded into</t>
        </is>
      </c>
      <c r="E1637" t="n">
        <v>0.0026</v>
      </c>
      <c r="F1637" t="n">
        <v>0.0253</v>
      </c>
      <c r="G1637" t="n">
        <v>0.0704</v>
      </c>
      <c r="H1637" t="inlineStr">
        <is>
          <t>This repository contains backend software components that implement core algorithms. The complexity of the implementation is O(N), indicating linear time complexity. The comments provide details about the algorithm's implementation, while the commits track the initial creation of the codebase. The total size of the codebase is 1000 lines.</t>
        </is>
      </c>
      <c r="I1637" t="n">
        <v>0.005</v>
      </c>
      <c r="J1637" t="n">
        <v>0.1379</v>
      </c>
      <c r="K1637" t="n">
        <v>0.1667</v>
      </c>
      <c r="L1637" t="inlineStr">
        <is>
          <t>This Java annotation defines how parameters should be encoded as form data when making HTTP requests using Retrofit. It specifies that the parameter's name will match the field name in the request body. The annotation can be used on method parameters annotated with `@Body` or `@Field`.</t>
        </is>
      </c>
      <c r="M1637" t="n">
        <v>0.004</v>
      </c>
      <c r="N1637" t="n">
        <v>0.0364</v>
      </c>
      <c r="O1637" t="n">
        <v>0.0847</v>
      </c>
    </row>
    <row r="1638">
      <c r="A1638" t="inlineStr">
        <is>
          <t>retrofit</t>
        </is>
      </c>
      <c r="B1638" t="inlineStr">
        <is>
          <t>retrofit/src/main/java/retrofit2/http/package-info.java</t>
        </is>
      </c>
      <c r="C1638">
        <f>HYPERLINK("https://github.com/square/retrofit/blob/master/retrofit/src/main/java/retrofit2/http/package-info.java")</f>
        <v/>
      </c>
      <c r="D1638" t="inlineStr">
        <is>
          <t>The provided code is part of Retrofit, a popular library for making network requests in Android applications. It includes annotations that allow developers to specify how HTTP requests should be made, such as setting headers, query parameters, or body content. The complexity of this code is O(1) since it primarily involves defining annotations rather than performing complex computations.</t>
        </is>
      </c>
      <c r="E1638" t="n">
        <v>0</v>
      </c>
      <c r="F1638" t="n">
        <v>0.0299</v>
      </c>
      <c r="G1638" t="n">
        <v>0.0769</v>
      </c>
      <c r="H1638" t="inlineStr">
        <is>
          <t>This repository contains backend software components with annotations for controlling HTTP requests. The complexity is O(N), indicating linear time complexity in relation to input size. Comments describe implementation details of core algorithms. Initial codebase commit was made. The total code size is 135 lines.</t>
        </is>
      </c>
      <c r="I1638" t="n">
        <v>0.0055</v>
      </c>
      <c r="J1638" t="n">
        <v>0.1509</v>
      </c>
      <c r="K1638" t="n">
        <v>0.1724</v>
      </c>
      <c r="L1638" t="inlineStr">
        <is>
          <t>The code defines annotations for Retrofit interfaces that allow developers to specify how HTTP requests should be made, such as setting headers, query parameters, and response types. It is part of a larger project focused on building RESTful web services using Retrofit, which simplifies network communication by mapping method signatures to URLs and handling responses automatically.</t>
        </is>
      </c>
      <c r="M1638" t="n">
        <v>0.0033</v>
      </c>
      <c r="N1638" t="n">
        <v>0.0312</v>
      </c>
      <c r="O1638" t="n">
        <v>0.0781</v>
      </c>
    </row>
    <row r="1639">
      <c r="A1639" t="inlineStr">
        <is>
          <t>retrofit</t>
        </is>
      </c>
      <c r="B1639" t="inlineStr">
        <is>
          <t>retrofit/src/main/java/retrofit2/http/PartMap.java</t>
        </is>
      </c>
      <c r="C1639">
        <f>HYPERLINK("https://github.com/square/retrofit/blob/master/retrofit/src/main/java/retrofit2/http/PartMap.java")</f>
        <v/>
      </c>
      <c r="D1639" t="inlineStr">
        <is>
          <t>The provided Java code defines an annotation `@PartMap` used in Retrofit 2 to denote that multiple key-value pairs should be sent as part of a multipart HTTP request. This allows developers to easily include complex data structures like maps directly in their API requests without manually constructing the body. The annotation specifies how each parameter should be converted into its corresponding MIME type using a converter factory from Retrofit's `Converter</t>
        </is>
      </c>
      <c r="E1639" t="n">
        <v>0.0026</v>
      </c>
      <c r="F1639" t="n">
        <v>0.025</v>
      </c>
      <c r="G1639" t="n">
        <v>0.0704</v>
      </c>
      <c r="H1639" t="inlineStr">
        <is>
          <t>The repository contains backend software components that implement core algorithms. The complexity of these implementations is O(N), indicating linear time complexity relative to the size of the input data. The code base has been initialized with the first commit containing the implementation details.</t>
        </is>
      </c>
      <c r="I1639" t="n">
        <v>0.0051</v>
      </c>
      <c r="J1639" t="n">
        <v>0.1154</v>
      </c>
      <c r="K1639" t="n">
        <v>0.1304</v>
      </c>
      <c r="L1639" t="inlineStr">
        <is>
          <t>This Java annotation is used in Retrofit 2 to specify the name and value pairs for form data fields in HTTP requests. It allows developers to easily define how parameters should be encoded when sending multipart forms. The annotation targets method parameters annotated with `@FormUrlEncoded` and specifies the field names and their corresponding values.</t>
        </is>
      </c>
      <c r="M1639" t="n">
        <v>0.004</v>
      </c>
      <c r="N1639" t="n">
        <v>0.0645</v>
      </c>
      <c r="O1639" t="n">
        <v>0.119</v>
      </c>
    </row>
    <row r="1640">
      <c r="A1640" t="inlineStr">
        <is>
          <t>retrofit</t>
        </is>
      </c>
      <c r="B1640" t="inlineStr">
        <is>
          <t>retrofit/src/main/java/retrofit2/http/Path.java</t>
        </is>
      </c>
      <c r="C1640">
        <f>HYPERLINK("https://github.com/square/retrofit/blob/master/retrofit/src/main/java/retrofit2/http/Path.java")</f>
        <v/>
      </c>
      <c r="D1640" t="inlineStr">
        <is>
          <t>The provided Java code defines an annotation `@Path` used in Retrofit libraries to specify placeholders in HTTP request URLs that will be replaced with actual values when making requests. This allows developers to create flexible API endpoints without hardcoding them directly into their application logic. The annotation targets method parameters annotated with `@Path`, indicating that these parameters should replace corresponding parts of the URL specified in the Retrofit endpoint definition.</t>
        </is>
      </c>
      <c r="E1640" t="n">
        <v>0.0031</v>
      </c>
      <c r="F1640" t="n">
        <v>0.0513</v>
      </c>
      <c r="G1640" t="n">
        <v>0.1056</v>
      </c>
      <c r="H1640" t="inlineStr">
        <is>
          <t>This repository contains backend software components that implement core algorithms. The complexity of these implementations is O(N), indicating linear time complexity relative to the input size. The comments provide details about the implementation process and its purpose. The commits include an initial codebase commit. The total code size is 1000 lines.</t>
        </is>
      </c>
      <c r="I1640" t="n">
        <v>0.0051</v>
      </c>
      <c r="J1640" t="n">
        <v>0.1667</v>
      </c>
      <c r="K1640" t="n">
        <v>0.2033</v>
      </c>
      <c r="L1640" t="inlineStr">
        <is>
          <t>This Java annotation is used in Retrofit 2 to specify that a method parameter should be included as part of the HTTP request's URL path. It allows developers to dynamically insert values into URLs based on method parameters, enhancing flexibility and reusability in API requests. The `@Path` annotation helps map method arguments to placeholders in the URL template defined in the service interface methods.</t>
        </is>
      </c>
      <c r="M1640" t="n">
        <v>0.0034</v>
      </c>
      <c r="N1640" t="n">
        <v>0.0548</v>
      </c>
      <c r="O1640" t="n">
        <v>0.1103</v>
      </c>
    </row>
    <row r="1641">
      <c r="A1641" t="inlineStr">
        <is>
          <t>retrofit</t>
        </is>
      </c>
      <c r="B1641" t="inlineStr">
        <is>
          <t>retrofit/src/main/java/retrofit2/http/QueryName.java</t>
        </is>
      </c>
      <c r="C1641">
        <f>HYPERLINK("https://github.com/square/retrofit/blob/master/retrofit/src/main/java/retrofit2/http/QueryName.java")</f>
        <v/>
      </c>
      <c r="D1641" t="inlineStr">
        <is>
          <t>The provided Java code defines an annotation `@Query` used in Retrofit 2 to specify query parameters without values in HTTP requests. This annotation can be applied to method parameters annotated with `@Path`, `@Field`, or other annotations indicating different types of request parameters. The annotation allows developers to easily include optional query parameters in their API calls, enhancing flexibility and reusability of the code.</t>
        </is>
      </c>
      <c r="E1641" t="n">
        <v>0.0034</v>
      </c>
      <c r="F1641" t="n">
        <v>0.0563</v>
      </c>
      <c r="G1641" t="n">
        <v>0.1111</v>
      </c>
      <c r="H1641" t="inlineStr">
        <is>
          <t>The repository contains backend software components implementing core algorithms. The complexity of these implementations is O(N), indicating linear time complexity. The comments provide details about the implementation process, while the commits document the initial creation of the codebase. The total size of the codebase is 1000 lines.</t>
        </is>
      </c>
      <c r="I1641" t="n">
        <v>0.0046</v>
      </c>
      <c r="J1641" t="n">
        <v>0.1071</v>
      </c>
      <c r="K1641" t="n">
        <v>0.1261</v>
      </c>
      <c r="L1641" t="inlineStr">
        <is>
          <t>The provided Java code defines an annotation `@Query` used in Retrofit 2 for specifying query parameters without values in HTTP requests. It allows developers to easily add optional query string parameters to URLs when making network calls using Retrofit's client interface. The annotation supports both single values and lists/arrays, ensuring flexibility in how query parameters can be passed.</t>
        </is>
      </c>
      <c r="M1641" t="n">
        <v>0.0031</v>
      </c>
      <c r="N1641" t="n">
        <v>0.0294</v>
      </c>
      <c r="O1641" t="n">
        <v>0.0769</v>
      </c>
    </row>
    <row r="1642">
      <c r="A1642" t="inlineStr">
        <is>
          <t>retrofit</t>
        </is>
      </c>
      <c r="B1642" t="inlineStr">
        <is>
          <t>retrofit/src/main/java/retrofit2/http/Headers.java</t>
        </is>
      </c>
      <c r="C1642">
        <f>HYPERLINK("https://github.com/square/retrofit/blob/master/retrofit/src/main/java/retrofit2/http/Headers.java")</f>
        <v/>
      </c>
      <c r="D1642" t="inlineStr">
        <is>
          <t>The provided Java code defines an annotation `@Headers` that can be used in Retrofit HTTP requests to add literal header values directly to the request. The annotation targets methods annotated with `@GET`, `@POST`, etc., allowing developers to specify custom headers without needing to manually construct them in each method call. This simplifies the process of adding headers across multiple endpoints.</t>
        </is>
      </c>
      <c r="E1642" t="n">
        <v>0.003</v>
      </c>
      <c r="F1642" t="n">
        <v>0.0294</v>
      </c>
      <c r="G1642" t="n">
        <v>0.07580000000000001</v>
      </c>
      <c r="H1642" t="inlineStr">
        <is>
          <t>This repository contains backend software components that implement core algorithms. The complexity is high due to the extensive implementation of various algorithms. The comments provide detailed explanations of each algorithm's purpose and functionality. The commits include the initial creation of the codebase. The total size of the codebase is large, indicating its comprehensive nature.</t>
        </is>
      </c>
      <c r="I1642" t="n">
        <v>0.0048</v>
      </c>
      <c r="J1642" t="n">
        <v>0.1587</v>
      </c>
      <c r="K1642" t="n">
        <v>0.1984</v>
      </c>
      <c r="L1642" t="inlineStr">
        <is>
          <t>This Java annotation class `@Headers` from Retrofit library allows developers to specify HTTP headers that should be included in all requests made through annotated methods. It takes one parameter, which is a string containing multiple header lines separated by newlines. The headers will be applied globally across all endpoints decorated with this annotation.</t>
        </is>
      </c>
      <c r="M1642" t="n">
        <v>0.0035</v>
      </c>
      <c r="N1642" t="n">
        <v>0.0328</v>
      </c>
      <c r="O1642" t="n">
        <v>0.04</v>
      </c>
    </row>
    <row r="1643">
      <c r="A1643" t="inlineStr">
        <is>
          <t>retrofit</t>
        </is>
      </c>
      <c r="B1643" t="inlineStr">
        <is>
          <t>retrofit/src/main/java/retrofit2/http/Part.java</t>
        </is>
      </c>
      <c r="C1643">
        <f>HYPERLINK("https://github.com/square/retrofit/blob/master/retrofit/src/main/java/retrofit2/http/Part.java")</f>
        <v/>
      </c>
      <c r="D1643" t="inlineStr">
        <is>
          <t>The provided code defines an annotation `@Part` used in Retrofit's HTTP client library to denote individual parts of a multipart request. This annotation specifies how parameters should be converted into form-encoded data suitable for sending as part of a multipart request body. The method it decorates must return a value that can be serialized using a specified converter factory from Retrofit's `Converter.Factory`.</t>
        </is>
      </c>
      <c r="E1643" t="n">
        <v>0.0029</v>
      </c>
      <c r="F1643" t="n">
        <v>0.027</v>
      </c>
      <c r="G1643" t="n">
        <v>0.0746</v>
      </c>
      <c r="H1643" t="inlineStr">
        <is>
          <t>The code defines annotations and classes related to Retrofit HTTP client library, specifically focusing on handling multipart requests. It includes documentation, retention policies, and utility methods for converting data between different formats. The complexity is high due to its extensive implementation of various features and interfaces within the Retrofit framework.</t>
        </is>
      </c>
      <c r="I1643" t="n">
        <v>0.0037</v>
      </c>
      <c r="J1643" t="n">
        <v>0.06900000000000001</v>
      </c>
      <c r="K1643" t="n">
        <v>0.082</v>
      </c>
      <c r="L1643" t="inlineStr">
        <is>
          <t>This Retrofit HTTP annotation marks a method parameter as one part of a multipart request. It specifies how the parameter should be converted into a form-encoded string or other media type suitable for sending multiple parts in a single request. The annotation can be used to define different parts such as files, strings, or JSON objects within a multipart body.</t>
        </is>
      </c>
      <c r="M1643" t="n">
        <v>0.003</v>
      </c>
      <c r="N1643" t="n">
        <v>0.029</v>
      </c>
      <c r="O1643" t="n">
        <v>0.07580000000000001</v>
      </c>
    </row>
    <row r="1644">
      <c r="A1644" t="inlineStr">
        <is>
          <t>retrofit</t>
        </is>
      </c>
      <c r="B1644" t="inlineStr">
        <is>
          <t>retrofit/src/main/java/retrofit2/http/HeaderMap.java</t>
        </is>
      </c>
      <c r="C1644">
        <f>HYPERLINK("https://github.com/square/retrofit/blob/master/retrofit/src/main/java/retrofit2/http/HeaderMap.java")</f>
        <v/>
      </c>
      <c r="D1644" t="inlineStr">
        <is>
          <t>The provided code defines an annotation `@Headers` that can be used to add multiple HTTP headers to Retrofit requests. It allows developers to specify header names and values as strings within the annotation. The annotation targets method parameters annotated with `@Header`, enabling it to dynamically inject these headers into outgoing requests based on the method's parameter types. This feature enhances flexibility in handling different request configurations without modifying each individual</t>
        </is>
      </c>
      <c r="E1644" t="n">
        <v>0.0031</v>
      </c>
      <c r="F1644" t="n">
        <v>0.0253</v>
      </c>
      <c r="G1644" t="n">
        <v>0.1056</v>
      </c>
      <c r="H1644" t="inlineStr">
        <is>
          <t>Adds custom HTTP headers to requests using Retrofit annotations.</t>
        </is>
      </c>
      <c r="I1644" t="n">
        <v>0</v>
      </c>
      <c r="J1644" t="n">
        <v>0</v>
      </c>
      <c r="K1644" t="n">
        <v>0.0617</v>
      </c>
      <c r="L1644" t="inlineStr">
        <is>
          <t>This Java annotation is used to add custom HTTP headers to Retrofit requests. It can be applied to method parameters annotated with `@Body`, `@Field`, or `@Path` to specify header values dynamically based on request data. The annotation allows developers to easily manage additional metadata sent alongside API calls, enhancing flexibility and customization of network interactions.</t>
        </is>
      </c>
      <c r="M1644" t="n">
        <v>0.004</v>
      </c>
      <c r="N1644" t="n">
        <v>0.0635</v>
      </c>
      <c r="O1644" t="n">
        <v>0.1181</v>
      </c>
    </row>
    <row r="1645">
      <c r="A1645" t="inlineStr">
        <is>
          <t>retrofit</t>
        </is>
      </c>
      <c r="B1645" t="inlineStr">
        <is>
          <t>retrofit/src/main/java/retrofit2/http/GET.java</t>
        </is>
      </c>
      <c r="C1645">
        <f>HYPERLINK("https://github.com/square/retrofit/blob/master/retrofit/src/main/java/retrofit2/http/GET.java")</f>
        <v/>
      </c>
      <c r="D1645" t="inlineStr">
        <is>
          <t>The `GET` annotation is used in Retrofit 2 to define HTTP GET requests. It specifies that the annotated method should make a GET request to the URL derived from the method's parameters. The annotation can be applied to methods within interfaces annotated with `@RestService`.</t>
        </is>
      </c>
      <c r="E1645" t="n">
        <v>0</v>
      </c>
      <c r="F1645" t="n">
        <v>0</v>
      </c>
      <c r="G1645" t="n">
        <v>0.0431</v>
      </c>
      <c r="H1645" t="inlineStr">
        <is>
          <t>The repository contains backend software components that implement core algorithms. The complexity is O(N), indicating linear time complexity. Comments describe the implementation of these algorithms. Initial codebase was committed. The total size of the codebase is 1000 lines.</t>
        </is>
      </c>
      <c r="I1645" t="n">
        <v>0.0058</v>
      </c>
      <c r="J1645" t="n">
        <v>0.1277</v>
      </c>
      <c r="K1645" t="n">
        <v>0.1364</v>
      </c>
      <c r="L1645" t="inlineStr">
        <is>
          <t>The `GET` annotation in Retrofit is used to define HTTP GET requests. It specifies that the annotated method should make a GET call to the URL derived from the method's parameters and annotations. The `HttpUrl` parameter provides the base URL, while additional path segments can be specified using other annotations like `Path`. The method returns a response object containing the data returned by the server.</t>
        </is>
      </c>
      <c r="M1645" t="n">
        <v>0.0028</v>
      </c>
      <c r="N1645" t="n">
        <v>0.027</v>
      </c>
      <c r="O1645" t="n">
        <v>0.073</v>
      </c>
    </row>
    <row r="1646">
      <c r="A1646" t="inlineStr">
        <is>
          <t>retrofit</t>
        </is>
      </c>
      <c r="B1646" t="inlineStr">
        <is>
          <t>retrofit/src/main/java/retrofit2/http/Query.java</t>
        </is>
      </c>
      <c r="C1646">
        <f>HYPERLINK("https://github.com/square/retrofit/blob/master/retrofit/src/main/java/retrofit2/http/Query.java")</f>
        <v/>
      </c>
      <c r="D1646" t="inlineStr">
        <is>
          <t>The provided Java code defines an annotation `@Query` used in Retrofit libraries to specify query parameters that should be included in HTTP requests. It allows developers to easily map method parameters directly to URL query strings. The annotation supports various types such as primitive data types, collections, enums, and custom objects.</t>
        </is>
      </c>
      <c r="E1646" t="n">
        <v>0.0036</v>
      </c>
      <c r="F1646" t="n">
        <v>0.0339</v>
      </c>
      <c r="G1646" t="n">
        <v>0.0813</v>
      </c>
      <c r="H1646" t="inlineStr">
        <is>
          <t>This repository contains backend software components that implement core algorithms. The complexity of these implementations is O(N), indicating linear time complexity relative to the input size. The code base has been initialized with a single commit containing the initial implementation.</t>
        </is>
      </c>
      <c r="I1646" t="n">
        <v>0.0061</v>
      </c>
      <c r="J1646" t="n">
        <v>0.1633</v>
      </c>
      <c r="K1646" t="n">
        <v>0.1786</v>
      </c>
      <c r="L1646" t="inlineStr">
        <is>
          <t>This Java annotation defines how query parameters should be included in HTTP requests made using Retrofit. It specifies that the annotated method's parameter will be converted into a query string and appended to the URL when making network calls. The `@Query` annotation can take various options such as default values, whether the value should be encoded, and more, allowing developers to customize how query parameters are handled in their API interactions</t>
        </is>
      </c>
      <c r="M1646" t="n">
        <v>0.003</v>
      </c>
      <c r="N1646" t="n">
        <v>0.05</v>
      </c>
      <c r="O1646" t="n">
        <v>0.1049</v>
      </c>
    </row>
    <row r="1647">
      <c r="A1647" t="inlineStr">
        <is>
          <t>retrofit</t>
        </is>
      </c>
      <c r="B1647" t="inlineStr">
        <is>
          <t>retrofit/src/main/java/retrofit2/http/Body.java</t>
        </is>
      </c>
      <c r="C1647">
        <f>HYPERLINK("https://github.com/square/retrofit/blob/master/retrofit/src/main/java/retrofit2/http/Body.java")</f>
        <v/>
      </c>
      <c r="D1647" t="inlineStr">
        <is>
          <t>The provided Java code defines annotations used in Retrofit, a popular HTTP client library for Android and Java applications. The `@GET`, `@POST`, etc., annotations are used to define RESTful API endpoints, while `@Body` and other parameters can be annotated to specify how data should be sent or received. These annotations work together with Retrofit's converter factories to handle JSON serialization/deserialization and</t>
        </is>
      </c>
      <c r="E1647" t="n">
        <v>0.003</v>
      </c>
      <c r="F1647" t="n">
        <v>0.0282</v>
      </c>
      <c r="G1647" t="n">
        <v>0.0752</v>
      </c>
      <c r="H1647" t="inlineStr">
        <is>
          <t>The code implements core algorithms using Retrofit library for network communication. Complexity is O(N), indicating linear time complexity. The README describes it as a repository containing backend software components.</t>
        </is>
      </c>
      <c r="I1647" t="n">
        <v>0.0151</v>
      </c>
      <c r="J1647" t="n">
        <v>0.1053</v>
      </c>
      <c r="K1647" t="n">
        <v>0.3125</v>
      </c>
      <c r="L1647" t="inlineStr">
        <is>
          <t>This Java code defines annotations used in Retrofit 2 for defining HTTP methods and parameters. The `@GET`, `@POST`, etc., annotations specify the type of HTTP request, while `@Query`, `@Path`, `@Body`, and other similar annotations allow developers to define query strings, path variables, request bodies, and more within their service interfaces. These annotations help in creating RESTful</t>
        </is>
      </c>
      <c r="M1647" t="n">
        <v>0.0039</v>
      </c>
      <c r="N1647" t="n">
        <v>0.0625</v>
      </c>
      <c r="O1647" t="n">
        <v>0.1172</v>
      </c>
    </row>
    <row r="1648">
      <c r="A1648" t="inlineStr">
        <is>
          <t>retrofit</t>
        </is>
      </c>
      <c r="B1648" t="inlineStr">
        <is>
          <t>retrofit/src/main/java/retrofit2/http/Streaming.java</t>
        </is>
      </c>
      <c r="C1648">
        <f>HYPERLINK("https://github.com/square/retrofit/blob/master/retrofit/src/main/java/retrofit2/http/Streaming.java")</f>
        <v/>
      </c>
      <c r="D1648" t="inlineStr">
        <is>
          <t>The provided Java code defines an annotation `@Streaming` used in Retrofit libraries to indicate that the response body should be streamed rather than buffered entirely into memory before processing. This is useful for handling large responses efficiently. The annotation targets method parameters annotated with `ResponseBody`. It allows developers to handle streaming data directly from the network connection, which can save memory and improve performance when dealing with large files or real-time</t>
        </is>
      </c>
      <c r="E1648" t="n">
        <v>0.003</v>
      </c>
      <c r="F1648" t="n">
        <v>0.05</v>
      </c>
      <c r="G1648" t="n">
        <v>0.1049</v>
      </c>
      <c r="H1648" t="inlineStr">
        <is>
          <t>The provided code is part of a Java library called Retrofit2, which is used for making network requests in Android applications. The `@FormUrlEncoded` annotation is used to indicate that form-encoded data should be sent in the request body. This annotation is typically applied to HTTP POST methods where the parameters need to be encoded using URL encoding.</t>
        </is>
      </c>
      <c r="I1648" t="n">
        <v>0.0032</v>
      </c>
      <c r="J1648" t="n">
        <v>0.0303</v>
      </c>
      <c r="K1648" t="n">
        <v>0.0775</v>
      </c>
      <c r="L1648" t="inlineStr">
        <is>
          <t>This Retrofit annotation indicates that the method's return type should be treated as-is when handling HTTP responses, bypassing any default deserialization process. It allows developers to manually parse JSON data returned from endpoints using `ResponseBody`.</t>
        </is>
      </c>
      <c r="M1648" t="n">
        <v>0.0053</v>
      </c>
      <c r="N1648" t="n">
        <v>0.0444</v>
      </c>
      <c r="O1648" t="n">
        <v>0.0935</v>
      </c>
    </row>
    <row r="1649">
      <c r="A1649" t="inlineStr">
        <is>
          <t>retrofit</t>
        </is>
      </c>
      <c r="B1649" t="inlineStr">
        <is>
          <t>retrofit/src/main/java/retrofit2/http/Url.java</t>
        </is>
      </c>
      <c r="C1649">
        <f>HYPERLINK("https://github.com/square/retrofit/blob/master/retrofit/src/main/java/retrofit2/http/Url.java")</f>
        <v/>
      </c>
      <c r="D1649" t="inlineStr">
        <is>
          <t>The provided code defines an annotation `@Url` used in Retrofit libraries to specify URLs that should be resolved relative to the Retrofit instance's base URL. This allows developers to define endpoints without hardcoding full URLs, making it easier to manage changes in the API base URL. The annotation targets method parameters annotated with `@Query`, `@Path`, etc., allowing these parameters' values to be appended to</t>
        </is>
      </c>
      <c r="E1649" t="n">
        <v>0.0028</v>
      </c>
      <c r="F1649" t="n">
        <v>0.0274</v>
      </c>
      <c r="G1649" t="n">
        <v>0.0735</v>
      </c>
      <c r="H1649" t="inlineStr">
        <is>
          <t>This repository contains backend software components implementing core algorithms. Complexity is O(N), indicating linear time complexity. Comments describe the implementation of these algorithms. The repository was initialized with the first commit. The total size of the codebase is 1000 lines.</t>
        </is>
      </c>
      <c r="I1649" t="n">
        <v>0.0061</v>
      </c>
      <c r="J1649" t="n">
        <v>0.1633</v>
      </c>
      <c r="K1649" t="n">
        <v>0.1786</v>
      </c>
      <c r="L1649" t="inlineStr">
        <is>
          <t>This Java annotation defines a method parameter that should be used as part of the HTTP request's URL. It allows developers to specify query parameters dynamically within their API calls using Retrofit, enhancing flexibility and reusability of URLs across different endpoints. The `@Query` annotation helps map method parameters to query string values in the URL, making it easier to construct complex queries without manually constructing strings.</t>
        </is>
      </c>
      <c r="M1649" t="n">
        <v>0.0033</v>
      </c>
      <c r="N1649" t="n">
        <v>0.0533</v>
      </c>
      <c r="O1649" t="n">
        <v>0.1087</v>
      </c>
    </row>
    <row r="1650">
      <c r="A1650" t="inlineStr">
        <is>
          <t>retrofit</t>
        </is>
      </c>
      <c r="B1650" t="inlineStr">
        <is>
          <t>retrofit/src/main/java/retrofit2/http/QueryMap.java</t>
        </is>
      </c>
      <c r="C1650">
        <f>HYPERLINK("https://github.com/square/retrofit/blob/master/retrofit/src/main/java/retrofit2/http/QueryMap.java")</f>
        <v/>
      </c>
      <c r="D1650" t="inlineStr">
        <is>
          <t>The provided code defines annotations for Retrofit HTTP requests that allow specifying query parameters. It includes:
- `@Query`: An annotation used to bind method parameters to URL query string parameters.
- `@Path`: An annotation used to specify placeholders in the base URL that will be replaced with actual values when constructing the request URL.
- `@Header`: An annotation used to add custom headers to HTTP requests.</t>
        </is>
      </c>
      <c r="E1650" t="n">
        <v>0</v>
      </c>
      <c r="F1650" t="n">
        <v>0</v>
      </c>
      <c r="G1650" t="n">
        <v>0.0362</v>
      </c>
      <c r="H1650" t="inlineStr">
        <is>
          <t>This repository contains backend software components that implement core algorithms. The complexity of these implementations is O(N), indicating linear time complexity relative to the size of the input data. The comments provide detailed explanations of each algorithm's implementation, while the commits document the initial creation of the codebase. The total code size is 1000 lines.</t>
        </is>
      </c>
      <c r="I1650" t="n">
        <v>0.0044</v>
      </c>
      <c r="J1650" t="n">
        <v>0.1231</v>
      </c>
      <c r="K1650" t="n">
        <v>0.1575</v>
      </c>
      <c r="L1650" t="inlineStr">
        <is>
          <t>This Java annotation defines query parameters that can be included in HTTP requests made using Retrofit. It specifies how these parameters should be mapped from method arguments into URL queries. The `@Query` annotation allows developers to easily pass additional data to API endpoints as part of the request URL.</t>
        </is>
      </c>
      <c r="M1650" t="n">
        <v>0.0037</v>
      </c>
      <c r="N1650" t="n">
        <v>0.0351</v>
      </c>
      <c r="O1650" t="n">
        <v>0.08260000000000001</v>
      </c>
    </row>
    <row r="1651">
      <c r="A1651" t="inlineStr">
        <is>
          <t>retrofit</t>
        </is>
      </c>
      <c r="B1651" t="inlineStr">
        <is>
          <t>retrofit/src/main/java/retrofit2/http/DELETE.java</t>
        </is>
      </c>
      <c r="C1651">
        <f>HYPERLINK("https://github.com/square/retrofit/blob/master/retrofit/src/main/java/retrofit2/http/DELETE.java")</f>
        <v/>
      </c>
      <c r="D1651" t="inlineStr">
        <is>
          <t>The provided Java annotation `DELETE` from Retrofit 2 library defines a method-level annotation used to specify that a particular HTTP DELETE request should be made when invoking the annotated method. The annotation includes a URL template parameter which can contain placeholders for dynamic values. This allows developers to easily create URLs dynamically based on parameters passed to the method.</t>
        </is>
      </c>
      <c r="E1651" t="n">
        <v>0.0031</v>
      </c>
      <c r="F1651" t="n">
        <v>0.0294</v>
      </c>
      <c r="G1651" t="n">
        <v>0.07630000000000001</v>
      </c>
      <c r="H1651" t="inlineStr">
        <is>
          <t>The repository contains backend software components that implement core algorithms. The complexity of these implementations is O(N), indicating linear time complexity. The code size is 1000 lines, suggesting it includes multiple files and modules.</t>
        </is>
      </c>
      <c r="I1651" t="n">
        <v>0.0072</v>
      </c>
      <c r="J1651" t="n">
        <v>0.186</v>
      </c>
      <c r="K1651" t="n">
        <v>0.1887</v>
      </c>
      <c r="L1651" t="inlineStr">
        <is>
          <t>The `DELETE` annotation in Retrofit 2 is used to define methods that perform HTTP DELETE requests. It allows developers to specify the URL path and query parameters associated with these requests. The method must be annotated with `@DELETE`, followed by the relative path of the endpoint. Optionally, additional annotations can be applied to customize the request further, such as adding headers or specifying query parameters.</t>
        </is>
      </c>
      <c r="M1651" t="n">
        <v>0.0028</v>
      </c>
      <c r="N1651" t="n">
        <v>0.0274</v>
      </c>
      <c r="O1651" t="n">
        <v>0.073</v>
      </c>
    </row>
    <row r="1652">
      <c r="A1652" t="inlineStr">
        <is>
          <t>retrofit</t>
        </is>
      </c>
      <c r="B1652" t="inlineStr">
        <is>
          <t>retrofit/src/main/java/retrofit2/http/OPTIONS.java</t>
        </is>
      </c>
      <c r="C1652">
        <f>HYPERLINK("https://github.com/square/retrofit/blob/master/retrofit/src/main/java/retrofit2/http/OPTIONS.java")</f>
        <v/>
      </c>
      <c r="D1652" t="inlineStr">
        <is>
          <t>The provided Java annotation `OPTIONS` from the Retrofit library defines a method-level HTTP option request. It specifies that when annotated methods are invoked, they should send an OPTIONS request using OkHttp's client. The annotation does not require any additional parameters; it simply indicates that the method will perform an OPTIONS request. This is useful for checking server capabilities such as supported headers or CORS settings.</t>
        </is>
      </c>
      <c r="E1652" t="n">
        <v>0.0028</v>
      </c>
      <c r="F1652" t="n">
        <v>0.0267</v>
      </c>
      <c r="G1652" t="n">
        <v>0.073</v>
      </c>
      <c r="H1652" t="inlineStr">
        <is>
          <t>The provided code defines an annotation `OPTIONS` that can be used to make HTTP OPTIONS requests using Retrofit library. It includes metadata such as copyright notice, license information, package declaration, import statements, and method annotations. The README describes the purpose of the repository, its complexity, comments, commits, and code size.</t>
        </is>
      </c>
      <c r="I1652" t="n">
        <v>0.0037</v>
      </c>
      <c r="J1652" t="n">
        <v>0.0345</v>
      </c>
      <c r="K1652" t="n">
        <v>0.082</v>
      </c>
      <c r="L1652" t="inlineStr">
        <is>
          <t>The `OPTIONS` annotation in Retrofit is used to define methods that make HTTP OPTIONS requests. It allows developers to specify the URL path for these requests using annotations like `@Path`, `@Query`, etc., similar to other HTTP method annotations. The `OPTIONS` method can be used to retrieve metadata about the server's capabilities, such as supported headers or allowed methods, which is useful for client-side</t>
        </is>
      </c>
      <c r="M1652" t="n">
        <v>0</v>
      </c>
      <c r="N1652" t="n">
        <v>0</v>
      </c>
      <c r="O1652" t="n">
        <v>0.037</v>
      </c>
    </row>
    <row r="1653">
      <c r="A1653" t="inlineStr">
        <is>
          <t>retrofit</t>
        </is>
      </c>
      <c r="B1653" t="inlineStr">
        <is>
          <t>retrofit/src/main/java/retrofit2/http/PUT.java</t>
        </is>
      </c>
      <c r="C1653">
        <f>HYPERLINK("https://github.com/square/retrofit/blob/master/retrofit/src/main/java/retrofit2/http/PUT.java")</f>
        <v/>
      </c>
      <c r="D1653" t="inlineStr">
        <is>
          <t>The provided Java annotation `PUT` from Retrofit library defines a method-level annotation that indicates a HTTP PUT request should be made when invoking the annotated method. It specifies the URL pattern using the `value()` attribute, which can include placeholders like `{id}` for dynamic parameters. The annotation is used to map HTTP requests to methods within a service interface, allowing developers to easily define RESTful endpoints in their applications</t>
        </is>
      </c>
      <c r="E1653" t="n">
        <v>0</v>
      </c>
      <c r="F1653" t="n">
        <v>0</v>
      </c>
      <c r="G1653" t="n">
        <v>0.0357</v>
      </c>
      <c r="H1653" t="inlineStr">
        <is>
          <t>This repository contains backend software components that implement core algorithms. The complexity of these implementations is O(N), indicating linear time complexity relative to the size of the input data. The code base has been initialized with a single commit containing the initial implementation. The total size of the codebase is 1000 lines.</t>
        </is>
      </c>
      <c r="I1653" t="n">
        <v>0.0046</v>
      </c>
      <c r="J1653" t="n">
        <v>0.1311</v>
      </c>
      <c r="K1653" t="n">
        <v>0.1613</v>
      </c>
      <c r="L1653" t="inlineStr">
        <is>
          <t>The `PUT` annotation in Retrofit 2 is used to define methods that perform HTTP PUT requests. It specifies the URL path relative to the base URL defined in the Retrofit instance where the data should be updated. The method can accept parameters annotated with `@Body`, which will be serialized into JSON format and sent as the body of the PUT request.</t>
        </is>
      </c>
      <c r="M1653" t="n">
        <v>0.003</v>
      </c>
      <c r="N1653" t="n">
        <v>0.029</v>
      </c>
      <c r="O1653" t="n">
        <v>0.0752</v>
      </c>
    </row>
    <row r="1654">
      <c r="A1654" t="inlineStr">
        <is>
          <t>retrofit</t>
        </is>
      </c>
      <c r="B1654" t="inlineStr">
        <is>
          <t>retrofit/src/main/java/retrofit2/http/PATCH.java</t>
        </is>
      </c>
      <c r="C1654">
        <f>HYPERLINK("https://github.com/square/retrofit/blob/master/retrofit/src/main/java/retrofit2/http/PATCH.java")</f>
        <v/>
      </c>
      <c r="D1654" t="inlineStr">
        <is>
          <t>The provided Java annotation `PATCH` from Retrofit library defines a method-level annotation that indicates a HTTP PATCH request should be made when calling the annotated method. The annotation includes metadata such as documentation, target element type, retention policy, and a description of its purpose. It is used to map HTTP PATCH requests to methods within a RESTful API defined using Retrofit.</t>
        </is>
      </c>
      <c r="E1654" t="n">
        <v>0.003</v>
      </c>
      <c r="F1654" t="n">
        <v>0.0286</v>
      </c>
      <c r="G1654" t="n">
        <v>0.0752</v>
      </c>
      <c r="H1654" t="inlineStr">
        <is>
          <t>The repository contains backend software components that implement core algorithms. The complexity of these implementations is O(N), indicating linear time complexity. The code size is 1000 lines, which suggests it includes multiple modules and functionalities.</t>
        </is>
      </c>
      <c r="I1654" t="n">
        <v>0.007</v>
      </c>
      <c r="J1654" t="n">
        <v>0.1818</v>
      </c>
      <c r="K1654" t="n">
        <v>0.2336</v>
      </c>
      <c r="L1654" t="inlineStr">
        <is>
          <t>The `PATCH` annotation in Retrofit 2 is used to define endpoints that support partial updates to resources. It allows developers to send only the fields they want to update, rather than sending all fields every time. The method annotated with `@PATCH` takes a URL as a parameter, which specifies the endpoint where the patch request will be sent. The `HttpUrl` class from OkHttp is used</t>
        </is>
      </c>
      <c r="M1654" t="n">
        <v>0</v>
      </c>
      <c r="N1654" t="n">
        <v>0</v>
      </c>
      <c r="O1654" t="n">
        <v>0.0365</v>
      </c>
    </row>
    <row r="1655">
      <c r="A1655" t="inlineStr">
        <is>
          <t>retrofit</t>
        </is>
      </c>
      <c r="B1655" t="inlineStr">
        <is>
          <t>retrofit/src/main/java/retrofit2/http/FieldMap.java</t>
        </is>
      </c>
      <c r="C1655">
        <f>HYPERLINK("https://github.com/square/retrofit/blob/master/retrofit/src/main/java/retrofit2/http/FieldMap.java")</f>
        <v/>
      </c>
      <c r="D1655" t="inlineStr">
        <is>
          <t>The provided Java code defines an annotation `@FormUrlEncoded` that can be used to mark parameters in HTTP requests as part of a form-urlencoded body. This allows developers to easily send data in URL-encoded format from their Retrofit-based applications. The annotation specifies that the annotated method's parameters should be included in the query string of the POST request, where each parameter name-value pair is separated by an amp</t>
        </is>
      </c>
      <c r="E1655" t="n">
        <v>0.0027</v>
      </c>
      <c r="F1655" t="n">
        <v>0.025</v>
      </c>
      <c r="G1655" t="n">
        <v>0.07190000000000001</v>
      </c>
      <c r="H1655" t="inlineStr">
        <is>
          <t>This repository contains backend software components that implement core algorithms. The complexity is O(N), indicating linear time complexity. Comments describe the implementation of these algorithms. Initial codebase was committed. The total size of the codebase is 1000 lines.</t>
        </is>
      </c>
      <c r="I1655" t="n">
        <v>0.0064</v>
      </c>
      <c r="J1655" t="n">
        <v>0.1702</v>
      </c>
      <c r="K1655" t="n">
        <v>0.1818</v>
      </c>
      <c r="L1655" t="inlineStr">
        <is>
          <t>This Java annotation defines named parameters for form-urlencoded HTTP requests using Retrofit, which simplifies handling complex data structures in POST requests. It allows developers to easily encode and send multiple fields as part of a single request body. The `@FormUrlEncoded` annotation is used alongside other annotations like `@POST`, specifying that the method should handle form-encoded data.</t>
        </is>
      </c>
      <c r="M1655" t="n">
        <v>0.0039</v>
      </c>
      <c r="N1655" t="n">
        <v>0.0606</v>
      </c>
      <c r="O1655" t="n">
        <v>0.1172</v>
      </c>
    </row>
    <row r="1656">
      <c r="A1656" t="inlineStr">
        <is>
          <t>retrofit</t>
        </is>
      </c>
      <c r="B1656" t="inlineStr">
        <is>
          <t>retrofit/src/main/java/retrofit2/http/HEAD.java</t>
        </is>
      </c>
      <c r="C1656">
        <f>HYPERLINK("https://github.com/square/retrofit/blob/master/retrofit/src/main/java/retrofit2/http/HEAD.java")</f>
        <v/>
      </c>
      <c r="D1656" t="inlineStr">
        <is>
          <t>The provided Java code defines an annotation `HEAD` that can be used to mark HTTP methods as making a HEAD request using Retrofit library. The annotation includes metadata such as documentation, target element type, retention policy, and method signature. It does not contain any implementation details but serves as a marker for defining head requests in Retrofit-based applications.</t>
        </is>
      </c>
      <c r="E1656" t="n">
        <v>0.0031</v>
      </c>
      <c r="F1656" t="n">
        <v>0.0299</v>
      </c>
      <c r="G1656" t="n">
        <v>0.1154</v>
      </c>
      <c r="H1656" t="inlineStr">
        <is>
          <t>This repository contains backend software components that implement core algorithms. The complexity of these implementations is O(N), indicating linear time complexity relative to the input size. The comments provide detailed explanations of the implementation's purpose and logic. The commits include an initial codebase commit. The total code size is 1000 lines.</t>
        </is>
      </c>
      <c r="I1656" t="n">
        <v>0.009599999999999999</v>
      </c>
      <c r="J1656" t="n">
        <v>0.1967</v>
      </c>
      <c r="K1656" t="n">
        <v>0.3467</v>
      </c>
      <c r="L1656" t="inlineStr">
        <is>
          <t>This Java annotation defines a method that makes a HTTP HEAD request using Retrofit, which returns only the headers without the body content. The `HEAD` method takes a single parameter specifying the URL path relative to the base URL defined in the Retrofit instance. It uses annotations from the `retrofit2.http` package to define the method's behavior as a HEAD request.</t>
        </is>
      </c>
      <c r="M1656" t="n">
        <v>0.003</v>
      </c>
      <c r="N1656" t="n">
        <v>0.0286</v>
      </c>
      <c r="O1656" t="n">
        <v>0.07580000000000001</v>
      </c>
    </row>
    <row r="1657">
      <c r="A1657" t="inlineStr">
        <is>
          <t>retrofit</t>
        </is>
      </c>
      <c r="B1657" t="inlineStr">
        <is>
          <t>retrofit/src/main/java/retrofit2/http/HTTP.java</t>
        </is>
      </c>
      <c r="C1657">
        <f>HYPERLINK("https://github.com/square/retrofit/blob/master/retrofit/src/main/java/retrofit2/http/HTTP.java")</f>
        <v/>
      </c>
      <c r="D1657" t="inlineStr">
        <is>
          <t>The provided Java code defines an annotation `@HTTP` that can be used to specify a custom HTTP method for network requests using Retrofit. The annotation targets methods within interfaces annotated with `@GET`, `@POST`, etc., allowing developers to define their own HTTP verbs when making API calls. This feature enhances flexibility in handling different types of HTTP operations beyond the standard GET and POST methods.</t>
        </is>
      </c>
      <c r="E1657" t="n">
        <v>0.0034</v>
      </c>
      <c r="F1657" t="n">
        <v>0.0556</v>
      </c>
      <c r="G1657" t="n">
        <v>0.1103</v>
      </c>
      <c r="H1657" t="inlineStr">
        <is>
          <t>This repository contains backend software components that implement core algorithms. The complexity of the implementation is O(N), indicating linear time complexity. The comments provide details about the implementation process, while the commits document the initial creation of the codebase. The total size of the codebase is 1000 lines.</t>
        </is>
      </c>
      <c r="I1657" t="n">
        <v>0.005</v>
      </c>
      <c r="J1657" t="n">
        <v>0.1404</v>
      </c>
      <c r="K1657" t="n">
        <v>0.1667</v>
      </c>
      <c r="L1657" t="inlineStr">
        <is>
          <t>This Java annotation defines a custom HTTP method that can be used in Retrofit requests. It allows developers to specify non-standard HTTP methods like "CUSTOM", enabling them to interact with APIs that support such verbs. The annotation is part of the `retrofit2.http` package and requires specifying the method name as a string.</t>
        </is>
      </c>
      <c r="M1657" t="n">
        <v>0.0042</v>
      </c>
      <c r="N1657" t="n">
        <v>0.0645</v>
      </c>
      <c r="O1657" t="n">
        <v>0.121</v>
      </c>
    </row>
    <row r="1658">
      <c r="A1658" t="inlineStr">
        <is>
          <t>retrofit</t>
        </is>
      </c>
      <c r="B1658" t="inlineStr">
        <is>
          <t>retrofit/src/main/java/retrofit2/http/POST.java</t>
        </is>
      </c>
      <c r="C1658">
        <f>HYPERLINK("https://github.com/square/retrofit/blob/master/retrofit/src/main/java/retrofit2/http/POST.java")</f>
        <v/>
      </c>
      <c r="D1658" t="inlineStr">
        <is>
          <t>The `POST` annotation is used in Retrofit 2 to define a method that performs a HTTP POST request. It specifies the URL path where the data will be sent. The annotated method can accept parameters that will be included as form fields or JSON body in the request. This annotation helps in creating RESTful services easily using Retrofit's powerful features.</t>
        </is>
      </c>
      <c r="E1658" t="n">
        <v>0.003</v>
      </c>
      <c r="F1658" t="n">
        <v>0.029</v>
      </c>
      <c r="G1658" t="n">
        <v>0.07580000000000001</v>
      </c>
      <c r="H1658" t="inlineStr">
        <is>
          <t>The repository contains backend software components that implement core algorithms. The complexity of these implementations is O(N), indicating linear time complexity. The code size is 1000 lines, suggesting it includes multiple modules and functionalities.</t>
        </is>
      </c>
      <c r="I1658" t="n">
        <v>0.0072</v>
      </c>
      <c r="J1658" t="n">
        <v>0.186</v>
      </c>
      <c r="K1658" t="n">
        <v>0.2358</v>
      </c>
      <c r="L1658" t="inlineStr">
        <is>
          <t>The `POST` annotation in Retrofit 2 is used to define HTTP POST requests. It specifies that the annotated method should send data to the specified URL using the POST method. The annotation can be applied to methods within interfaces annotated with `@RestService`. The `value()` attribute indicates the endpoint URL where the POST request will be sent.</t>
        </is>
      </c>
      <c r="M1658" t="n">
        <v>0</v>
      </c>
      <c r="N1658" t="n">
        <v>0</v>
      </c>
      <c r="O1658" t="n">
        <v>0.0391</v>
      </c>
    </row>
    <row r="1659">
      <c r="A1659" t="inlineStr">
        <is>
          <t>retrofit</t>
        </is>
      </c>
      <c r="B1659" t="inlineStr">
        <is>
          <t>retrofit/src/main/java/retrofit2/http/Multipart.java</t>
        </is>
      </c>
      <c r="C1659">
        <f>HYPERLINK("https://github.com/square/retrofit/blob/master/retrofit/src/main/java/retrofit2/http/Multipart.java")</f>
        <v/>
      </c>
      <c r="D1659" t="inlineStr">
        <is>
          <t>The provided code defines an annotation `@Multipart` in the Retrofit library, which indicates that the HTTP request's body consists of multiple parts. Each part is represented as a method parameter annotated with `@Part`. This allows developers to easily construct multipart requests using Retrofit. The annotation is used to handle files, form data, and other types of binary content within a single HTTP request.</t>
        </is>
      </c>
      <c r="E1659" t="n">
        <v>0.0034</v>
      </c>
      <c r="F1659" t="n">
        <v>0.0556</v>
      </c>
      <c r="G1659" t="n">
        <v>0.1111</v>
      </c>
      <c r="H1659" t="inlineStr">
        <is>
          <t>The code defines annotations for handling multipart requests in Retrofit, which allows developers to easily create HTTP POST requests with multiple parts in their Android applications.</t>
        </is>
      </c>
      <c r="I1659" t="n">
        <v>0</v>
      </c>
      <c r="J1659" t="n">
        <v>0</v>
      </c>
      <c r="K1659" t="n">
        <v>0.051</v>
      </c>
      <c r="L1659" t="inlineStr">
        <is>
          <t>This Java annotation (`@Multipart`) from Retrofit 2 indicates that the HTTP request's body consists of multiple parts, which can contain different types of data such as files or form fields. It requires that each part parameter is also annotated with `@Part`, allowing developers to specify how each part should be handled during the request process.</t>
        </is>
      </c>
      <c r="M1659" t="n">
        <v>0.0033</v>
      </c>
      <c r="N1659" t="n">
        <v>0.0312</v>
      </c>
      <c r="O1659" t="n">
        <v>0.07870000000000001</v>
      </c>
    </row>
    <row r="1660">
      <c r="A1660" t="inlineStr">
        <is>
          <t>retrofit</t>
        </is>
      </c>
      <c r="B1660" t="inlineStr">
        <is>
          <t>retrofit/src/main/java/retrofit2/internal/EverythingIsNonNull.java</t>
        </is>
      </c>
      <c r="C1660">
        <f>HYPERLINK("https://github.com/square/retrofit/blob/master/retrofit/src/main/java/retrofit2/internal/EverythingIsNonNull.java")</f>
        <v/>
      </c>
      <c r="D1660" t="inlineStr">
        <is>
          <t>The provided Java code defines a custom annotation `@ParametersAndResultsAreNonnullByDefault` that extends another annotation `@ParametersAreNonnullByDefault`. This new annotation applies nullability annotations (`@NonNull`) to method parameters, return values, and class fields across all methods within the annotated package. The purpose is to enforce stricter null safety checks throughout the application.</t>
        </is>
      </c>
      <c r="E1660" t="n">
        <v>0.0045</v>
      </c>
      <c r="F1660" t="n">
        <v>0.07140000000000001</v>
      </c>
      <c r="G1660" t="n">
        <v>0.0833</v>
      </c>
      <c r="H1660" t="inlineStr">
        <is>
          <t>The code implements core algorithms and extends `ParametersAreNonnullByDefault` to include method results and fields. It includes comments explaining its implementation and uses annotations for type qualifiers. The complexity is O(N), indicating linear time complexity.</t>
        </is>
      </c>
      <c r="I1660" t="n">
        <v>0.0128</v>
      </c>
      <c r="J1660" t="n">
        <v>0.1395</v>
      </c>
      <c r="K1660" t="n">
        <v>0.2978</v>
      </c>
      <c r="L1660" t="inlineStr">
        <is>
          <t>This Java annotation extends `ParametersAreNonnullByDefault` to ensure that all method parameters, return values, and fields within annotated classes are non-null. It helps enforce null safety across the entire class hierarchy.</t>
        </is>
      </c>
      <c r="M1660" t="n">
        <v>0.0074</v>
      </c>
      <c r="N1660" t="n">
        <v>0.1026</v>
      </c>
      <c r="O1660" t="n">
        <v>0.098</v>
      </c>
    </row>
    <row r="1661">
      <c r="A1661" t="inlineStr">
        <is>
          <t>retrofit</t>
        </is>
      </c>
      <c r="B1661" t="inlineStr">
        <is>
          <t>website/public/2.x/converter-guava/script.js</t>
        </is>
      </c>
      <c r="C1661">
        <f>HYPERLINK("https://github.com/square/retrofit/blob/master/website/public/2.x/converter-guava/script.js")</f>
        <v/>
      </c>
      <c r="D1661" t="inlineStr">
        <is>
          <t>The provided code consists of two functions: `show` and `updateTabs`. The `show` function takes a `type` parameter and updates the visibility and styling of rows based on whether they match the given `type`. It also calls the `updateTabs` function to adjust tab styles accordingly. The `updateTabs` function iterates over a set of tabs, updating their appearance based on whether</t>
        </is>
      </c>
      <c r="E1661" t="n">
        <v>0.0031</v>
      </c>
      <c r="F1661" t="n">
        <v>0.0597</v>
      </c>
      <c r="G1661" t="n">
        <v>0.07630000000000001</v>
      </c>
      <c r="H1661" t="inlineStr">
        <is>
          <t>The code defines functions `show` and `updateTabs`. The `show` function iterates over an object called `methods`, displaying or hiding rows based on their properties and a given type. It also updates tab styles based on the current type. The `updateTabs` function changes the appearance of tabs to indicate which one is currently selected. The README describes this as backend software components with complexity O</t>
        </is>
      </c>
      <c r="I1661" t="n">
        <v>0.0034</v>
      </c>
      <c r="J1661" t="n">
        <v>0.0556</v>
      </c>
      <c r="K1661" t="n">
        <v>0.1471</v>
      </c>
      <c r="L1661" t="inlineStr">
        <is>
          <t>This code manages the display of different sections based on user input types by toggling their visibility and applying alternating colors. It also updates tab navigation buttons accordingly, highlighting the current section being displayed. The `show` function filters rows based on the selected type and applies styles, while the `updateTabs` function adjusts the appearance of tab buttons to reflect the currently active section.</t>
        </is>
      </c>
      <c r="M1661" t="n">
        <v>0.0034</v>
      </c>
      <c r="N1661" t="n">
        <v>0.08450000000000001</v>
      </c>
      <c r="O1661" t="n">
        <v>0.1111</v>
      </c>
    </row>
    <row r="1662">
      <c r="A1662" t="inlineStr">
        <is>
          <t>retrofit</t>
        </is>
      </c>
      <c r="B1662" t="inlineStr">
        <is>
          <t>website/public/2.x/adapter-rxjava/script.js</t>
        </is>
      </c>
      <c r="C1662">
        <f>HYPERLINK("https://github.com/square/retrofit/blob/master/website/public/2.x/adapter-rxjava/script.js")</f>
        <v/>
      </c>
      <c r="D1662" t="inlineStr">
        <is>
          <t>The provided code consists of two functions:
1. `show(type)`: This function iterates over an object called `methods`, which likely maps method names to bit flags or other values indicating visibility conditions. It updates the display style and class name of HTML elements with IDs corresponding to these keys based on whether their associated flag matches the input `type`. The elements' styles are toggled between visible and</t>
        </is>
      </c>
      <c r="E1662" t="n">
        <v>0.0033</v>
      </c>
      <c r="F1662" t="n">
        <v>0.08</v>
      </c>
      <c r="G1662" t="n">
        <v>0.1087</v>
      </c>
      <c r="H1662" t="inlineStr">
        <is>
          <t>The code provides functions to display or hide rows based on their method types and update tab styles accordingly. It uses loops to iterate over objects (`methods` and `tabs`) and modifies CSS properties such as `display`, `className`, and innerHTML of HTML elements. The complexity is O(N), where N is the number of keys in the `methods` object.</t>
        </is>
      </c>
      <c r="I1662" t="n">
        <v>0.0032</v>
      </c>
      <c r="J1662" t="n">
        <v>0.0606</v>
      </c>
      <c r="K1662" t="n">
        <v>0.0775</v>
      </c>
      <c r="L1662" t="inlineStr">
        <is>
          <t>The provided code consists of two functions: `show` and `updateTabs`. The `show` function filters rows based on a given type by toggling their display and applying alternating classes. It also updates tab navigation buttons to reflect the current filter type. The `updateTabs` function changes the appearance of tab buttons based on whether they correspond to the currently selected filter type.</t>
        </is>
      </c>
      <c r="M1662" t="n">
        <v>0.003</v>
      </c>
      <c r="N1662" t="n">
        <v>0.0588</v>
      </c>
      <c r="O1662" t="n">
        <v>0.07580000000000001</v>
      </c>
    </row>
    <row r="1663">
      <c r="A1663" t="inlineStr">
        <is>
          <t>retrofit</t>
        </is>
      </c>
      <c r="B1663" t="inlineStr">
        <is>
          <t>website/public/2.x/converter-kotlinx-serialization/ui-kit/ui-kit.min.js</t>
        </is>
      </c>
      <c r="C1663">
        <f>HYPERLINK("https://github.com/square/retrofit/blob/master/website/public/2.x/converter-kotlinx-serialization/ui-kit/ui-kit.min.js")</f>
        <v/>
      </c>
      <c r="D1663" t="inlineStr">
        <is>
          <t>The code is a JavaScript module that adds keyboard navigation to buttons within `div` elements with the class name "button". It listens for keydown events on these buttons and dispatches a click event if the user presses Enter or Space. The function `e()` determines whether the current viewport size is mobile, tablet, or desktop based on its width. The `n()` function creates a trap element that</t>
        </is>
      </c>
      <c r="E1663" t="n">
        <v>0.0033</v>
      </c>
      <c r="F1663" t="n">
        <v>0.0541</v>
      </c>
      <c r="G1663" t="n">
        <v>0.1087</v>
      </c>
      <c r="H1663" t="inlineStr">
        <is>
          <t>The repository contains backend software components that implement core algorithms. The complexity is O(N).</t>
        </is>
      </c>
      <c r="I1663" t="n">
        <v>0.017</v>
      </c>
      <c r="J1663" t="n">
        <v>0.2609</v>
      </c>
      <c r="K1663" t="n">
        <v>0.2972</v>
      </c>
      <c r="L1663" t="inlineStr">
        <is>
          <t>The code implements keyboard navigation for buttons within `div` elements using event listeners. It also includes a function that determines the device type based on screen width and another function that handles tabbing through options with specific roles when focused on buttons. The code is designed to be responsive and adaptable to different screen sizes.</t>
        </is>
      </c>
      <c r="M1663" t="n">
        <v>0.004</v>
      </c>
      <c r="N1663" t="n">
        <v>0.09520000000000001</v>
      </c>
      <c r="O1663" t="n">
        <v>0.1181</v>
      </c>
    </row>
    <row r="1664">
      <c r="A1664" t="inlineStr">
        <is>
          <t>retrofit</t>
        </is>
      </c>
      <c r="B1664" t="inlineStr">
        <is>
          <t>website/public/2.x/converter-kotlinx-serialization/scripts/symbol-parameters-wrapper_deferred.js</t>
        </is>
      </c>
      <c r="C1664">
        <f>HYPERLINK("https://github.com/square/retrofit/blob/master/website/public/2.x/converter-kotlinx-serialization/scripts/symbol-parameters-wrapper_deferred.js")</f>
        <v/>
      </c>
      <c r="D1664" t="inlineStr">
        <is>
          <t>The code snippet appears to be a JavaScript module designed to handle certain edge cases related to wrapping text in HTML elements. It includes functions to create non-breaking space (nbsp) indents and to wrap symbols within specific parameters based on their bounding box size. The main purpose seems to ensure proper rendering of text in scenarios where automatic line breaks might occur prematurely due to short signatures.</t>
        </is>
      </c>
      <c r="E1664" t="n">
        <v>0.0032</v>
      </c>
      <c r="F1664" t="n">
        <v>0.0789</v>
      </c>
      <c r="G1664" t="n">
        <v>0.1079</v>
      </c>
      <c r="H1664" t="inlineStr">
        <is>
          <t>The repository contains backend software components implementing core algorithms. Complexity is O(N), and comments indicate implementation of core algorithms. The code size is 1000 lines.</t>
        </is>
      </c>
      <c r="I1664" t="n">
        <v>0.01</v>
      </c>
      <c r="J1664" t="n">
        <v>0.2353</v>
      </c>
      <c r="K1664" t="n">
        <v>0.2062</v>
      </c>
      <c r="L1664" t="inlineStr">
        <is>
          <t>The code provides utility functions to handle whitespace padding around symbols in web pages. It includes creating a span element filled with four non-breaking spaces (`&amp;nbsp;`) and wrapping parameters associated with symbols based on their width. The functions are designed to address issues related to `&lt;wbr&gt;` tags starting prematurely when symbols are too short to be wrapped correctly.</t>
        </is>
      </c>
      <c r="M1664" t="n">
        <v>0.0031</v>
      </c>
      <c r="N1664" t="n">
        <v>0.0597</v>
      </c>
      <c r="O1664" t="n">
        <v>0.0769</v>
      </c>
    </row>
    <row r="1665">
      <c r="A1665" t="inlineStr">
        <is>
          <t>retrofit</t>
        </is>
      </c>
      <c r="B1665" t="inlineStr">
        <is>
          <t>website/public/2.x/converter-kotlinx-serialization/scripts/navigation-loader.js</t>
        </is>
      </c>
      <c r="C1665">
        <f>HYPERLINK("https://github.com/square/retrofit/blob/master/website/public/2.x/converter-kotlinx-serialization/scripts/navigation-loader.js")</f>
        <v/>
      </c>
      <c r="D1665" t="inlineStr">
        <is>
          <t>The provided code snippet appears to be part of a web application that handles navigation on a webpage. It uses JavaScript to asynchronously load and display a navigation page from a specified URL (`pathToRoot + "navigation.html"`). Once loaded, it updates the content of a sidebar element with the fetched HTML. The script then modifies links in the table of contents (TOC) to include the base path (`</t>
        </is>
      </c>
      <c r="E1665" t="n">
        <v>0.0027</v>
      </c>
      <c r="F1665" t="n">
        <v>0.027</v>
      </c>
      <c r="G1665" t="n">
        <v>0.07190000000000001</v>
      </c>
      <c r="H1665" t="inlineStr">
        <is>
          <t>The repository contains backend software components with complexity O(N), implementing core algorithms. The README describes it as containing backend software components and provides details about its implementation, complexity, comments, commits, and size.</t>
        </is>
      </c>
      <c r="I1665" t="n">
        <v>0.0077</v>
      </c>
      <c r="J1665" t="n">
        <v>0.1951</v>
      </c>
      <c r="K1665" t="n">
        <v>0.3035</v>
      </c>
      <c r="L1665" t="inlineStr">
        <is>
          <t>The code fetches HTML content from `navigation.html`, displays it in the sidebar menu, updates internal links, hides unnecessary sections, reveals relevant navigation for the current page, scrolls to selected elements, and adds click event listeners to footer links.</t>
        </is>
      </c>
      <c r="M1665" t="n">
        <v>0.0049</v>
      </c>
      <c r="N1665" t="n">
        <v>0.0426</v>
      </c>
      <c r="O1665" t="n">
        <v>0.0455</v>
      </c>
    </row>
    <row r="1666">
      <c r="A1666" t="inlineStr">
        <is>
          <t>retrofit</t>
        </is>
      </c>
      <c r="B1666" t="inlineStr">
        <is>
          <t>website/public/2.x/converter-kotlinx-serialization/scripts/prism.js</t>
        </is>
      </c>
      <c r="C1666">
        <f>HYPERLINK("https://github.com/square/retrofit/blob/master/website/public/2.x/converter-kotlinx-serialization/scripts/prism.js")</f>
        <v/>
      </c>
      <c r="D1666" t="inlineStr">
        <is>
          <t>The provided code is for a JavaScript library called Prism.js, which is used to highlight syntax in various programming languages within web pages. It includes features like language detection, highlighting, and support for multiple plugins. The code defines functions for encoding text, determining object types, generating unique IDs, cloning objects, and more. The complexity is O(N) due to operations that may involve iterating over arrays or strings</t>
        </is>
      </c>
      <c r="E1666" t="n">
        <v>0.0027</v>
      </c>
      <c r="F1666" t="n">
        <v>0.0519</v>
      </c>
      <c r="G1666" t="n">
        <v>0.07190000000000001</v>
      </c>
      <c r="H1666" t="inlineStr">
        <is>
          <t>The provided code is a JavaScript implementation of a basic text editor using the Prism.js library for syntax highlighting. It includes features such as language detection, tokenization, and rendering of code snippets with highlighted syntax. The README file describes this project as containing backend software components related to algorithm implementations.</t>
        </is>
      </c>
      <c r="I1666" t="n">
        <v>0.0044</v>
      </c>
      <c r="J1666" t="n">
        <v>0.1017</v>
      </c>
      <c r="K1666" t="n">
        <v>0.2049</v>
      </c>
      <c r="L1666" t="inlineStr">
        <is>
          <t>This code is a JavaScript implementation of Prism.js, a syntax highlighter for various programming languages. It includes features like language detection, tokenization, and rendering of highlighted code snippets. The library supports multiple languages and plugins, making it versatile for use in web applications that require code highlighting.</t>
        </is>
      </c>
      <c r="M1666" t="n">
        <v>0.0046</v>
      </c>
      <c r="N1666" t="n">
        <v>0.1071</v>
      </c>
      <c r="O1666" t="n">
        <v>0.1681</v>
      </c>
    </row>
    <row r="1667">
      <c r="A1667" t="inlineStr">
        <is>
          <t>retrofit</t>
        </is>
      </c>
      <c r="B1667" t="inlineStr">
        <is>
          <t>website/public/2.x/converter-kotlinx-serialization/scripts/main.js</t>
        </is>
      </c>
      <c r="C1667">
        <f>HYPERLINK("https://github.com/square/retrofit/blob/master/website/public/2.x/converter-kotlinx-serialization/scripts/main.js")</f>
        <v/>
      </c>
      <c r="D1667" t="inlineStr">
        <is>
          <t>The provided code is a module that exports SVG images as strings for various icons. Each icon is defined using the `&lt;svg&gt;` element with its own `viewBox` attribute to ensure consistent scaling across different sizes. The function names (`e =&gt; { ... }`) suggest they might be used in a CommonJS environment where modules can export functions or values. The complexity is O(1) since each exported</t>
        </is>
      </c>
      <c r="E1667" t="n">
        <v>0.0028</v>
      </c>
      <c r="F1667" t="n">
        <v>0.0563</v>
      </c>
      <c r="G1667" t="n">
        <v>0.0725</v>
      </c>
      <c r="H1667" t="inlineStr">
        <is>
          <t>The repository contains backend software components that implement core algorithms. The complexity is O(N), indicating linear time performance for certain operations. The implementation includes SVG graphics generation functions defined in JavaScript modules.</t>
        </is>
      </c>
      <c r="I1667" t="n">
        <v>0.0069</v>
      </c>
      <c r="J1667" t="n">
        <v>0.1951</v>
      </c>
      <c r="K1667" t="n">
        <v>0.1923</v>
      </c>
      <c r="L1667" t="inlineStr">
        <is>
          <t>This code exports SVG icons for various purposes, such as representing different entities or actions, using ES6 modules. Each export corresponds to a specific icon defined by a path string within an SVG element. The code is structured to be modular and easy to understand, making it suitable for use in web applications where icons need to be dynamically rendered based on data.</t>
        </is>
      </c>
      <c r="M1667" t="n">
        <v>0.0034</v>
      </c>
      <c r="N1667" t="n">
        <v>0.08450000000000001</v>
      </c>
      <c r="O1667" t="n">
        <v>0.1111</v>
      </c>
    </row>
    <row r="1668">
      <c r="A1668" t="inlineStr">
        <is>
          <t>retrofit</t>
        </is>
      </c>
      <c r="B1668" t="inlineStr">
        <is>
          <t>website/public/2.x/converter-kotlinx-serialization/scripts/clipboard.js</t>
        </is>
      </c>
      <c r="C1668">
        <f>HYPERLINK("https://github.com/square/retrofit/blob/master/website/public/2.x/converter-kotlinx-serialization/scripts/clipboard.js")</f>
        <v/>
      </c>
      <c r="D1668" t="inlineStr">
        <is>
          <t>The provided JavaScript code adds event listeners to elements with specific classes (`copy-icon` and `anchor-icon`) on the page load. When clicked, these icons trigger different actions:
1. **Copy Elements Content**: For elements with the class `copy-icon`, clicking them copies the content of their parent's parent node to the clipboard using the `navigator.clipboard.writeText()` method. A popup indicating successful</t>
        </is>
      </c>
      <c r="E1668" t="n">
        <v>0.0032</v>
      </c>
      <c r="F1668" t="n">
        <v>0.0282</v>
      </c>
      <c r="G1668" t="n">
        <v>0.0775</v>
      </c>
      <c r="H1668" t="inlineStr">
        <is>
          <t>This repository contains backend software components with complexity O(N), implementing core algorithms. The code size is 1000 lines, and it includes initial commits to establish the project's foundation.</t>
        </is>
      </c>
      <c r="I1668" t="n">
        <v>0.0095</v>
      </c>
      <c r="J1668" t="n">
        <v>0.2632</v>
      </c>
      <c r="K1668" t="n">
        <v>0.372</v>
      </c>
      <c r="L1668" t="inlineStr">
        <is>
          <t>This JavaScript code listens for clicks on elements with 'copy-icon' and 'anchor-icon' classes. When clicked, it copies the content of their parent nodes to the clipboard. If the icon has an attribute 'pointing-to', it also appends the anchor's ID to the copied text before pasting. The function `hrefWithoutCurrentlyUsedAnchor()` is used to construct the full URL without any</t>
        </is>
      </c>
      <c r="M1668" t="n">
        <v>0.0038</v>
      </c>
      <c r="N1668" t="n">
        <v>0.058</v>
      </c>
      <c r="O1668" t="n">
        <v>0.1163</v>
      </c>
    </row>
    <row r="1669">
      <c r="A1669" t="inlineStr">
        <is>
          <t>retrofit</t>
        </is>
      </c>
      <c r="B1669" t="inlineStr">
        <is>
          <t>website/public/2.x/converter-kotlinx-serialization/scripts/platform-content-handler.js</t>
        </is>
      </c>
      <c r="C1669">
        <f>HYPERLINK("https://github.com/square/retrofit/blob/master/website/public/2.x/converter-kotlinx-serialization/scripts/platform-content-handler.js")</f>
        <v/>
      </c>
      <c r="D1669" t="inlineStr">
        <is>
          <t>The code defines a `safeLocalStorage` object that provides a wrapper for accessing local storage while handling cases where it might not be available due to security restrictions or other issues. It checks availability using a simple test key and returns `null` when access is denied, preventing runtime errors related to local storage operations. The implementation uses basic JavaScript functions like `setItem`, `getItem`, and `removeItem`.</t>
        </is>
      </c>
      <c r="E1669" t="n">
        <v>0.0028</v>
      </c>
      <c r="F1669" t="n">
        <v>0.0833</v>
      </c>
      <c r="G1669" t="n">
        <v>0.1103</v>
      </c>
      <c r="H1669" t="inlineStr">
        <is>
          <t>The repository contains backend software components with complexity O(N), implementing core algorithms. The README describes it as containing "backend software components" and mentions that the implementation involves "core algorithms."</t>
        </is>
      </c>
      <c r="I1669" t="n">
        <v>0.008500000000000001</v>
      </c>
      <c r="J1669" t="n">
        <v>0.2105</v>
      </c>
      <c r="K1669" t="n">
        <v>0.198</v>
      </c>
      <c r="L1669" t="inlineStr">
        <is>
          <t>The `safeLocalStorage` function provides a wrapper for accessing local storage that handles scenarios where local storage might not be accessible due to browser restrictions. It checks availability using a simple test key and returns `null` or performs no action when local storage is unavailable, preventing potential errors from occurring during usage.</t>
        </is>
      </c>
      <c r="M1669" t="n">
        <v>0.0036</v>
      </c>
      <c r="N1669" t="n">
        <v>0.0678</v>
      </c>
      <c r="O1669" t="n">
        <v>0.0813</v>
      </c>
    </row>
    <row r="1670">
      <c r="A1670" t="inlineStr">
        <is>
          <t>retrofit</t>
        </is>
      </c>
      <c r="B1670" t="inlineStr">
        <is>
          <t>website/public/2.x/converter-kotlinx-serialization/scripts/sourceset_dependencies.js</t>
        </is>
      </c>
      <c r="C1670">
        <f>HYPERLINK("https://github.com/square/retrofit/blob/master/website/public/2.x/converter-kotlinx-serialization/scripts/sourceset_dependencies.js")</f>
        <v/>
      </c>
      <c r="D1670" t="inlineStr">
        <is>
          <t>The code defines a set of dependencies for Retrofit converters using KotlinX Serialization with Dokka HTML documentation generation. The README indicates that this is part of a backend software component repository. The complexity is O(N), suggesting linear time operations based on input size N. Comments describe the implementation of core algorithms, while commits mention the initial creation of the codebase. The total code size is 89 lines.</t>
        </is>
      </c>
      <c r="E1670" t="n">
        <v>0.0032</v>
      </c>
      <c r="F1670" t="n">
        <v>0.1053</v>
      </c>
      <c r="G1670" t="n">
        <v>0.1799</v>
      </c>
      <c r="H1670" t="inlineStr">
        <is>
          <t>Manages dependencies for Retrofit converters using KotlinX Serialization with Dokka HTML documentation. Complexity is O(N) due to dependency management. Comments describe implementation of core algorithms. Initial codebase commit. Code size is 89 lines.</t>
        </is>
      </c>
      <c r="I1670" t="n">
        <v>0.0056</v>
      </c>
      <c r="J1670" t="n">
        <v>0.09520000000000001</v>
      </c>
      <c r="K1670" t="n">
        <v>0.1429</v>
      </c>
      <c r="L1670" t="inlineStr">
        <is>
          <t>The provided code defines a string `sourceset_dependencies` that specifies dependencies for Kotlin serialization converters using Dokka HTML documentation generation. The code is part of a larger project focused on backend software components.</t>
        </is>
      </c>
      <c r="M1670" t="n">
        <v>0.0058</v>
      </c>
      <c r="N1670" t="n">
        <v>0.0488</v>
      </c>
      <c r="O1670" t="n">
        <v>0.09619999999999999</v>
      </c>
    </row>
    <row r="1671">
      <c r="A1671" t="inlineStr">
        <is>
          <t>retrofit</t>
        </is>
      </c>
      <c r="B1671" t="inlineStr">
        <is>
          <t>website/public/2.x/converter-gson/script.js</t>
        </is>
      </c>
      <c r="C1671">
        <f>HYPERLINK("https://github.com/square/retrofit/blob/master/website/public/2.x/converter-gson/script.js")</f>
        <v/>
      </c>
      <c r="D1671" t="inlineStr">
        <is>
          <t>The provided code consists of two functions: `show` and `updateTabs`. The `show` function takes a `type` parameter and updates the visibility and styling of rows based on whether they match the given `type`. It iterates over an object called `methods`, checks each method's bitmask against the input `type`, and displays or hides corresponding rows accordingly. Rows alternate between `rowColor</t>
        </is>
      </c>
      <c r="E1671" t="n">
        <v>0.0031</v>
      </c>
      <c r="F1671" t="n">
        <v>0.0588</v>
      </c>
      <c r="G1671" t="n">
        <v>0.07630000000000001</v>
      </c>
      <c r="H1671" t="inlineStr">
        <is>
          <t>The code provides functions to display or hide rows based on their method types and updates tab styles accordingly. It uses loops to iterate over objects (`methods` and `tabs`) and modifies DOM elements' properties such as style and class names. The complexity is O(N), where N is the number of keys in either object.</t>
        </is>
      </c>
      <c r="I1671" t="n">
        <v>0.0034</v>
      </c>
      <c r="J1671" t="n">
        <v>0.0635</v>
      </c>
      <c r="K1671" t="n">
        <v>0.0794</v>
      </c>
      <c r="L1671" t="inlineStr">
        <is>
          <t>The code provides two functions: `show` and `updateTabs`. The `show` function iterates over a set of methods, displaying rows based on their types and alternating between two colors. It also updates tab labels to reflect the current view. The `updateTabs` function manages the display of different tab panels by changing their classes and content based on the selected tab.</t>
        </is>
      </c>
      <c r="M1671" t="n">
        <v>0.0031</v>
      </c>
      <c r="N1671" t="n">
        <v>0.0597</v>
      </c>
      <c r="O1671" t="n">
        <v>0.07630000000000001</v>
      </c>
    </row>
    <row r="1672">
      <c r="A1672" t="inlineStr">
        <is>
          <t>retrofit</t>
        </is>
      </c>
      <c r="B1672" t="inlineStr">
        <is>
          <t>website/public/2.x/retrofit/script.js</t>
        </is>
      </c>
      <c r="C1672">
        <f>HYPERLINK("https://github.com/square/retrofit/blob/master/website/public/2.x/retrofit/script.js")</f>
        <v/>
      </c>
      <c r="D1672" t="inlineStr">
        <is>
          <t>The provided code consists of two functions: `show` and `updateTabs`. The `show` function takes a `type` parameter and iterates over an object called `methods`, which likely maps keys to bitwise flags or other values indicating visibility conditions. For each method, it checks if the current condition matches the specified `type`. If they match, it displays the corresponding HTML element with the ID</t>
        </is>
      </c>
      <c r="E1672" t="n">
        <v>0.0029</v>
      </c>
      <c r="F1672" t="n">
        <v>0.0571</v>
      </c>
      <c r="G1672" t="n">
        <v>0.0746</v>
      </c>
      <c r="H1672" t="inlineStr">
        <is>
          <t>The code provides functions to display or hide rows based on their method types and updates tab styles accordingly. It uses loops to iterate over objects (`methods` and `tabs`) and modifies DOM elements' properties like `style.display`, `className`, and innerHTML. The complexity is O(N), where N is the number of keys in either object.</t>
        </is>
      </c>
      <c r="I1672" t="n">
        <v>0.0035</v>
      </c>
      <c r="J1672" t="n">
        <v>0.0635</v>
      </c>
      <c r="K1672" t="n">
        <v>0.08</v>
      </c>
      <c r="L1672" t="inlineStr">
        <is>
          <t>The code provides functions `show` and `updateTabs`. The `show` function iterates over an object called `methods`, toggling the visibility and styling of rows based on their corresponding method types and a given input type. It also updates tab navigation buttons accordingly. The `updateTabs` function manages the appearance of tab buttons, highlighting the current selected tab and updating links for other tabs.</t>
        </is>
      </c>
      <c r="M1672" t="n">
        <v>0.003</v>
      </c>
      <c r="N1672" t="n">
        <v>0.058</v>
      </c>
      <c r="O1672" t="n">
        <v>0.0752</v>
      </c>
    </row>
    <row r="1673">
      <c r="A1673" t="inlineStr">
        <is>
          <t>retrofit</t>
        </is>
      </c>
      <c r="B1673" t="inlineStr">
        <is>
          <t>website/public/2.x/converter-wire/script.js</t>
        </is>
      </c>
      <c r="C1673">
        <f>HYPERLINK("https://github.com/square/retrofit/blob/master/website/public/2.x/converter-wire/script.js")</f>
        <v/>
      </c>
      <c r="D1673" t="inlineStr">
        <is>
          <t>The provided code consists of two functions:
1. `show(type)`: This function takes a type as input and updates the visibility and styling of rows based on their corresponding method flags. It iterates over each method, checks if it matches the given type using bitwise AND operation, and displays or hides the row accordingly. The row's class is also alternated between `rowColor` and `alt</t>
        </is>
      </c>
      <c r="E1673" t="n">
        <v>0.0034</v>
      </c>
      <c r="F1673" t="n">
        <v>0.0822</v>
      </c>
      <c r="G1673" t="n">
        <v>0.1111</v>
      </c>
      <c r="H1673" t="inlineStr">
        <is>
          <t>Manages tabbed content display based on method types and updates tab labels accordingly. Complexity is O(N), where N is the number of methods or tabs.</t>
        </is>
      </c>
      <c r="I1673" t="n">
        <v>0.0076</v>
      </c>
      <c r="J1673" t="n">
        <v>0.0588</v>
      </c>
      <c r="K1673" t="n">
        <v>0.0515</v>
      </c>
      <c r="L1673" t="inlineStr">
        <is>
          <t>The provided code defines two functions: `show` and `updateTabs`. The `show` function iterates over an object named `methods`, displaying rows based on their bitwise AND operation with a given `type`. It alternates between two colors (`rowColor` and `altColor`) for each visible row. The `updateTabs` function updates tab styles and content based on the current `type</t>
        </is>
      </c>
      <c r="M1673" t="n">
        <v>0.0033</v>
      </c>
      <c r="N1673" t="n">
        <v>0.0635</v>
      </c>
      <c r="O1673" t="n">
        <v>0.07870000000000001</v>
      </c>
    </row>
    <row r="1674">
      <c r="A1674" t="inlineStr">
        <is>
          <t>retrofit</t>
        </is>
      </c>
      <c r="B1674" t="inlineStr">
        <is>
          <t>website/public/2.x/adapter-rxjava3/script.js</t>
        </is>
      </c>
      <c r="C1674">
        <f>HYPERLINK("https://github.com/square/retrofit/blob/master/website/public/2.x/adapter-rxjava3/script.js")</f>
        <v/>
      </c>
      <c r="D1674" t="inlineStr">
        <is>
          <t>The provided code consists of two functions:
1. `show(type)`:
   - This function iterates over an object named `methods` using its keys.
   - For each method, it checks if the current `type` matches any bit set in the method's corresponding value.
   - If there is a match, it displays the associated HTML element (`row`) by setting its display style to</t>
        </is>
      </c>
      <c r="E1674" t="n">
        <v>0.0031</v>
      </c>
      <c r="F1674" t="n">
        <v>0.0606</v>
      </c>
      <c r="G1674" t="n">
        <v>0.07630000000000001</v>
      </c>
      <c r="H1674" t="inlineStr">
        <is>
          <t>The code provides functions to display or hide rows based on their method types and updates tab styles accordingly. It uses loops to iterate over objects (`methods` and `tabs`) and modifies DOM elements' properties such as visibility and class names. The complexity is O(N), where N is the number of keys in the `methods` object.</t>
        </is>
      </c>
      <c r="I1674" t="n">
        <v>0.0033</v>
      </c>
      <c r="J1674" t="n">
        <v>0.0625</v>
      </c>
      <c r="K1674" t="n">
        <v>0.07870000000000001</v>
      </c>
      <c r="L1674" t="inlineStr">
        <is>
          <t>The code provides functions `show` and `updateTabs`. The `show` function iterates over objects stored in `methods`, displaying rows based on their bitwise AND operation with the input `type`. It alternates between two colors (`rowColor` and `altColor`) for each displayed row. The `updateTabs` function updates tab styling based on the current display type, changing the class name</t>
        </is>
      </c>
      <c r="M1674" t="n">
        <v>0.0033</v>
      </c>
      <c r="N1674" t="n">
        <v>0.0625</v>
      </c>
      <c r="O1674" t="n">
        <v>0.0781</v>
      </c>
    </row>
    <row r="1675">
      <c r="A1675" t="inlineStr">
        <is>
          <t>retrofit</t>
        </is>
      </c>
      <c r="B1675" t="inlineStr">
        <is>
          <t>website/public/2.x/adapter-rxjava2/script.js</t>
        </is>
      </c>
      <c r="C1675">
        <f>HYPERLINK("https://github.com/square/retrofit/blob/master/website/public/2.x/adapter-rxjava2/script.js")</f>
        <v/>
      </c>
      <c r="D1675" t="inlineStr">
        <is>
          <t>The provided code consists of two functions:
1. `show(type)`:
   - Iterates over all keys in the `methods` object.
   - For each method, it checks if the specified `type` is present using bitwise AND (`&amp;`).
   - If the condition is true, it displays the corresponding HTML element with the ID equal to the current key and alternates its background color</t>
        </is>
      </c>
      <c r="E1675" t="n">
        <v>0.0031</v>
      </c>
      <c r="F1675" t="n">
        <v>0.0625</v>
      </c>
      <c r="G1675" t="n">
        <v>0.07630000000000001</v>
      </c>
      <c r="H1675" t="inlineStr">
        <is>
          <t>The code provides functions to display or hide rows based on their method types and updates tab states accordingly. It uses loops to iterate over objects (`methods` and `tabs`) and modifies CSS properties and HTML content dynamically. The complexity is O(N), where N is the number of elements in these objects.</t>
        </is>
      </c>
      <c r="I1675" t="n">
        <v>0.0036</v>
      </c>
      <c r="J1675" t="n">
        <v>0.0667</v>
      </c>
      <c r="K1675" t="n">
        <v>0.0813</v>
      </c>
      <c r="L1675" t="inlineStr">
        <is>
          <t>This code manages the display and styling of rows based on method types and updates tab navigation accordingly. The `show` function iterates over methods, toggling their visibility and applying alternating colors. It also calls `updateTabs`, which changes the appearance of tabs based on the current selected method type.</t>
        </is>
      </c>
      <c r="M1675" t="n">
        <v>0.0045</v>
      </c>
      <c r="N1675" t="n">
        <v>0.1071</v>
      </c>
      <c r="O1675" t="n">
        <v>0.125</v>
      </c>
    </row>
    <row r="1676">
      <c r="A1676" t="inlineStr">
        <is>
          <t>retrofit</t>
        </is>
      </c>
      <c r="B1676" t="inlineStr">
        <is>
          <t>website/public/2.x/converter-scalars/script.js</t>
        </is>
      </c>
      <c r="C1676">
        <f>HYPERLINK("https://github.com/square/retrofit/blob/master/website/public/2.x/converter-scalars/script.js")</f>
        <v/>
      </c>
      <c r="D1676" t="inlineStr">
        <is>
          <t>The provided code consists of two functions: `show` and `updateTabs`. The `show` function filters rows based on a given type and updates their display style and class name accordingly. It also calls the `updateTabs` function to adjust tab styles based on the current selected type. The `updateTabs` function changes the appearance of tabs by adding or removing specific classes and updating anchor text links</t>
        </is>
      </c>
      <c r="E1676" t="n">
        <v>0.0028</v>
      </c>
      <c r="F1676" t="n">
        <v>0.0556</v>
      </c>
      <c r="G1676" t="n">
        <v>0.0735</v>
      </c>
      <c r="H1676" t="inlineStr">
        <is>
          <t>The code provides functions to display or hide rows based on their method types and updates tab styles accordingly. It uses loops to iterate over objects (`methods` and `tabs`) and modifies CSS properties and inner HTML elements dynamically. The complexity is O(N), where N is the number of keys in the `methods` object.</t>
        </is>
      </c>
      <c r="I1676" t="n">
        <v>0.0035</v>
      </c>
      <c r="J1676" t="n">
        <v>0.0645</v>
      </c>
      <c r="K1676" t="n">
        <v>0.08</v>
      </c>
      <c r="L1676" t="inlineStr">
        <is>
          <t>The code provides two functions: `show` and `updateTabs`. The `show` function iterates over a set of method keys, displaying corresponding rows based on their bitwise AND operation with a given type. It alternates between two colors for each displayed row and updates tab states accordingly using the `updateTabs` function. The `updateTabs` function changes the appearance of tabs based on whether they</t>
        </is>
      </c>
      <c r="M1676" t="n">
        <v>0.003</v>
      </c>
      <c r="N1676" t="n">
        <v>0.058</v>
      </c>
      <c r="O1676" t="n">
        <v>0.0752</v>
      </c>
    </row>
    <row r="1677">
      <c r="A1677" t="inlineStr">
        <is>
          <t>retrofit</t>
        </is>
      </c>
      <c r="B1677" t="inlineStr">
        <is>
          <t>website/public/2.x/converter-jaxb/script.js</t>
        </is>
      </c>
      <c r="C1677">
        <f>HYPERLINK("https://github.com/square/retrofit/blob/master/website/public/2.x/converter-jaxb/script.js")</f>
        <v/>
      </c>
      <c r="D1677" t="inlineStr">
        <is>
          <t>The provided code consists of two functions: `show` and `updateTabs`. The `show` function takes a type parameter and iterates over a set of methods. It displays or hides rows based on whether their corresponding method bitmask matches the given type. Rows alternate between two colors (`rowColor` and `altColor`). After updating the visibility of rows, it calls the `updateTabs` function</t>
        </is>
      </c>
      <c r="E1677" t="n">
        <v>0.0031</v>
      </c>
      <c r="F1677" t="n">
        <v>0.0597</v>
      </c>
      <c r="G1677" t="n">
        <v>0.07630000000000001</v>
      </c>
      <c r="H1677" t="inlineStr">
        <is>
          <t>The code provides functions to display or hide rows based on their method types and updates tab styles accordingly. It uses loops to iterate over objects (`methods` and `tabs`) and modifies DOM elements' styles and content dynamically. The complexity is O(N), where N is the number of keys in the `methods` object.</t>
        </is>
      </c>
      <c r="I1677" t="n">
        <v>0.0035</v>
      </c>
      <c r="J1677" t="n">
        <v>0.06560000000000001</v>
      </c>
      <c r="K1677" t="n">
        <v>0.0806</v>
      </c>
      <c r="L1677" t="inlineStr">
        <is>
          <t>The code provides two functions: `show` and `updateTabs`. The `show` function iterates over an object named `methods`, displaying rows based on their bitwise AND operation with a given `type`. It alternates between two colors (`rowColor` and `altColor`) for each visible row. The `updateTabs` function updates tab styles based on the current `type`, changing the</t>
        </is>
      </c>
      <c r="M1677" t="n">
        <v>0.0034</v>
      </c>
      <c r="N1677" t="n">
        <v>0.0645</v>
      </c>
      <c r="O1677" t="n">
        <v>0.0794</v>
      </c>
    </row>
    <row r="1678">
      <c r="A1678" t="inlineStr">
        <is>
          <t>retrofit</t>
        </is>
      </c>
      <c r="B1678" t="inlineStr">
        <is>
          <t>website/public/2.x/converter-simplexml/script.js</t>
        </is>
      </c>
      <c r="C1678">
        <f>HYPERLINK("https://github.com/square/retrofit/blob/master/website/public/2.x/converter-simplexml/script.js")</f>
        <v/>
      </c>
      <c r="D1678" t="inlineStr">
        <is>
          <t>The provided code consists of two functions: `show` and `updateTabs`. The `show` function filters rows based on a given type and updates their display style and class name accordingly. It also calls the `updateTabs` function to adjust tab styles based on the current selection. The `updateTabs` function changes the appearance of tabs to indicate which one is currently selected. Both functions have a</t>
        </is>
      </c>
      <c r="E1678" t="n">
        <v>0.0029</v>
      </c>
      <c r="F1678" t="n">
        <v>0.0563</v>
      </c>
      <c r="G1678" t="n">
        <v>0.0741</v>
      </c>
      <c r="H1678" t="inlineStr">
        <is>
          <t>Manages tabbed display based on method types and updates tab labels accordingly. Complexity is O(N), where N is the number of methods or tabs.</t>
        </is>
      </c>
      <c r="I1678" t="n">
        <v>0.007900000000000001</v>
      </c>
      <c r="J1678" t="n">
        <v>0.0606</v>
      </c>
      <c r="K1678" t="n">
        <v>0.0521</v>
      </c>
      <c r="L1678" t="inlineStr">
        <is>
          <t>The provided code consists of two functions: `show` and `updateTabs`. The `show` function toggles the visibility and styling of rows based on their method types against a given input type. It iterates over each method, checks if it matches the input type using bitwise AND operation, and updates the display style accordingly. If the match is found, it alternates between two colors (`row</t>
        </is>
      </c>
      <c r="M1678" t="n">
        <v>0.0029</v>
      </c>
      <c r="N1678" t="n">
        <v>0.0563</v>
      </c>
      <c r="O1678" t="n">
        <v>0.0741</v>
      </c>
    </row>
    <row r="1679">
      <c r="A1679" t="inlineStr">
        <is>
          <t>retrofit</t>
        </is>
      </c>
      <c r="B1679" t="inlineStr">
        <is>
          <t>website/public/2.x/retrofit-mock/script.js</t>
        </is>
      </c>
      <c r="C1679">
        <f>HYPERLINK("https://github.com/square/retrofit/blob/master/website/public/2.x/retrofit-mock/script.js")</f>
        <v/>
      </c>
      <c r="D1679" t="inlineStr">
        <is>
          <t>The provided code consists of two functions:
1. **`show(type)`**:
   - This function takes a `type` parameter.
   - It initializes a counter `count`.
   - It iterates over each property (`key`) in the `methods` object.
   - For each method, it checks if the current method's bitmask (`methods[key]`) has the specified `type`</t>
        </is>
      </c>
      <c r="E1679" t="n">
        <v>0.0037</v>
      </c>
      <c r="F1679" t="n">
        <v>0.07140000000000001</v>
      </c>
      <c r="G1679" t="n">
        <v>0.08260000000000001</v>
      </c>
      <c r="H1679" t="inlineStr">
        <is>
          <t>The code provides functions to display or hide rows based on their method types and update tab navigation accordingly. It uses loops to iterate over objects (`methods` and `tabs`) and modifies CSS properties and HTML content dynamically. The complexity is O(N), where N is the number of elements in these objects.</t>
        </is>
      </c>
      <c r="I1679" t="n">
        <v>0.0036</v>
      </c>
      <c r="J1679" t="n">
        <v>0.0667</v>
      </c>
      <c r="K1679" t="n">
        <v>0.0813</v>
      </c>
      <c r="L1679" t="inlineStr">
        <is>
          <t>This code provides two functions: `show` and `updateTabs`. The `show` function takes a type parameter and iterates over an object called `methods`, displaying rows based on whether their corresponding method flags match the input type. It alternates between two colors for each visible row and updates tab labels accordingly using the `updateTabs` function. The `updateTabs` function changes the appearance of</t>
        </is>
      </c>
      <c r="M1679" t="n">
        <v>0.0036</v>
      </c>
      <c r="N1679" t="n">
        <v>0.0882</v>
      </c>
      <c r="O1679" t="n">
        <v>0.1136</v>
      </c>
    </row>
    <row r="1680">
      <c r="A1680" t="inlineStr">
        <is>
          <t>retrofit</t>
        </is>
      </c>
      <c r="B1680" t="inlineStr">
        <is>
          <t>website/public/2.x/converter-jackson/script.js</t>
        </is>
      </c>
      <c r="C1680">
        <f>HYPERLINK("https://github.com/square/retrofit/blob/master/website/public/2.x/converter-jackson/script.js")</f>
        <v/>
      </c>
      <c r="D1680" t="inlineStr">
        <is>
          <t>The provided code consists of two functions:
1. `show(type)`: This function iterates over a set of methods using their keys as identifiers. It checks each method's capabilities against the specified `type` parameter. If a method matches the criteria (`methods[key] &amp; type != 0`), it displays the corresponding HTML element with the ID equal to the method's key and alternates its</t>
        </is>
      </c>
      <c r="E1680" t="n">
        <v>0.0036</v>
      </c>
      <c r="F1680" t="n">
        <v>0.0857</v>
      </c>
      <c r="G1680" t="n">
        <v>0.1136</v>
      </c>
      <c r="H1680" t="inlineStr">
        <is>
          <t>The code provides functions to display or hide rows based on their method types and updates tab states accordingly. It uses loops to iterate over objects (`methods` and `tabs`) and modifies CSS properties and HTML content dynamically. The complexity is O(N), where N is the number of elements in these objects.</t>
        </is>
      </c>
      <c r="I1680" t="n">
        <v>0.0036</v>
      </c>
      <c r="J1680" t="n">
        <v>0.0667</v>
      </c>
      <c r="K1680" t="n">
        <v>0.0813</v>
      </c>
      <c r="L1680" t="inlineStr">
        <is>
          <t>The provided code consists of two functions: `show` and `updateTabs`. The `show` function toggles the visibility of rows based on their method types and applies alternating colors. It also updates tab navigation buttons to reflect the current selected tab. The `updateTabs` function changes the appearance of tab buttons to indicate which one is currently active and provides links for other tabs when they are inactive.</t>
        </is>
      </c>
      <c r="M1680" t="n">
        <v>0.0028</v>
      </c>
      <c r="N1680" t="n">
        <v>0.0548</v>
      </c>
      <c r="O1680" t="n">
        <v>0.073</v>
      </c>
    </row>
    <row r="1681">
      <c r="A1681" t="inlineStr">
        <is>
          <t>retrofit</t>
        </is>
      </c>
      <c r="B1681" t="inlineStr">
        <is>
          <t>website/public/2.x/adapter-guava/script.js</t>
        </is>
      </c>
      <c r="C1681">
        <f>HYPERLINK("https://github.com/square/retrofit/blob/master/website/public/2.x/adapter-guava/script.js")</f>
        <v/>
      </c>
      <c r="D1681" t="inlineStr">
        <is>
          <t>The provided code consists of two functions:
1. `show(type)`: This function iterates over an object called `methods`, which likely maps keys to bitmasks representing different types or permissions. It updates the display style of HTML elements with IDs corresponding to these keys based on whether they match the specified `type`. If a match is found, it sets the element's display to visible and altern</t>
        </is>
      </c>
      <c r="E1681" t="n">
        <v>0.0034</v>
      </c>
      <c r="F1681" t="n">
        <v>0.08110000000000001</v>
      </c>
      <c r="G1681" t="n">
        <v>0.1103</v>
      </c>
      <c r="H1681" t="inlineStr">
        <is>
          <t>Manages display of rows based on method types and updates tab states accordingly. Complexity is O(N), where N is the number of keys in the `tabs` object.</t>
        </is>
      </c>
      <c r="I1681" t="n">
        <v>0.007</v>
      </c>
      <c r="J1681" t="n">
        <v>0.0556</v>
      </c>
      <c r="K1681" t="n">
        <v>0.0505</v>
      </c>
      <c r="L1681" t="inlineStr">
        <is>
          <t>This code manages the display of different sections based on user input types. It iterates over a set of methods, updating their visibility and styling according to whether they match the specified type. Additionally, it updates tab navigation buttons to reflect the current section being displayed.</t>
        </is>
      </c>
      <c r="M1681" t="n">
        <v>0.0048</v>
      </c>
      <c r="N1681" t="n">
        <v>0.0741</v>
      </c>
      <c r="O1681" t="n">
        <v>0.0847</v>
      </c>
    </row>
    <row r="1682">
      <c r="A1682" t="inlineStr">
        <is>
          <t>retrofit</t>
        </is>
      </c>
      <c r="B1682" t="inlineStr">
        <is>
          <t>website/public/2.x/converter-protobuf/script.js</t>
        </is>
      </c>
      <c r="C1682">
        <f>HYPERLINK("https://github.com/square/retrofit/blob/master/website/public/2.x/converter-protobuf/script.js")</f>
        <v/>
      </c>
      <c r="D1682" t="inlineStr">
        <is>
          <t>The provided code consists of two functions: `show` and `updateTabs`. The `show` function filters rows based on a given type and updates their display style and class name accordingly. It also calls the `updateTabs` function to adjust tab styles based on the current selection. The `updateTabs` function changes the appearance of tabs to indicate which one is currently selected. Both functions have a</t>
        </is>
      </c>
      <c r="E1682" t="n">
        <v>0.0029</v>
      </c>
      <c r="F1682" t="n">
        <v>0.0563</v>
      </c>
      <c r="G1682" t="n">
        <v>0.0741</v>
      </c>
      <c r="H1682" t="inlineStr">
        <is>
          <t>The code provides functions to display or hide rows based on their method types and update tab styles accordingly. It uses loops to iterate over objects (`methods` and `tabs`) and modifies DOM elements' properties such as style and class names. The complexity is O(N), where N is the number of keys in the `methods` object.</t>
        </is>
      </c>
      <c r="I1682" t="n">
        <v>0.0033</v>
      </c>
      <c r="J1682" t="n">
        <v>0.0625</v>
      </c>
      <c r="K1682" t="n">
        <v>0.07870000000000001</v>
      </c>
      <c r="L1682" t="inlineStr">
        <is>
          <t>The code provides two functions: `show` and `updateTabs`. The `show` function iterates over a set of methods, displaying rows based on their visibility flags (`type`). It alternates between two colors for each visible row and updates tab styles accordingly. The `updateTabs` function manages the display of different tabs by changing their class names and inner HTML content based on the current selection.</t>
        </is>
      </c>
      <c r="M1682" t="n">
        <v>0.0029</v>
      </c>
      <c r="N1682" t="n">
        <v>0.0571</v>
      </c>
      <c r="O1682" t="n">
        <v>0.0746</v>
      </c>
    </row>
    <row r="1683">
      <c r="A1683" t="inlineStr">
        <is>
          <t>retrofit</t>
        </is>
      </c>
      <c r="B1683" t="inlineStr">
        <is>
          <t>website/public/2.x/adapter-java8/script.js</t>
        </is>
      </c>
      <c r="C1683">
        <f>HYPERLINK("https://github.com/square/retrofit/blob/master/website/public/2.x/adapter-java8/script.js")</f>
        <v/>
      </c>
      <c r="D1683" t="inlineStr">
        <is>
          <t>The provided code consists of two functions:
1. `show(type)`: This function iterates over an object called `methods`, which likely maps keys to bitwise flags representing different types or states. It updates the display style and class name of HTML elements with IDs corresponding to these keys based on whether their associated flag matches the input `type`. The elements that match the condition are displayed, while others are</t>
        </is>
      </c>
      <c r="E1683" t="n">
        <v>0.0032</v>
      </c>
      <c r="F1683" t="n">
        <v>0.0789</v>
      </c>
      <c r="G1683" t="n">
        <v>0.1079</v>
      </c>
      <c r="H1683" t="inlineStr">
        <is>
          <t>Manages display of rows based on method types and updates tab navigation accordingly. Complexity is O(N), where N is the number of methods or tabs.</t>
        </is>
      </c>
      <c r="I1683" t="n">
        <v>0.0076</v>
      </c>
      <c r="J1683" t="n">
        <v>0.0588</v>
      </c>
      <c r="K1683" t="n">
        <v>0.0515</v>
      </c>
      <c r="L1683" t="inlineStr">
        <is>
          <t>The provided code consists of two functions: `show` and `updateTabs`. The `show` function iterates over an object called `methods`, which likely maps keys to bit flags representing different types. It updates the display style and class name of HTML elements based on whether their corresponding method flag matches the input `type`. Additionally, it calls `updateTabs` to adjust tab styling based on the</t>
        </is>
      </c>
      <c r="M1683" t="n">
        <v>0.0029</v>
      </c>
      <c r="N1683" t="n">
        <v>0.0571</v>
      </c>
      <c r="O1683" t="n">
        <v>0.0746</v>
      </c>
    </row>
    <row r="1684">
      <c r="A1684" t="inlineStr">
        <is>
          <t>retrofit</t>
        </is>
      </c>
      <c r="B1684" t="inlineStr">
        <is>
          <t>website/public/2.x/converter-java8/script.js</t>
        </is>
      </c>
      <c r="C1684">
        <f>HYPERLINK("https://github.com/square/retrofit/blob/master/website/public/2.x/converter-java8/script.js")</f>
        <v/>
      </c>
      <c r="D1684" t="inlineStr">
        <is>
          <t>The provided code consists of two functions: `show` and `updateTabs`. The `show` function iterates over an object called `methods`, which likely maps method names to bit flags. It updates the display style and class name of rows with IDs corresponding to these keys based on whether they match the given `type` flag. If a match is found, it shows the row and alternates</t>
        </is>
      </c>
      <c r="E1684" t="n">
        <v>0.0029</v>
      </c>
      <c r="F1684" t="n">
        <v>0.0563</v>
      </c>
      <c r="G1684" t="n">
        <v>0.0741</v>
      </c>
      <c r="H1684" t="inlineStr">
        <is>
          <t>The code provides functions to display or hide rows based on their method types and updates tab navigation accordingly. It uses loops to iterate over objects (`methods` and `tabs`) and modifies CSS properties and HTML content dynamically. The complexity is O(N), where N is the number of elements in either object.</t>
        </is>
      </c>
      <c r="I1684" t="n">
        <v>0.0036</v>
      </c>
      <c r="J1684" t="n">
        <v>0.0667</v>
      </c>
      <c r="K1684" t="n">
        <v>0.0813</v>
      </c>
      <c r="L1684" t="inlineStr">
        <is>
          <t>The provided code consists of two functions: `show` and `updateTabs`. The `show` function filters rows based on a given type and updates their display style and class name. It iterates over an object called `methods`, checking each method's bitmask against the input type. If they match, the corresponding row is displayed and styled alternately between `rowColor` and `altColor`.</t>
        </is>
      </c>
      <c r="M1684" t="n">
        <v>0.0031</v>
      </c>
      <c r="N1684" t="n">
        <v>0.0597</v>
      </c>
      <c r="O1684" t="n">
        <v>0.0769</v>
      </c>
    </row>
    <row r="1685">
      <c r="A1685" t="inlineStr">
        <is>
          <t>retrofit</t>
        </is>
      </c>
      <c r="B1685" t="inlineStr">
        <is>
          <t>website/public/2.x/converter-jaxb3/script.js</t>
        </is>
      </c>
      <c r="C1685">
        <f>HYPERLINK("https://github.com/square/retrofit/blob/master/website/public/2.x/converter-jaxb3/script.js")</f>
        <v/>
      </c>
      <c r="D1685" t="inlineStr">
        <is>
          <t>The provided code consists of two functions:
1. **`show(type)`**:
   - This function takes a `type` parameter.
   - It iterates over all keys in the `methods` object.
   - For each method, it checks if the method's bitmask (`methods[key]`) includes the given `type`.
   - If the condition is met, it displays the corresponding HTML</t>
        </is>
      </c>
      <c r="E1685" t="n">
        <v>0.0035</v>
      </c>
      <c r="F1685" t="n">
        <v>0.0678</v>
      </c>
      <c r="G1685" t="n">
        <v>0.0806</v>
      </c>
      <c r="H1685" t="inlineStr">
        <is>
          <t>The code provides functions to display or hide rows based on their method types and updates tab styles accordingly. It uses loops to iterate over objects (`methods` and `tabs`) and modifies DOM elements' properties such as style and class names. The complexity is O(N), where N represents the number of keys in the `methods` object.</t>
        </is>
      </c>
      <c r="I1685" t="n">
        <v>0.0033</v>
      </c>
      <c r="J1685" t="n">
        <v>0.0625</v>
      </c>
      <c r="K1685" t="n">
        <v>0.07870000000000001</v>
      </c>
      <c r="L1685" t="inlineStr">
        <is>
          <t>The provided code consists of two functions: `show` and `updateTabs`. The `show` function toggles the visibility and styling of rows based on their method types and the current display type. It updates tab styles accordingly when a new display type is selected. The `updateTabs` function changes the appearance of tabs based on whether they match the current display type, providing links to switch between them</t>
        </is>
      </c>
      <c r="M1685" t="n">
        <v>0.0028</v>
      </c>
      <c r="N1685" t="n">
        <v>0.0548</v>
      </c>
      <c r="O1685" t="n">
        <v>0.073</v>
      </c>
    </row>
    <row r="1686">
      <c r="A1686" t="inlineStr">
        <is>
          <t>retrofit</t>
        </is>
      </c>
      <c r="B1686" t="inlineStr">
        <is>
          <t>website/public/2.x/converter-moshi/script.js</t>
        </is>
      </c>
      <c r="C1686">
        <f>HYPERLINK("https://github.com/square/retrofit/blob/master/website/public/2.x/converter-moshi/script.js")</f>
        <v/>
      </c>
      <c r="D1686" t="inlineStr">
        <is>
          <t>The provided code consists of two functions:
1. `show(type)`: This function iterates over an object called `methods`, which likely maps keys to bit flags representing different types or states. It updates the display style and class name of HTML elements with IDs corresponding to these keys based on whether their associated method flag matches the input `type`. The rows are alternately colored using `rowColor`</t>
        </is>
      </c>
      <c r="E1686" t="n">
        <v>0.0034</v>
      </c>
      <c r="F1686" t="n">
        <v>0.0822</v>
      </c>
      <c r="G1686" t="n">
        <v>0.1103</v>
      </c>
      <c r="H1686" t="inlineStr">
        <is>
          <t>The code provides functions to display or hide rows based on their method types and update tab states accordingly. It uses loops to iterate over objects (`methods` and `tabs`) and applies CSS styles to elements dynamically. The complexity is O(N), where N is the number of keys in the `methods` object.</t>
        </is>
      </c>
      <c r="I1686" t="n">
        <v>0.0036</v>
      </c>
      <c r="J1686" t="n">
        <v>0.0667</v>
      </c>
      <c r="K1686" t="n">
        <v>0.0813</v>
      </c>
      <c r="L1686" t="inlineStr">
        <is>
          <t>The code provides functions `show` and `updateTabs`. The `show` function iterates over an object called `methods`, toggling the visibility and styling of rows based on their corresponding method types and a given input type. It also updates tab styles based on the current selected tab. The `updateTabs` function changes the appearance of tabs when clicked, highlighting the currently selected one and updating the</t>
        </is>
      </c>
      <c r="M1686" t="n">
        <v>0.0029</v>
      </c>
      <c r="N1686" t="n">
        <v>0.0563</v>
      </c>
      <c r="O1686" t="n">
        <v>0.0741</v>
      </c>
    </row>
    <row r="1687">
      <c r="A1687" t="inlineStr">
        <is>
          <t>retrofit</t>
        </is>
      </c>
      <c r="B1687" t="inlineStr">
        <is>
          <t>website/public/2.x/adapter-scala/script.js</t>
        </is>
      </c>
      <c r="C1687">
        <f>HYPERLINK("https://github.com/square/retrofit/blob/master/website/public/2.x/adapter-scala/script.js")</f>
        <v/>
      </c>
      <c r="D1687" t="inlineStr">
        <is>
          <t>The provided code consists of two functions:
1. **`show(type)`**: This function iterates over an object `methods`, which likely maps keys to bit flags representing different types or states. It updates the display style and class name of HTML elements with IDs corresponding to these keys based on whether their associated flag matches the input `type`. If the flag is set, it shows the element and altern</t>
        </is>
      </c>
      <c r="E1687" t="n">
        <v>0.0033</v>
      </c>
      <c r="F1687" t="n">
        <v>0.08</v>
      </c>
      <c r="G1687" t="n">
        <v>0.1087</v>
      </c>
      <c r="H1687" t="inlineStr">
        <is>
          <t>The code provides functions to display or hide rows based on their method types and updates tab styles accordingly. It uses loops to iterate over objects (`methods` and `tabs`) and modifies DOM elements' properties such as style and class names. The complexity is O(N), where N is the number of keys in the `methods` object.</t>
        </is>
      </c>
      <c r="I1687" t="n">
        <v>0.0033</v>
      </c>
      <c r="J1687" t="n">
        <v>0.0625</v>
      </c>
      <c r="K1687" t="n">
        <v>0.07870000000000001</v>
      </c>
      <c r="L1687" t="inlineStr">
        <is>
          <t>The provided code consists of two functions: `show` and `updateTabs`. The `show` function filters rows based on a given type and updates their display style and class name. It iterates over each method in the `methods` object, checks if the current method matches the specified type using bitwise AND operation, and then displays or hides the corresponding row accordingly. The `updateTabs` function</t>
        </is>
      </c>
      <c r="M1687" t="n">
        <v>0.0029</v>
      </c>
      <c r="N1687" t="n">
        <v>0.0571</v>
      </c>
      <c r="O1687" t="n">
        <v>0.0746</v>
      </c>
    </row>
    <row r="1688">
      <c r="A1688" t="inlineStr">
        <is>
          <t>retrofit</t>
        </is>
      </c>
      <c r="B1688" t="inlineStr">
        <is>
          <t>website/public/1.x/retrofit/script.js</t>
        </is>
      </c>
      <c r="C1688">
        <f>HYPERLINK("https://github.com/square/retrofit/blob/master/website/public/1.x/retrofit/script.js")</f>
        <v/>
      </c>
      <c r="D1688" t="inlineStr">
        <is>
          <t>The provided code consists of two functions:
1. `show(type)`:
   - Iterates over keys in the `methods` object.
   - For each method, it checks if the specified `type` is present using bitwise AND (`&amp;`).
   - If the condition is met, it displays the corresponding HTML element with the ID matching the key and alternates its class between `rowColor</t>
        </is>
      </c>
      <c r="E1688" t="n">
        <v>0.0032</v>
      </c>
      <c r="F1688" t="n">
        <v>0.0645</v>
      </c>
      <c r="G1688" t="n">
        <v>0.0775</v>
      </c>
      <c r="H1688" t="inlineStr">
        <is>
          <t>The code provides functions to display or hide rows based on their method types and updates tab navigation accordingly. It uses loops to iterate over objects (`methods` and `tabs`) and modifies CSS properties and HTML content dynamically. The complexity is O(N), where N is the number of elements in these objects.</t>
        </is>
      </c>
      <c r="I1688" t="n">
        <v>0.0036</v>
      </c>
      <c r="J1688" t="n">
        <v>0.0667</v>
      </c>
      <c r="K1688" t="n">
        <v>0.0813</v>
      </c>
      <c r="L1688" t="inlineStr">
        <is>
          <t>This JavaScript function `show` toggles visibility and styling of rows based on their method types against a given input type. It updates tab navigation accordingly by changing class names and displaying/hiding links. The `updateTabs` function manages tab states based on the current view type.</t>
        </is>
      </c>
      <c r="M1688" t="n">
        <v>0.005</v>
      </c>
      <c r="N1688" t="n">
        <v>0.1132</v>
      </c>
      <c r="O1688" t="n">
        <v>0.1293</v>
      </c>
    </row>
    <row r="1689">
      <c r="A1689" t="inlineStr">
        <is>
          <t>retrofit</t>
        </is>
      </c>
      <c r="B1689" t="inlineStr">
        <is>
          <t>website/public/1.x/converter-wire/script.js</t>
        </is>
      </c>
      <c r="C1689">
        <f>HYPERLINK("https://github.com/square/retrofit/blob/master/website/public/1.x/converter-wire/script.js")</f>
        <v/>
      </c>
      <c r="D1689" t="inlineStr">
        <is>
          <t>The provided code consists of two functions:
1. `show(type)`:
   - Iterates over an object named `methods` using its keys.
   - For each method, it checks if the current `type` is present in the method's bitmask.
   - If the condition is met, it displays the corresponding HTML element with the ID equal to the method's key and alternates between two</t>
        </is>
      </c>
      <c r="E1689" t="n">
        <v>0.0031</v>
      </c>
      <c r="F1689" t="n">
        <v>0.0597</v>
      </c>
      <c r="G1689" t="n">
        <v>0.07630000000000001</v>
      </c>
      <c r="H1689" t="inlineStr">
        <is>
          <t>Manages display of rows based on method types and updates tab states accordingly. Complexity is O(N), where N is the number of keys in `tabs`.</t>
        </is>
      </c>
      <c r="I1689" t="n">
        <v>0.0076</v>
      </c>
      <c r="J1689" t="n">
        <v>0.0588</v>
      </c>
      <c r="K1689" t="n">
        <v>0.0515</v>
      </c>
      <c r="L1689" t="inlineStr">
        <is>
          <t>The code provides two functions: `show` and `updateTabs`. The `show` function toggles visibility and applies alternating styles to rows based on their method types against a given input type. It also updates tab navigation buttons accordingly. The `updateTabs` function changes the appearance of tab buttons based on whether they match the current view type.</t>
        </is>
      </c>
      <c r="M1689" t="n">
        <v>0.0034</v>
      </c>
      <c r="N1689" t="n">
        <v>0.0645</v>
      </c>
      <c r="O1689" t="n">
        <v>0.0794</v>
      </c>
    </row>
    <row r="1690">
      <c r="A1690" t="inlineStr">
        <is>
          <t>retrofit</t>
        </is>
      </c>
      <c r="B1690" t="inlineStr">
        <is>
          <t>website/public/1.x/converter-simplexml/script.js</t>
        </is>
      </c>
      <c r="C1690">
        <f>HYPERLINK("https://github.com/square/retrofit/blob/master/website/public/1.x/converter-simplexml/script.js")</f>
        <v/>
      </c>
      <c r="D1690" t="inlineStr">
        <is>
          <t>The provided code consists of two functions: `show` and `updateTabs`. The `show` function filters rows based on a given type and updates their display status and class names accordingly. It also calls the `updateTabs` function to adjust tab styles based on the current selection. The `updateTabs` function changes the appearance of tabs to indicate which one is currently selected by changing its class name</t>
        </is>
      </c>
      <c r="E1690" t="n">
        <v>0.0028</v>
      </c>
      <c r="F1690" t="n">
        <v>0.0556</v>
      </c>
      <c r="G1690" t="n">
        <v>0.0735</v>
      </c>
      <c r="H1690" t="inlineStr">
        <is>
          <t>Manages tabbed content display based on method types and updates tab labels accordingly. Complexity is O(N), where N is the number of methods or tabs.</t>
        </is>
      </c>
      <c r="I1690" t="n">
        <v>0.0076</v>
      </c>
      <c r="J1690" t="n">
        <v>0.0588</v>
      </c>
      <c r="K1690" t="n">
        <v>0.0515</v>
      </c>
      <c r="L1690" t="inlineStr">
        <is>
          <t>The provided code consists of two functions: `show` and `updateTabs`. The `show` function filters rows based on a given type and updates their display style and class name. It iterates over an object called `methods`, checking each method's bitmask against the input type. If there is a match, the corresponding row is displayed and styled alternately between `rowColor` and `alt</t>
        </is>
      </c>
      <c r="M1690" t="n">
        <v>0.003</v>
      </c>
      <c r="N1690" t="n">
        <v>0.058</v>
      </c>
      <c r="O1690" t="n">
        <v>0.07580000000000001</v>
      </c>
    </row>
    <row r="1691">
      <c r="A1691" t="inlineStr">
        <is>
          <t>retrofit</t>
        </is>
      </c>
      <c r="B1691" t="inlineStr">
        <is>
          <t>website/public/1.x/retrofit-mock/script.js</t>
        </is>
      </c>
      <c r="C1691">
        <f>HYPERLINK("https://github.com/square/retrofit/blob/master/website/public/1.x/retrofit-mock/script.js")</f>
        <v/>
      </c>
      <c r="D1691" t="inlineStr">
        <is>
          <t>The provided code consists of two functions:
1. `show(type)`: This function iterates over an object called `methods` to display or hide rows based on their corresponding bit values compared with the input `type`. It also updates tab styles based on the current `type`.
2. `updateTabs(type)`: This function updates the appearance of navigation tabs by changing their class names and inner HTML</t>
        </is>
      </c>
      <c r="E1691" t="n">
        <v>0.0036</v>
      </c>
      <c r="F1691" t="n">
        <v>0.08450000000000001</v>
      </c>
      <c r="G1691" t="n">
        <v>0.1128</v>
      </c>
      <c r="H1691" t="inlineStr">
        <is>
          <t>The code provides functions to display or hide rows based on their method types and updates tab styles accordingly. It uses loops to iterate over objects (`methods` and `tabs`) and modifies CSS properties and inner HTML elements dynamically. The complexity is O(N), where N is the number of keys in either object.</t>
        </is>
      </c>
      <c r="I1691" t="n">
        <v>0.0035</v>
      </c>
      <c r="J1691" t="n">
        <v>0.06560000000000001</v>
      </c>
      <c r="K1691" t="n">
        <v>0.0806</v>
      </c>
      <c r="L1691" t="inlineStr">
        <is>
          <t>This JavaScript function `show` toggles visibility and styling of rows based on input types and updates tab states accordingly. It iterates over method objects, applying display styles and class names to matching rows, then calls `updateTabs` to adjust tab appearance based on current selection.</t>
        </is>
      </c>
      <c r="M1691" t="n">
        <v>0.005</v>
      </c>
      <c r="N1691" t="n">
        <v>0.1154</v>
      </c>
      <c r="O1691" t="n">
        <v>0.1293</v>
      </c>
    </row>
    <row r="1692">
      <c r="A1692" t="inlineStr">
        <is>
          <t>retrofit</t>
        </is>
      </c>
      <c r="B1692" t="inlineStr">
        <is>
          <t>website/public/1.x/converter-jackson/script.js</t>
        </is>
      </c>
      <c r="C1692">
        <f>HYPERLINK("https://github.com/square/retrofit/blob/master/website/public/1.x/converter-jackson/script.js")</f>
        <v/>
      </c>
      <c r="D1692" t="inlineStr">
        <is>
          <t>The provided code consists of two functions: `show` and `updateTabs`. The `show` function takes a `type` parameter and iterates over an object called `methods`, displaying or hiding rows based on whether their corresponding method has the specified `type` set. It also updates the appearance of tab buttons to reflect which tab is currently selected. The `updateTabs` function manages the display</t>
        </is>
      </c>
      <c r="E1692" t="n">
        <v>0.003</v>
      </c>
      <c r="F1692" t="n">
        <v>0.0588</v>
      </c>
      <c r="G1692" t="n">
        <v>0.07580000000000001</v>
      </c>
      <c r="H1692" t="inlineStr">
        <is>
          <t>Manages display of rows based on method types and updates tab states accordingly. Complexity is O(N), where N is the number of keys in the `methods` object.</t>
        </is>
      </c>
      <c r="I1692" t="n">
        <v>0.007</v>
      </c>
      <c r="J1692" t="n">
        <v>0.0556</v>
      </c>
      <c r="K1692" t="n">
        <v>0.0505</v>
      </c>
      <c r="L1692" t="inlineStr">
        <is>
          <t>The provided code consists of two functions: `show` and `updateTabs`. The `show` function filters rows based on a given type and updates their display status and class names accordingly. It also calls the `updateTabs` function to adjust tab states. The `updateTabs` function changes the appearance of tabs based on whether they match the current filter type. Both functions interact with HTML elements by</t>
        </is>
      </c>
      <c r="M1692" t="n">
        <v>0.0029</v>
      </c>
      <c r="N1692" t="n">
        <v>0.0563</v>
      </c>
      <c r="O1692" t="n">
        <v>0.0741</v>
      </c>
    </row>
    <row r="1693">
      <c r="A1693" t="inlineStr">
        <is>
          <t>retrofit</t>
        </is>
      </c>
      <c r="B1693" t="inlineStr">
        <is>
          <t>website/public/1.x/converter-protobuf/script.js</t>
        </is>
      </c>
      <c r="C1693">
        <f>HYPERLINK("https://github.com/square/retrofit/blob/master/website/public/1.x/converter-protobuf/script.js")</f>
        <v/>
      </c>
      <c r="D1693" t="inlineStr">
        <is>
          <t>The provided code consists of two functions:
1. **`show(type)`**: This function iterates over a collection of methods, each associated with a unique identifier (`key`). It checks if the current method's capabilities match the specified `type`. If they do, it displays the corresponding HTML element by setting its `style.display` to `' '` (an empty string), changes its class based on whether</t>
        </is>
      </c>
      <c r="E1693" t="n">
        <v>0.003</v>
      </c>
      <c r="F1693" t="n">
        <v>0.058</v>
      </c>
      <c r="G1693" t="n">
        <v>0.07580000000000001</v>
      </c>
      <c r="H1693" t="inlineStr">
        <is>
          <t>The code defines functions `show` and `updateTabs`. The `show` function iterates over an object called `methods`, displaying or hiding rows based on their properties and a given type. It also updates tab styles accordingly. The `updateTabs` function manages the display of different tabs based on the current selected type. This code is part of a larger backend system that implements core algorithms.</t>
        </is>
      </c>
      <c r="I1693" t="n">
        <v>0.0074</v>
      </c>
      <c r="J1693" t="n">
        <v>0.0857</v>
      </c>
      <c r="K1693" t="n">
        <v>0.2776</v>
      </c>
      <c r="L1693" t="inlineStr">
        <is>
          <t>The provided code consists of two functions: `show` and `updateTabs`. The `show` function iterates over a set of method keys, updating their display based on whether they match a specified type. It alternates between two colors for each visible row and updates tab labels accordingly. The `updateTabs` function manages the visibility and appearance of different tab sections based on the current selected type.</t>
        </is>
      </c>
      <c r="M1693" t="n">
        <v>0.0029</v>
      </c>
      <c r="N1693" t="n">
        <v>0.0563</v>
      </c>
      <c r="O1693" t="n">
        <v>0.0741</v>
      </c>
    </row>
    <row r="1694">
      <c r="A1694" t="inlineStr">
        <is>
          <t>retrofit</t>
        </is>
      </c>
      <c r="B1694" t="inlineStr">
        <is>
          <t>samples/src/main/java/com/example/retrofit/SimpleService.java</t>
        </is>
      </c>
      <c r="C1694">
        <f>HYPERLINK("https://github.com/square/retrofit/blob/master/samples/src/main/java/com/example/retrofit/SimpleService.java")</f>
        <v/>
      </c>
      <c r="D1694" t="inlineStr">
        <is>
          <t>The provided code defines a simple REST client using Retrofit to interact with GitHub's API. It includes a `Contributor` class to represent contributors to repositories and a `SimpleService` class that provides methods to fetch contributor data from the GitHub API. The service uses Gson as a converter factory to parse JSON responses into Java objects. The `API_URL` constant specifies the base URL for the GitHub API.</t>
        </is>
      </c>
      <c r="E1694" t="n">
        <v>0.0028</v>
      </c>
      <c r="F1694" t="n">
        <v>0.0263</v>
      </c>
      <c r="G1694" t="n">
        <v>0.0725</v>
      </c>
      <c r="H1694" t="inlineStr">
        <is>
          <t>This repository contains backend software components implementing core algorithms. The complexity is O(N), indicating linear time operations. Comments describe the implementation of these algorithms. The commits include an initial codebase commit. The total size of the codebase is 1000 lines.</t>
        </is>
      </c>
      <c r="I1694" t="n">
        <v>0.0061</v>
      </c>
      <c r="J1694" t="n">
        <v>0.1633</v>
      </c>
      <c r="K1694" t="n">
        <v>0.1786</v>
      </c>
      <c r="L1694" t="inlineStr">
        <is>
          <t>The `SimpleService` class provides a simple REST client using Retrofit to interact with GitHub's API. It defines a method `getContributorsForRepo` that takes a repository name as input and returns a list of contributors. The service uses Gson for JSON conversion and makes HTTP GET requests to retrieve contributor data from the specified URL.</t>
        </is>
      </c>
      <c r="M1694" t="n">
        <v>0.0035</v>
      </c>
      <c r="N1694" t="n">
        <v>0.0323</v>
      </c>
      <c r="O1694" t="n">
        <v>0.08</v>
      </c>
    </row>
    <row r="1695">
      <c r="A1695" t="inlineStr">
        <is>
          <t>retrofit</t>
        </is>
      </c>
      <c r="B1695" t="inlineStr">
        <is>
          <t>samples/src/main/java/com/example/retrofit/AnnotatedConverters.java</t>
        </is>
      </c>
      <c r="C1695">
        <f>HYPERLINK("https://github.com/square/retrofit/blob/master/samples/src/main/java/com/example/retrofit/AnnotatedConverters.java")</f>
        <v/>
      </c>
      <c r="D1695" t="inlineStr">
        <is>
          <t>The provided code defines a custom annotation `@JsonMap` that can be used to serialize Java objects into JSON format using Gson. The annotation specifies how fields should be mapped to JSON keys. It uses reflection to inspect the annotated class and its fields, creating a map of field names to their corresponding values. This map is then serialized into a JSON string using Gson's `GsonBuilder`. The implementation</t>
        </is>
      </c>
      <c r="E1695" t="n">
        <v>0.0032</v>
      </c>
      <c r="F1695" t="n">
        <v>0.0526</v>
      </c>
      <c r="G1695" t="n">
        <v>0.1439</v>
      </c>
      <c r="H1695" t="inlineStr">
        <is>
          <t>The repository contains backend software components that implement core algorithms using Java and OkHttp. The complexity of these implementations is O(N), indicating linear time complexity. The code size is 1000 lines, making it relatively large but focused on providing essential functionalities.</t>
        </is>
      </c>
      <c r="I1695" t="n">
        <v>0.0059</v>
      </c>
      <c r="J1695" t="n">
        <v>0.16</v>
      </c>
      <c r="K1695" t="n">
        <v>0.2212</v>
      </c>
      <c r="L1695" t="inlineStr">
        <is>
          <t>This Java code defines a Retrofit client that uses Gson for JSON serialization/deserialization. It includes annotations for handling HTTP requests and responses, such as `@GET`, `@POST`, etc., and provides methods for making network calls using these annotations. The implementation complexity is O(N), where N represents the number of API endpoints defined. The code size is approximately 1000 lines, focusing</t>
        </is>
      </c>
      <c r="M1695" t="n">
        <v>0.0037</v>
      </c>
      <c r="N1695" t="n">
        <v>0.058</v>
      </c>
      <c r="O1695" t="n">
        <v>0.1527</v>
      </c>
    </row>
    <row r="1696">
      <c r="A1696" t="inlineStr">
        <is>
          <t>retrofit</t>
        </is>
      </c>
      <c r="B1696" t="inlineStr">
        <is>
          <t>samples/src/main/java/com/example/retrofit/package-info.java</t>
        </is>
      </c>
      <c r="C1696">
        <f>HYPERLINK("https://github.com/square/retrofit/blob/master/samples/src/main/java/com/example/retrofit/package-info.java")</f>
        <v/>
      </c>
      <c r="D1696" t="inlineStr">
        <is>
          <t>The code is part of a Java package named `com.example.retrofit`. It includes annotations to ensure that parameters in methods are non-null by default. The complexity of the implementation is O(N), indicating linear time complexity with respect to input size N. The comments describe it as implementing core algorithms, while the README file mentions this repository contains backend software components. The total size of the code is</t>
        </is>
      </c>
      <c r="E1696" t="n">
        <v>0.0033</v>
      </c>
      <c r="F1696" t="n">
        <v>0.0513</v>
      </c>
      <c r="G1696" t="n">
        <v>0.2696</v>
      </c>
      <c r="H1696" t="inlineStr">
        <is>
          <t>The code is part of a Java package named `com.example.retrofit` that contains backend software components. It includes implementations of core algorithms with a time complexity of O(N). The comments indicate that this is the initial codebase commit. The total size of the code is 78 lines.</t>
        </is>
      </c>
      <c r="I1696" t="n">
        <v>0.0048</v>
      </c>
      <c r="J1696" t="n">
        <v>0.1053</v>
      </c>
      <c r="K1696" t="n">
        <v>0.2119</v>
      </c>
      <c r="L1696" t="inlineStr">
        <is>
          <t>The provided Java code defines a package `com.example.retrofit` that includes classes for handling Retrofit-based network requests. The code is annotated with `@ParametersAreNonnullByDefault`, indicating that all parameters should be non-null by default unless explicitly marked otherwise. The primary function appears to be implementing core algorithms related to network communication using Retrofit, which is commonly used for making HTTP requests from Android applications.</t>
        </is>
      </c>
      <c r="M1696" t="n">
        <v>0.003</v>
      </c>
      <c r="N1696" t="n">
        <v>0.0548</v>
      </c>
      <c r="O1696" t="n">
        <v>0.1921</v>
      </c>
    </row>
    <row r="1697">
      <c r="A1697" t="inlineStr">
        <is>
          <t>retrofit</t>
        </is>
      </c>
      <c r="B1697" t="inlineStr">
        <is>
          <t>samples/src/main/java/com/example/retrofit/Crawler.java</t>
        </is>
      </c>
      <c r="C1697">
        <f>HYPERLINK("https://github.com/square/retrofit/blob/master/samples/src/main/java/com/example/retrofit/Crawler.java")</f>
        <v/>
      </c>
      <c r="D1697" t="inlineStr">
        <is>
          <t>The provided Java code defines a class `ExampleClass` within the package `com.example.retrofit`. It includes methods that handle various operations such as processing data, managing concurrent execution, and handling exceptions related to I/O operations. The code uses annotations, reflection, and concurrency utilities like `ConcurrentHashMap`, `Executors`, and `TimeUnit`. The complexity of the implementation is O(N),</t>
        </is>
      </c>
      <c r="E1697" t="n">
        <v>0.0035</v>
      </c>
      <c r="F1697" t="n">
        <v>0.0308</v>
      </c>
      <c r="G1697" t="n">
        <v>0.12</v>
      </c>
      <c r="H1697" t="inlineStr">
        <is>
          <t>This repository contains backend software components that implement core algorithms. The complexity of the implementation is O(N), indicating linear time complexity. The code size is 1000 lines, making it relatively large but focused on algorithmic implementations.</t>
        </is>
      </c>
      <c r="I1697" t="n">
        <v>0.0068</v>
      </c>
      <c r="J1697" t="n">
        <v>0.1778</v>
      </c>
      <c r="K1697" t="n">
        <v>0.1852</v>
      </c>
      <c r="L1697" t="inlineStr">
        <is>
          <t>This Java code defines a class `Retrofit` that provides a framework for making HTTP requests using Retrofit, a popular library for Android development. It includes methods for creating instances of Retrofit clients, defining API endpoints, and handling responses from those endpoints. The class uses annotations to map method parameters to request URLs and handles asynchronous network calls efficiently.</t>
        </is>
      </c>
      <c r="M1697" t="n">
        <v>0.0037</v>
      </c>
      <c r="N1697" t="n">
        <v>0.0606</v>
      </c>
      <c r="O1697" t="n">
        <v>0.1154</v>
      </c>
    </row>
    <row r="1698">
      <c r="A1698" t="inlineStr">
        <is>
          <t>retrofit</t>
        </is>
      </c>
      <c r="B1698" t="inlineStr">
        <is>
          <t>samples/src/main/java/com/example/retrofit/SimpleMockService.java</t>
        </is>
      </c>
      <c r="C1698">
        <f>HYPERLINK("https://github.com/square/retrofit/blob/master/samples/src/main/java/com/example/retrofit/SimpleMockService.java")</f>
        <v/>
      </c>
      <c r="D1698" t="inlineStr">
        <is>
          <t>The provided code is a Java implementation that demonstrates how to use Retrofit's `MockRetrofit` library to create a mock service implementation for the `SimpleService` interface. The mock implementation simulates responses to network requests by returning predefined data instead of making actual HTTP calls. Specifically:
- It defines a `MockGitHub` class that extends the `GitHub` interface.
- Uses `MockRetrofit`</t>
        </is>
      </c>
      <c r="E1698" t="n">
        <v>0</v>
      </c>
      <c r="F1698" t="n">
        <v>0.0308</v>
      </c>
      <c r="G1698" t="n">
        <v>0.0769</v>
      </c>
      <c r="H1698" t="inlineStr">
        <is>
          <t>This repository contains backend software components that implement core algorithms. The complexity is O(N), indicating linear time complexity in relation to input size. The comments describe the implementation as "core algorithms." The commits indicate this is the initial codebase commit. The total code size is 1000 lines.</t>
        </is>
      </c>
      <c r="I1698" t="n">
        <v>0.0051</v>
      </c>
      <c r="J1698" t="n">
        <v>0.1429</v>
      </c>
      <c r="K1698" t="n">
        <v>0.1681</v>
      </c>
      <c r="L1698" t="inlineStr">
        <is>
          <t>The `SimpleMockService` class provides a mock implementation of the `GitHub` API interface using Retrofit's `MockRetrofit`. It uses a `LinkedHashMap` to store fake data about contributors grouped by repositories owned by specific users. The class includes methods to fetch contributor lists for different repositories, allowing developers to test their applications without relying on actual network requests.</t>
        </is>
      </c>
      <c r="M1698" t="n">
        <v>0</v>
      </c>
      <c r="N1698" t="n">
        <v>0.0312</v>
      </c>
      <c r="O1698" t="n">
        <v>0.07870000000000001</v>
      </c>
    </row>
    <row r="1699">
      <c r="A1699" t="inlineStr">
        <is>
          <t>retrofit</t>
        </is>
      </c>
      <c r="B1699" t="inlineStr">
        <is>
          <t>samples/src/main/java/com/example/retrofit/RxJavaObserveOnMainThread.java</t>
        </is>
      </c>
      <c r="C1699">
        <f>HYPERLINK("https://github.com/square/retrofit/blob/master/samples/src/main/java/com/example/retrofit/RxJavaObserveOnMainThread.java")</f>
        <v/>
      </c>
      <c r="D1699" t="inlineStr">
        <is>
          <t>The provided Java code defines a Retrofit call adapter that uses RxJava to handle asynchronous HTTP requests. It includes annotations and methods for configuring the scheduler used for background operations. The class extends `CallAdapter.Factory` and implements its abstract method `get()`, which returns a new instance of `RxJavaCallAdapter`. This adapter allows Retrofit clients to make network calls using RxJava Observables instead of traditional callbacks</t>
        </is>
      </c>
      <c r="E1699" t="n">
        <v>0.0038</v>
      </c>
      <c r="F1699" t="n">
        <v>0.0278</v>
      </c>
      <c r="G1699" t="n">
        <v>0.1481</v>
      </c>
      <c r="H1699" t="inlineStr">
        <is>
          <t>This repository contains backend software components that implement core algorithms. The complexity is O(N), indicating linear time complexity, which means the performance increases proportionally with the size of the input data. The comments describe the implementation of these algorithms, while the commits indicate the initial creation of the codebase. The total code size is 1000 lines.</t>
        </is>
      </c>
      <c r="I1699" t="n">
        <v>0.0043</v>
      </c>
      <c r="J1699" t="n">
        <v>0.1231</v>
      </c>
      <c r="K1699" t="n">
        <v>0.1563</v>
      </c>
      <c r="L1699" t="inlineStr">
        <is>
          <t>This Java class defines a custom `RxJavaCallAdapter` that extends Retrofit's built-in `CallAdapter.Factory`. It overrides methods to adapt HTTP responses from RxJava Observables instead of blocking calls. The adapter uses the specified Scheduler (`io()`) for background execution, making it suitable for asynchronous network requests.</t>
        </is>
      </c>
      <c r="M1699" t="n">
        <v>0.0043</v>
      </c>
      <c r="N1699" t="n">
        <v>0.037</v>
      </c>
      <c r="O1699" t="n">
        <v>0.08699999999999999</v>
      </c>
    </row>
    <row r="1700">
      <c r="A1700" t="inlineStr">
        <is>
          <t>retrofit</t>
        </is>
      </c>
      <c r="B1700" t="inlineStr">
        <is>
          <t>samples/src/main/java/com/example/retrofit/ChunkingConverter.java</t>
        </is>
      </c>
      <c r="C1700">
        <f>HYPERLINK("https://github.com/square/retrofit/blob/master/samples/src/main/java/com/example/retrofit/ChunkingConverter.java")</f>
        <v/>
      </c>
      <c r="D1700" t="inlineStr">
        <is>
          <t>The provided code defines a custom annotation `@Nullable` that can be used to indicate that a method parameter can accept null values. This annotation is part of a larger project that includes backend software components and implements core algorithms using Java annotations and reflection. The complexity of the implementation is O(1), as it involves basic operations like checking if an object is null.</t>
        </is>
      </c>
      <c r="E1700" t="n">
        <v>0.0077</v>
      </c>
      <c r="F1700" t="n">
        <v>0.1389</v>
      </c>
      <c r="G1700" t="n">
        <v>0.3158</v>
      </c>
      <c r="H1700" t="inlineStr">
        <is>
          <t>This repository contains backend software components that implement core algorithms. The complexity of these implementations is O(N), indicating linear time complexity relative to the input size. The codebase has been initialized with a single commit containing the initial implementation.</t>
        </is>
      </c>
      <c r="I1700" t="n">
        <v>0.0062</v>
      </c>
      <c r="J1700" t="n">
        <v>0.1667</v>
      </c>
      <c r="K1700" t="n">
        <v>0.1802</v>
      </c>
      <c r="L1700" t="inlineStr">
        <is>
          <t>The provided code defines a custom annotation `@Nullable` used to indicate that a parameter can be null. It also includes utility methods for handling HTTP requests using Retrofit, such as creating request bodies from objects and parsing responses into Java objects. The code is part of a larger project focused on building backend software components.</t>
        </is>
      </c>
      <c r="M1700" t="n">
        <v>0.004</v>
      </c>
      <c r="N1700" t="n">
        <v>0.0317</v>
      </c>
      <c r="O1700" t="n">
        <v>0.1181</v>
      </c>
    </row>
    <row r="1701">
      <c r="A1701" t="inlineStr">
        <is>
          <t>retrofit</t>
        </is>
      </c>
      <c r="B1701" t="inlineStr">
        <is>
          <t>samples/src/main/java/com/example/retrofit/DeserializeErrorBody.java</t>
        </is>
      </c>
      <c r="C1701">
        <f>HYPERLINK("https://github.com/square/retrofit/blob/master/samples/src/main/java/com/example/retrofit/DeserializeErrorBody.java")</f>
        <v/>
      </c>
      <c r="D1701" t="inlineStr">
        <is>
          <t>The provided code defines a simple Retrofit client that makes HTTP GET requests using OkHttp's MockWebServer for testing purposes. It includes annotations from Retrofit 2 and Gson converter factory for JSON parsing. The `@GET` annotation specifies the endpoint URL for the request. The complexity of the implementation is O(1), as it involves basic operations like making network calls and handling responses.</t>
        </is>
      </c>
      <c r="E1701" t="n">
        <v>0.003</v>
      </c>
      <c r="F1701" t="n">
        <v>0.0563</v>
      </c>
      <c r="G1701" t="n">
        <v>0.1128</v>
      </c>
      <c r="H1701" t="inlineStr">
        <is>
          <t>The provided code is a Java class that defines a Retrofit service interface for making HTTP GET requests. It uses Gson as the converter factory to parse JSON responses from the server. The README describes it as containing backend software components and mentions implementing core algorithms. The complexity is rated as O(N), indicating linear time complexity, which suggests processing each element once. The comments explain its purpose and implementation details.</t>
        </is>
      </c>
      <c r="I1701" t="n">
        <v>0.0034</v>
      </c>
      <c r="J1701" t="n">
        <v>0.1013</v>
      </c>
      <c r="K1701" t="n">
        <v>0.1761</v>
      </c>
      <c r="L1701" t="inlineStr">
        <is>
          <t>This Java code defines a Retrofit client that interacts with a mock web server using Gson as the converter factory. It includes methods annotated with `@GET` to simulate HTTP GET requests to various endpoints, returning mocked responses based on predefined configurations. The code uses MockWebServer to handle these requests without making actual network calls.</t>
        </is>
      </c>
      <c r="M1701" t="n">
        <v>0.0034</v>
      </c>
      <c r="N1701" t="n">
        <v>0.0323</v>
      </c>
      <c r="O1701" t="n">
        <v>0.0794</v>
      </c>
    </row>
    <row r="1702">
      <c r="A1702" t="inlineStr">
        <is>
          <t>retrofit</t>
        </is>
      </c>
      <c r="B1702" t="inlineStr">
        <is>
          <t>samples/src/main/java/com/example/retrofit/InvocationMetrics.java</t>
        </is>
      </c>
      <c r="C1702">
        <f>HYPERLINK("https://github.com/square/retrofit/blob/master/samples/src/main/java/com/example/retrofit/InvocationMetrics.java")</f>
        <v/>
      </c>
      <c r="D1702" t="inlineStr">
        <is>
          <t>The provided Java code defines a Retrofit client that makes HTTP GET requests using OkHttp. It includes interceptors to log request and response details before and after each call. The `@GET` annotation specifies the endpoint URL, which can be dynamically set via the `@Url` parameter. The class uses Retrofit's `Call` interface to make asynchronous network calls and logs various metrics such as request headers,</t>
        </is>
      </c>
      <c r="E1702" t="n">
        <v>0.0028</v>
      </c>
      <c r="F1702" t="n">
        <v>0.0274</v>
      </c>
      <c r="G1702" t="n">
        <v>0.0735</v>
      </c>
      <c r="H1702" t="inlineStr">
        <is>
          <t>Implements core algorithms with HTTP call metrics printing.</t>
        </is>
      </c>
      <c r="I1702" t="n">
        <v>0.0278</v>
      </c>
      <c r="J1702" t="n">
        <v>0.25</v>
      </c>
      <c r="K1702" t="n">
        <v>0.2344</v>
      </c>
      <c r="L1702" t="inlineStr">
        <is>
          <t>This Java code snippet demonstrates how to create a Retrofit client that intercepts network requests to log their URLs and durations. It uses OkHttp's `Interceptor` interface to add custom logging before each request is sent. The interceptor logs the URL and measures the time taken for the response to be received.</t>
        </is>
      </c>
      <c r="M1702" t="n">
        <v>0.0043</v>
      </c>
      <c r="N1702" t="n">
        <v>0.0667</v>
      </c>
      <c r="O1702" t="n">
        <v>0.122</v>
      </c>
    </row>
    <row r="1703">
      <c r="A1703" t="inlineStr">
        <is>
          <t>retrofit</t>
        </is>
      </c>
      <c r="B1703" t="inlineStr">
        <is>
          <t>samples/src/main/java/com/example/retrofit/JsonAndXmlConverters.java</t>
        </is>
      </c>
      <c r="C1703">
        <f>HYPERLINK("https://github.com/square/retrofit/blob/master/samples/src/main/java/com/example/retrofit/JsonAndXmlConverters.java")</f>
        <v/>
      </c>
      <c r="D1703" t="inlineStr">
        <is>
          <t>The provided Java code snippet defines a class `MockWebServer` within the package `com.example.retrofit`. This class appears to be part of a library designed for testing HTTP requests using OkHttp's MockWebServer. The code includes annotations and methods that allow developers to configure mock responses for different endpoints, making it useful for unit testing network-related functionalities without needing an actual server. The complexity of</t>
        </is>
      </c>
      <c r="E1703" t="n">
        <v>0.0035</v>
      </c>
      <c r="F1703" t="n">
        <v>0.0541</v>
      </c>
      <c r="G1703" t="n">
        <v>0.1119</v>
      </c>
      <c r="H1703" t="inlineStr">
        <is>
          <t>This repository contains backend software components implementing core algorithms. The complexity is O(N), indicating linear time complexity for certain operations. Comments describe the implementation details, while commits document the initial creation of the codebase. The total size of the codebase is 1000 lines.</t>
        </is>
      </c>
      <c r="I1703" t="n">
        <v>0.0056</v>
      </c>
      <c r="J1703" t="n">
        <v>0.1538</v>
      </c>
      <c r="K1703" t="n">
        <v>0.1739</v>
      </c>
      <c r="L1703" t="inlineStr">
        <is>
          <t>The provided code defines annotations and utilities for testing HTTP requests using OkHttp's MockWebServer. It includes methods for creating mock responses, handling request bodies and response bodies, and managing annotation retention policies. The code is part of a larger project that focuses on backend software components, utilizing Retrofit for network communication.</t>
        </is>
      </c>
      <c r="M1703" t="n">
        <v>0.0043</v>
      </c>
      <c r="N1703" t="n">
        <v>0.0333</v>
      </c>
      <c r="O1703" t="n">
        <v>0.122</v>
      </c>
    </row>
    <row r="1704">
      <c r="A1704" t="inlineStr">
        <is>
          <t>retrofit</t>
        </is>
      </c>
      <c r="B1704" t="inlineStr">
        <is>
          <t>samples/src/main/java/com/example/retrofit/DynamicBaseUrl.java</t>
        </is>
      </c>
      <c r="C1704">
        <f>HYPERLINK("https://github.com/square/retrofit/blob/master/samples/src/main/java/com/example/retrofit/DynamicBaseUrl.java")</f>
        <v/>
      </c>
      <c r="D1704" t="inlineStr">
        <is>
          <t>The provided code demonstrates how to modify the base URL of an HTTP request using an OkHttp interceptor during runtime. The `Interceptor` class is used to intercept requests before they are sent out, allowing modifications such as changing the host name. In this case, the interceptor changes the host from "example.com" to "new-example.com". The modified request is then passed to the Retrofit client to make the</t>
        </is>
      </c>
      <c r="E1704" t="n">
        <v>0</v>
      </c>
      <c r="F1704" t="n">
        <v>0.026</v>
      </c>
      <c r="G1704" t="n">
        <v>0.0725</v>
      </c>
      <c r="H1704" t="inlineStr">
        <is>
          <t>This repository contains backend software components that implement core algorithms using an OkHttp interceptor to dynamically change the target hostname at runtime. The complexity is O(N), indicating linear time complexity.</t>
        </is>
      </c>
      <c r="I1704" t="n">
        <v>0.008200000000000001</v>
      </c>
      <c r="J1704" t="n">
        <v>0.2051</v>
      </c>
      <c r="K1704" t="n">
        <v>0.3647</v>
      </c>
      <c r="L1704" t="inlineStr">
        <is>
          <t>This Java code demonstrates how to modify the base URL of an HTTP request using an OkHttp interceptor during runtime. The interceptor intercepts requests before they are sent, allowing dynamic changes to the host name based on certain conditions. This approach enhances flexibility and adaptability in network communication without modifying the server-side configuration.</t>
        </is>
      </c>
      <c r="M1704" t="n">
        <v>0.0041</v>
      </c>
      <c r="N1704" t="n">
        <v>0.0645</v>
      </c>
      <c r="O1704" t="n">
        <v>0.12</v>
      </c>
    </row>
    <row r="1705">
      <c r="A1705" t="inlineStr">
        <is>
          <t>retrofit</t>
        </is>
      </c>
      <c r="B1705" t="inlineStr">
        <is>
          <t>samples/src/main/java/com/example/retrofit/ErrorHandlingAdapter.java</t>
        </is>
      </c>
      <c r="C1705">
        <f>HYPERLINK("https://github.com/square/retrofit/blob/master/samples/src/main/java/com/example/retrofit/ErrorHandlingAdapter.java")</f>
        <v/>
      </c>
      <c r="D1705" t="inlineStr">
        <is>
          <t>The provided Java code defines a custom `CallAdapter` for Retrofit, which allows it to handle responses as instances of generic types instead of raw `Response`. This adapter is useful when working with complex data structures that need to be deserialized into specific classes rather than just JSON objects. The implementation uses reflection to determine the type parameters of the response and creates a new instance of the specified class using those parameters</t>
        </is>
      </c>
      <c r="E1705" t="n">
        <v>0.003</v>
      </c>
      <c r="F1705" t="n">
        <v>0.075</v>
      </c>
      <c r="G1705" t="n">
        <v>0.1389</v>
      </c>
      <c r="H1705" t="inlineStr">
        <is>
          <t>The provided code implements core algorithms for a backend software component. It includes comments explaining its implementation and complexity analysis. The code size is 1000 lines.</t>
        </is>
      </c>
      <c r="I1705" t="n">
        <v>0.0183</v>
      </c>
      <c r="J1705" t="n">
        <v>0.1765</v>
      </c>
      <c r="K1705" t="n">
        <v>0.3221</v>
      </c>
      <c r="L1705" t="inlineStr">
        <is>
          <t>The provided Java code defines a custom `CallAdapter` for Retrofit that handles asynchronous network requests using a specified executor. It allows developers to execute callbacks on a background thread while managing response handling and error management efficiently. The adapter supports generic types and can be used to integrate Retrofit with other libraries like OkHttp for network communication.</t>
        </is>
      </c>
      <c r="M1705" t="n">
        <v>0.0032</v>
      </c>
      <c r="N1705" t="n">
        <v>0.0308</v>
      </c>
      <c r="O1705" t="n">
        <v>0.0775</v>
      </c>
    </row>
    <row r="1706">
      <c r="A1706" t="inlineStr">
        <is>
          <t>retrofit</t>
        </is>
      </c>
      <c r="B1706" t="inlineStr">
        <is>
          <t>samples/src/main/java/com/example/retrofit/ConditionalLoggingInterceptor.kt</t>
        </is>
      </c>
      <c r="C1706">
        <f>HYPERLINK("https://github.com/square/retrofit/blob/master/samples/src/main/java/com/example/retrofit/ConditionalLoggingInterceptor.kt")</f>
        <v/>
      </c>
      <c r="D1706" t="inlineStr">
        <is>
          <t>The provided code defines a simple Retrofit client that makes HTTP requests using OkHttp. It includes an interceptor for logging HTTP traffic and uses a mock web server for testing purposes. The `main` function demonstrates how to create a Retrofit instance and make a GET request to a specified URL.</t>
        </is>
      </c>
      <c r="E1706" t="n">
        <v>0.0037</v>
      </c>
      <c r="F1706" t="n">
        <v>0.06900000000000001</v>
      </c>
      <c r="G1706" t="n">
        <v>0.082</v>
      </c>
      <c r="H1706" t="inlineStr">
        <is>
          <t>This repository contains backend software components that implement core algorithms using Retrofit for API communication and OkHttp for HTTP requests. The complexity is O(N), indicating linear time complexity for certain operations.</t>
        </is>
      </c>
      <c r="I1706" t="n">
        <v>0.008500000000000001</v>
      </c>
      <c r="J1706" t="n">
        <v>0.25</v>
      </c>
      <c r="K1706" t="n">
        <v>0.414</v>
      </c>
      <c r="L1706" t="inlineStr">
        <is>
          <t>The provided code defines a simple Retrofit client that uses OkHttp to make HTTP requests. It includes a mock web server for testing purposes. The `main` function demonstrates how to create a Retrofit instance and make a GET request using a mocked response from the server.</t>
        </is>
      </c>
      <c r="M1706" t="n">
        <v>0.004</v>
      </c>
      <c r="N1706" t="n">
        <v>0.0741</v>
      </c>
      <c r="O1706" t="n">
        <v>0.0847</v>
      </c>
    </row>
    <row r="1707">
      <c r="A1707" t="inlineStr">
        <is>
          <t>retrofit</t>
        </is>
      </c>
      <c r="B1707" t="inlineStr">
        <is>
          <t>samples/src/main/java/com/example/retrofit/JsonQueryParameters.java</t>
        </is>
      </c>
      <c r="C1707">
        <f>HYPERLINK("https://github.com/square/retrofit/blob/master/samples/src/main/java/com/example/retrofit/JsonQueryParameters.java")</f>
        <v/>
      </c>
      <c r="D1707" t="inlineStr">
        <is>
          <t>The provided Java code defines annotations and classes related to testing HTTP requests using OkHttp's MockWebServer library. It includes methods for setting up mock responses, handling request bodies, and response bodies. The code is part of a larger project that focuses on implementing core algorithms and provides test utilities for network operations.</t>
        </is>
      </c>
      <c r="E1707" t="n">
        <v>0.0042</v>
      </c>
      <c r="F1707" t="n">
        <v>0.0984</v>
      </c>
      <c r="G1707" t="n">
        <v>0.2545</v>
      </c>
      <c r="H1707" t="inlineStr">
        <is>
          <t>The repository contains backend software components implementing core algorithms. Complexity is O(N), indicating linear time complexity. Comments describe the implementation of these algorithms. The code size is 1000 lines.</t>
        </is>
      </c>
      <c r="I1707" t="n">
        <v>0.0077</v>
      </c>
      <c r="J1707" t="n">
        <v>0.1579</v>
      </c>
      <c r="K1707" t="n">
        <v>0.1485</v>
      </c>
      <c r="L1707" t="inlineStr">
        <is>
          <t>This Java code defines annotations and utilities related to Retrofit, a popular HTTP client library for Android applications. It includes methods for handling request bodies and response bodies, as well as mock responses for testing purposes. The code is part of a larger project that focuses on backend software components.</t>
        </is>
      </c>
      <c r="M1707" t="n">
        <v>0.0048</v>
      </c>
      <c r="N1707" t="n">
        <v>0.06900000000000001</v>
      </c>
      <c r="O1707" t="n">
        <v>0.1639</v>
      </c>
    </row>
    <row r="1708">
      <c r="A1708" t="inlineStr">
        <is>
          <t>retrofit</t>
        </is>
      </c>
      <c r="B1708" t="inlineStr">
        <is>
          <t>retrofit-response-type-keeper/src/main/kotlin/retrofit2/keeper/RetrofitResponseTypeKeepProcessor.kt</t>
        </is>
      </c>
      <c r="C1708">
        <f>HYPERLINK("https://github.com/square/retrofit/blob/master/retrofit-response-type-keeper/src/main/kotlin/retrofit2/keeper/RetrofitResponseTypeKeepProcessor.kt")</f>
        <v/>
      </c>
      <c r="D1708" t="inlineStr">
        <is>
          <t>The provided Java code defines an abstract processor class named `Keeper` within the package `retrofit2.keeper`. This class extends `AbstractProcessor`, which is part of the Java annotation processing framework used to generate source code based on annotations applied to existing classes. The `Keeper` class implements methods from the `javax.annotation.processing.Processor` interface, such as `getSupportedAnnotationTypes()</t>
        </is>
      </c>
      <c r="E1708" t="n">
        <v>0.0042</v>
      </c>
      <c r="F1708" t="n">
        <v>0.0625</v>
      </c>
      <c r="G1708" t="n">
        <v>0.121</v>
      </c>
      <c r="H1708" t="inlineStr">
        <is>
          <t>This repository contains backend software components that implement core algorithms using Java annotations processing. The complexity is O(N), indicating linear time operations based on input size. Comments describe the implementation details, while commits track the initial creation of the codebase. The total code size is 1000 lines.</t>
        </is>
      </c>
      <c r="I1708" t="n">
        <v>0.0051</v>
      </c>
      <c r="J1708" t="n">
        <v>0.1429</v>
      </c>
      <c r="K1708" t="n">
        <v>0.2101</v>
      </c>
      <c r="L1708" t="inlineStr">
        <is>
          <t>This Java annotation processor generates Retrofit service interfaces from annotated classes, processing annotations such as `@GET`, `@POST`, etc., to create RESTful API client implementations. It supports method parameters like query strings, path variables, headers, and request bodies, and can handle complex data types using generics and wildcards. The processor processes multiple rounds to ensure all dependencies are correctly resolved before generating the necessary code</t>
        </is>
      </c>
      <c r="M1708" t="n">
        <v>0.0034</v>
      </c>
      <c r="N1708" t="n">
        <v>0.0833</v>
      </c>
      <c r="O1708" t="n">
        <v>0.1103</v>
      </c>
    </row>
    <row r="1709">
      <c r="A1709" t="inlineStr">
        <is>
          <t>retrofit</t>
        </is>
      </c>
      <c r="B1709" t="inlineStr">
        <is>
          <t>retrofit-response-type-keeper/src/test/kotlin/retrofit2/keeper/RetrofitResponseTypeKeepProcessorTest.kt</t>
        </is>
      </c>
      <c r="C1709">
        <f>HYPERLINK("https://github.com/square/retrofit/blob/master/retrofit-response-type-keeper/src/test/kotlin/retrofit2/keeper/RetrofitResponseTypeKeepProcessorTest.kt")</f>
        <v/>
      </c>
      <c r="D1709" t="inlineStr">
        <is>
          <t>The provided Java source code defines a test class `RetrofitResponseTypeKeepProcessorTest` that uses Google's TestNG framework to verify the functionality of a processor named `RetrofitResponseTypeKeepProcessor`. The test checks if the processor correctly handles various HTTP methods when processing Retrofit response types. The code includes imports from Guava Truth for assertions and Google Testing Compile for compiling Java sources. The complexity of the implementation</t>
        </is>
      </c>
      <c r="E1709" t="n">
        <v>0.0035</v>
      </c>
      <c r="F1709" t="n">
        <v>0.0563</v>
      </c>
      <c r="G1709" t="n">
        <v>0.1119</v>
      </c>
      <c r="H1709" t="inlineStr">
        <is>
          <t>This repository contains backend software components that implement core algorithms. The complexity of the implementation is O(N), indicating linear time complexity relative to the input size N. The code includes comments explaining the purpose and functionality of each part, and it has been committed as the initial codebase. The total code size is 1000 lines.</t>
        </is>
      </c>
      <c r="I1709" t="n">
        <v>0.005</v>
      </c>
      <c r="J1709" t="n">
        <v>0.1875</v>
      </c>
      <c r="K1709" t="n">
        <v>0.2362</v>
      </c>
      <c r="L1709" t="inlineStr">
        <is>
          <t>The `RetrofitResponseTypeKeepProcessorTest` class tests the functionality of the Retrofit library's response type processing feature using JUnit testing. It verifies that the processor correctly handles various HTTP methods by compiling Java sources containing different request types and checking if they compile without errors. The test ensures that the processor respects the specified response types and can handle different HTTP methods appropriately.</t>
        </is>
      </c>
      <c r="M1709" t="n">
        <v>0.0036</v>
      </c>
      <c r="N1709" t="n">
        <v>0.058</v>
      </c>
      <c r="O1709" t="n">
        <v>0.07580000000000001</v>
      </c>
    </row>
    <row r="1710">
      <c r="A1710" t="inlineStr">
        <is>
          <t>retrofit</t>
        </is>
      </c>
      <c r="B1710" t="inlineStr">
        <is>
          <t>retrofit-mock/src/main/java/retrofit2/mock/Calls.java</t>
        </is>
      </c>
      <c r="C1710">
        <f>HYPERLINK("https://github.com/square/retrofit/blob/master/retrofit-mock/src/main/java/retrofit2/mock/Calls.java")</f>
        <v/>
      </c>
      <c r="D1710" t="inlineStr">
        <is>
          <t>The provided Java code defines a class `MockCall` within the package `retrofit2.mock`. This class implements the `Call&lt;T&gt;` interface from Retrofit, allowing it to simulate network requests that return predefined responses or errors immediately upon invocation. The class uses atomic boolean flags (`isCanceled`, `isExecuted`) to track the state of the call and handles timeouts using an `AtomicInteger`.</t>
        </is>
      </c>
      <c r="E1710" t="n">
        <v>0.0043</v>
      </c>
      <c r="F1710" t="n">
        <v>0.09089999999999999</v>
      </c>
      <c r="G1710" t="n">
        <v>0.1563</v>
      </c>
      <c r="H1710" t="inlineStr">
        <is>
          <t>The code implements factory methods for creating `Call` instances that immediately respond or fail, suitable for testing purposes. It includes classes such as `MockResponse`, `ErrorBodyFactory`, and `MockInterceptor`. The complexity is high due to the implementation of multiple features and error handling mechanisms.</t>
        </is>
      </c>
      <c r="I1710" t="n">
        <v>0.0052</v>
      </c>
      <c r="J1710" t="n">
        <v>0.08</v>
      </c>
      <c r="K1710" t="n">
        <v>0.0877</v>
      </c>
      <c r="L1710" t="inlineStr">
        <is>
          <t>This Java class provides factory methods for creating `Call` objects that return mock responses or throw exceptions immediately upon invocation. The class uses atomic boolean flags to track whether each call has been executed, ensuring thread safety when multiple threads attempt to access the same instance. It supports both synchronous and asynchronous calls using `Callable` and `Callback`, respectively.</t>
        </is>
      </c>
      <c r="M1710" t="n">
        <v>0.0037</v>
      </c>
      <c r="N1710" t="n">
        <v>0.0606</v>
      </c>
      <c r="O1710" t="n">
        <v>0.1154</v>
      </c>
    </row>
    <row r="1711">
      <c r="A1711" t="inlineStr">
        <is>
          <t>retrofit</t>
        </is>
      </c>
      <c r="B1711" t="inlineStr">
        <is>
          <t>retrofit-mock/src/main/java/retrofit2/mock/BehaviorCall.java</t>
        </is>
      </c>
      <c r="C1711">
        <f>HYPERLINK("https://github.com/square/retrofit/blob/master/retrofit-mock/src/main/java/retrofit2/mock/BehaviorCall.java")</f>
        <v/>
      </c>
      <c r="D1711" t="inlineStr">
        <is>
          <t>The provided Java code defines a class `MockResponse` within the `retrofit2.mock` package. This class appears to be part of a library designed to simulate responses from HTTP servers during testing. The class includes methods for setting up mock responses, handling requests, and managing asynchronous execution using an executor service. It uses concurrency utilities like `CountDownLatch`, `Future`, and atomic references to ensure</t>
        </is>
      </c>
      <c r="E1711" t="n">
        <v>0.0036</v>
      </c>
      <c r="F1711" t="n">
        <v>0.0571</v>
      </c>
      <c r="G1711" t="n">
        <v>0.1128</v>
      </c>
      <c r="H1711" t="inlineStr">
        <is>
          <t>This repository contains backend software components that implement core algorithms. The complexity is O(N), indicating linear time complexity for certain operations.</t>
        </is>
      </c>
      <c r="I1711" t="n">
        <v>0.012</v>
      </c>
      <c r="J1711" t="n">
        <v>0.2667</v>
      </c>
      <c r="K1711" t="n">
        <v>0.3394</v>
      </c>
      <c r="L1711" t="inlineStr">
        <is>
          <t>The code provides a mock implementation of Retrofit's `Call` interface, allowing developers to simulate network responses without making actual HTTP requests. It uses Java concurrency utilities such as `CountDownLatch`, `ExecutorService`, and `AtomicReference` to manage asynchronous call execution and response handling. The class supports setting up different types of responses based on request parameters and includes methods for executing calls asynchronously and synchronously.</t>
        </is>
      </c>
      <c r="M1711" t="n">
        <v>0.0029</v>
      </c>
      <c r="N1711" t="n">
        <v>0.0563</v>
      </c>
      <c r="O1711" t="n">
        <v>0.1119</v>
      </c>
    </row>
    <row r="1712">
      <c r="A1712" t="inlineStr">
        <is>
          <t>retrofit</t>
        </is>
      </c>
      <c r="B1712" t="inlineStr">
        <is>
          <t>retrofit-mock/src/main/java/retrofit2/mock/package-info.java</t>
        </is>
      </c>
      <c r="C1712">
        <f>HYPERLINK("https://github.com/square/retrofit/blob/master/retrofit-mock/src/main/java/retrofit2/mock/package-info.java")</f>
        <v/>
      </c>
      <c r="D1712" t="inlineStr">
        <is>
          <t>The code is part of a Retrofit library that provides mock responses for network requests during testing. It includes annotations to ensure non-null parameters and implements core algorithmic functionalities within the `mock` package. The complexity is O(N), indicating linear time complexity in relation to input size.</t>
        </is>
      </c>
      <c r="E1712" t="n">
        <v>0.0094</v>
      </c>
      <c r="F1712" t="n">
        <v>0.1071</v>
      </c>
      <c r="G1712" t="n">
        <v>0.2675</v>
      </c>
      <c r="H1712" t="inlineStr">
        <is>
          <t>This repository contains backend software components with implementation of core algorithms. Complexity is O(N). The code size is 64 bytes.</t>
        </is>
      </c>
      <c r="I1712" t="n">
        <v>0.0127</v>
      </c>
      <c r="J1712" t="n">
        <v>0.2759</v>
      </c>
      <c r="K1712" t="n">
        <v>0.2174</v>
      </c>
      <c r="L1712" t="inlineStr">
        <is>
          <t>The `MockCall` class is part of Retrofit's mock implementation for testing purposes. It provides a way to simulate network responses during development without making actual HTTP requests. The class ensures that all method parameters are non-null, enhancing type safety.</t>
        </is>
      </c>
      <c r="M1712" t="n">
        <v>0</v>
      </c>
      <c r="N1712" t="n">
        <v>0.0408</v>
      </c>
      <c r="O1712" t="n">
        <v>0.0901</v>
      </c>
    </row>
    <row r="1713">
      <c r="A1713" t="inlineStr">
        <is>
          <t>retrofit</t>
        </is>
      </c>
      <c r="B1713" t="inlineStr">
        <is>
          <t>retrofit-mock/src/main/java/retrofit2/mock/KotlinExtensions.kt</t>
        </is>
      </c>
      <c r="C1713">
        <f>HYPERLINK("https://github.com/square/retrofit/blob/master/retrofit-mock/src/main/java/retrofit2/mock/KotlinExtensions.kt")</f>
        <v/>
      </c>
      <c r="D1713" t="inlineStr">
        <is>
          <t>The provided code defines a function `create` that takes a type parameter `T`, which must be reified, and returns a `BehaviorDelegate` instance for that type using Retrofit's mock capabilities. The function uses inline delegation to simplify the creation process. This implementation is part of a larger project focused on backend software components, with a complexity level of O(N), indicating it involves processing N elements.</t>
        </is>
      </c>
      <c r="E1713" t="n">
        <v>0.0037</v>
      </c>
      <c r="F1713" t="n">
        <v>0.0541</v>
      </c>
      <c r="G1713" t="n">
        <v>0.1838</v>
      </c>
      <c r="H1713" t="inlineStr">
        <is>
          <t>Provides a Kotlin inline function `create` that creates a behavior delegate for Retrofit mock responses based on the specified type parameter.</t>
        </is>
      </c>
      <c r="I1713" t="n">
        <v>0</v>
      </c>
      <c r="J1713" t="n">
        <v>0.06900000000000001</v>
      </c>
      <c r="K1713" t="n">
        <v>0.0538</v>
      </c>
      <c r="L1713" t="inlineStr">
        <is>
          <t>The `MockRetrofit` class provides a way to mock network requests using Retrofit, allowing developers to test their application's networking layer without making actual HTTP calls. The `create()` function takes a type parameter `T`, which represents the service interface being mocked, and returns a `BehaviorDelegate&lt;T&gt;` that can be used to make mock responses during testing.</t>
        </is>
      </c>
      <c r="M1713" t="n">
        <v>0.0034</v>
      </c>
      <c r="N1713" t="n">
        <v>0.0625</v>
      </c>
      <c r="O1713" t="n">
        <v>0.0794</v>
      </c>
    </row>
    <row r="1714">
      <c r="A1714" t="inlineStr">
        <is>
          <t>retrofit</t>
        </is>
      </c>
      <c r="B1714" t="inlineStr">
        <is>
          <t>retrofit-mock/src/main/java/retrofit2/mock/BehaviorDelegate.java</t>
        </is>
      </c>
      <c r="C1714">
        <f>HYPERLINK("https://github.com/square/retrofit/blob/master/retrofit-mock/src/main/java/retrofit2/mock/BehaviorDelegate.java")</f>
        <v/>
      </c>
      <c r="D1714" t="inlineStr">
        <is>
          <t>The provided Java code defines a class `MockCall` within the package `retrofit2.mock`. This class appears to be part of a mock implementation for Retrofit, which is a popular HTTP client library for Android and Java applications. The main purpose of `MockCall` is to simulate network requests without actually making them, allowing developers to test their application's behavior in response to different API responses.</t>
        </is>
      </c>
      <c r="E1714" t="n">
        <v>0.0034</v>
      </c>
      <c r="F1714" t="n">
        <v>0.0822</v>
      </c>
      <c r="G1714" t="n">
        <v>0.1481</v>
      </c>
      <c r="H1714" t="inlineStr">
        <is>
          <t>The repository contains backend software components that implement core algorithms. The complexity of the implementation is O(N), indicating linear time complexity. The comments provide details about the algorithmic approach used. The commits include an initial codebase commit. The total size of the codebase is 1000 lines.</t>
        </is>
      </c>
      <c r="I1714" t="n">
        <v>0.0048</v>
      </c>
      <c r="J1714" t="n">
        <v>0.1091</v>
      </c>
      <c r="K1714" t="n">
        <v>0.1271</v>
      </c>
      <c r="L1714" t="inlineStr">
        <is>
          <t>This Java class provides mock implementations of Retrofit interfaces using Kotlin coroutines. It allows developers to simulate API responses without making actual network calls, facilitating testing and development environments. The implementation uses reflection to dynamically create proxy objects that intercept method calls and return predefined responses based on annotations or hardcoded values.</t>
        </is>
      </c>
      <c r="M1714" t="n">
        <v>0.0042</v>
      </c>
      <c r="N1714" t="n">
        <v>0.1</v>
      </c>
      <c r="O1714" t="n">
        <v>0.1613</v>
      </c>
    </row>
    <row r="1715">
      <c r="A1715" t="inlineStr">
        <is>
          <t>retrofit</t>
        </is>
      </c>
      <c r="B1715" t="inlineStr">
        <is>
          <t>retrofit-mock/src/main/java/retrofit2/mock/NetworkBehavior.java</t>
        </is>
      </c>
      <c r="C1715">
        <f>HYPERLINK("https://github.com/square/retrofit/blob/master/retrofit-mock/src/main/java/retrofit2/mock/NetworkBehavior.java")</f>
        <v/>
      </c>
      <c r="D1715" t="inlineStr">
        <is>
          <t>The provided code defines a `MockResponse` class within the Retrofit library's mock package. This class simulates the behavior of network responses by allowing developers to set various attributes such as HTTP status codes, headers, body content, and delay times before returning the response. The class uses Java's concurrency utilities to handle asynchronous operations effectively. It provides methods to create mocked responses with different configurations, making it useful</t>
        </is>
      </c>
      <c r="E1715" t="n">
        <v>0.0032</v>
      </c>
      <c r="F1715" t="n">
        <v>0.0519</v>
      </c>
      <c r="G1715" t="n">
        <v>0.1079</v>
      </c>
      <c r="H1715" t="inlineStr">
        <is>
          <t>This repository contains backend software components that implement core algorithms. The complexity of these implementations is O(N), indicating linear time complexity relative to input size. The code has been committed initially and is currently 1000 lines long.</t>
        </is>
      </c>
      <c r="I1715" t="n">
        <v>0.0071</v>
      </c>
      <c r="J1715" t="n">
        <v>0.2174</v>
      </c>
      <c r="K1715" t="n">
        <v>0.2294</v>
      </c>
      <c r="L1715" t="inlineStr">
        <is>
          <t>This class provides a mock implementation of network call behavior using Retrofit, allowing developers to simulate responses without making actual HTTP requests. It includes methods to set up delays, return random data, and handle different types of responses such as successful and error cases. The class uses OkHttp's `ResponseBody` for response handling and supports various time units for delay configuration.</t>
        </is>
      </c>
      <c r="M1715" t="n">
        <v>0.0036</v>
      </c>
      <c r="N1715" t="n">
        <v>0.08699999999999999</v>
      </c>
      <c r="O1715" t="n">
        <v>0.1515</v>
      </c>
    </row>
    <row r="1716">
      <c r="A1716" t="inlineStr">
        <is>
          <t>retrofit</t>
        </is>
      </c>
      <c r="B1716" t="inlineStr">
        <is>
          <t>retrofit-mock/src/main/java/retrofit2/mock/MockRetrofitIOException.java</t>
        </is>
      </c>
      <c r="C1716">
        <f>HYPERLINK("https://github.com/square/retrofit/blob/master/retrofit-mock/src/main/java/retrofit2/mock/MockRetrofitIOException.java")</f>
        <v/>
      </c>
      <c r="D1716" t="inlineStr">
        <is>
          <t>The provided code defines a custom `MockRetrofitIOException` class that extends `java.io.IOException`. This exception is specifically used within the Retrofit library when a mock network behavior triggers an error during testing. The constructor initializes the exception message to indicate that it was caused by MockRetrofit's network behavior.</t>
        </is>
      </c>
      <c r="E1716" t="n">
        <v>0.004</v>
      </c>
      <c r="F1716" t="n">
        <v>0.0351</v>
      </c>
      <c r="G1716" t="n">
        <v>0.0847</v>
      </c>
      <c r="H1716" t="inlineStr">
        <is>
          <t>This repository contains backend software components that implement core algorithms. The complexity of these implementations is O(N), indicating linear time complexity relative to the size of the input data. The code includes a custom exception `MockRetrofitIOException` used within the Retrofit library to simulate network failures during testing purposes.</t>
        </is>
      </c>
      <c r="I1716" t="n">
        <v>0.005</v>
      </c>
      <c r="J1716" t="n">
        <v>0.1404</v>
      </c>
      <c r="K1716" t="n">
        <v>0.2083</v>
      </c>
      <c r="L1716" t="inlineStr">
        <is>
          <t>This code defines a custom exception `MockRetrofitIOException` that is used within Retrofit's mock implementation to indicate failures caused by network behaviors defined in `NetworkBehavior`. The exception provides a descriptive message indicating that the failure was triggered by the mock's network behavior mechanism.</t>
        </is>
      </c>
      <c r="M1716" t="n">
        <v>0.0044</v>
      </c>
      <c r="N1716" t="n">
        <v>0.0769</v>
      </c>
      <c r="O1716" t="n">
        <v>0.1316</v>
      </c>
    </row>
    <row r="1717">
      <c r="A1717" t="inlineStr">
        <is>
          <t>retrofit</t>
        </is>
      </c>
      <c r="B1717" t="inlineStr">
        <is>
          <t>retrofit-mock/src/main/java/retrofit2/mock/MockRetrofit.java</t>
        </is>
      </c>
      <c r="C1717">
        <f>HYPERLINK("https://github.com/square/retrofit/blob/master/retrofit-mock/src/main/java/retrofit2/mock/MockRetrofit.java")</f>
        <v/>
      </c>
      <c r="D1717" t="inlineStr">
        <is>
          <t>The `MockRetrofit` class is a custom implementation of Retrofit that allows developers to mock network requests during testing. It provides methods to set up different behaviors for handling responses based on request URLs or other criteria. The class uses an `ExecutorService` to manage asynchronous operations, ensuring that tests can run efficiently without blocking the main thread. This setup is particularly useful for unit testing RESTful APIs where real</t>
        </is>
      </c>
      <c r="E1717" t="n">
        <v>0.0027</v>
      </c>
      <c r="F1717" t="n">
        <v>0.0263</v>
      </c>
      <c r="G1717" t="n">
        <v>0.1071</v>
      </c>
      <c r="H1717" t="inlineStr">
        <is>
          <t>The repository contains backend software components that implement core algorithms using Java. The complexity of these implementations is O(N), indicating linear time complexity. The code size is 1000 lines, making it relatively large but focused on providing robust algorithmic solutions.</t>
        </is>
      </c>
      <c r="I1717" t="n">
        <v>0.0055</v>
      </c>
      <c r="J1717" t="n">
        <v>0.1224</v>
      </c>
      <c r="K1717" t="n">
        <v>0.1786</v>
      </c>
      <c r="L1717" t="inlineStr">
        <is>
          <t>This Java library provides a mock implementation of `Retrofit`, allowing developers to test network requests without making actual HTTP calls. It uses a custom `NetworkBehavior` interface to define how responses should be generated and an optional `ExecutorService` for asynchronous handling. The library integrates seamlessly into existing projects that utilize Retrofit for API communication.</t>
        </is>
      </c>
      <c r="M1717" t="n">
        <v>0.0041</v>
      </c>
      <c r="N1717" t="n">
        <v>0.0984</v>
      </c>
      <c r="O1717" t="n">
        <v>0.16</v>
      </c>
    </row>
    <row r="1718">
      <c r="A1718" t="inlineStr">
        <is>
          <t>retrofit</t>
        </is>
      </c>
      <c r="B1718" t="inlineStr">
        <is>
          <t>retrofit-mock/src/test/java/retrofit2/mock/MockRetrofitTest.java</t>
        </is>
      </c>
      <c r="C1718">
        <f>HYPERLINK("https://github.com/square/retrofit/blob/master/retrofit-mock/src/test/java/retrofit2/mock/MockRetrofitTest.java")</f>
        <v/>
      </c>
      <c r="D1718" t="inlineStr">
        <is>
          <t>The `MockRetrofit` test suite in this package verifies the functionality of the `MockRetrofit` class from the Retrofit library. It includes tests for handling null inputs, ensuring that the constructed `MockRetrofit` instance correctly propagates the original `Retrofit` instance, and checking if the network behavior is set as expected. The complexity is O(1), with constant time operations for each</t>
        </is>
      </c>
      <c r="E1718" t="n">
        <v>0.0038</v>
      </c>
      <c r="F1718" t="n">
        <v>0.09089999999999999</v>
      </c>
      <c r="G1718" t="n">
        <v>0.1163</v>
      </c>
      <c r="H1718" t="inlineStr">
        <is>
          <t>This repository contains backend software components that implement core algorithms. The complexity is O(N), indicating linear time complexity for certain operations. The comments describe the implementation details, while the commits indicate the initial creation of the codebase. The total size of the codebase is 1000 lines.</t>
        </is>
      </c>
      <c r="I1718" t="n">
        <v>0.0053</v>
      </c>
      <c r="J1718" t="n">
        <v>0.1455</v>
      </c>
      <c r="K1718" t="n">
        <v>0.1695</v>
      </c>
      <c r="L1718" t="inlineStr">
        <is>
          <t>This test suite for `MockRetrofit` checks that the builder correctly handles null values for both the Retrofit instance and the NetworkBehavior. It ensures that attempting to create a `MockRetrofit` without a valid Retrofit instance results in a NullPointerException, while also verifying that the NetworkBehavior is propagated correctly when set during construction.</t>
        </is>
      </c>
      <c r="M1718" t="n">
        <v>0.0043</v>
      </c>
      <c r="N1718" t="n">
        <v>0.0678</v>
      </c>
      <c r="O1718" t="n">
        <v>0.0813</v>
      </c>
    </row>
    <row r="1719">
      <c r="A1719" t="inlineStr">
        <is>
          <t>retrofit</t>
        </is>
      </c>
      <c r="B1719" t="inlineStr">
        <is>
          <t>retrofit-mock/src/test/java/retrofit2/mock/CallsTest.java</t>
        </is>
      </c>
      <c r="C1719">
        <f>HYPERLINK("https://github.com/square/retrofit/blob/master/retrofit-mock/src/test/java/retrofit2/mock/CallsTest.java")</f>
        <v/>
      </c>
      <c r="D1719" t="inlineStr">
        <is>
          <t>The provided Java code defines a class `MockRetrofit` within the package `retrofit2.mock`. This class appears to be part of a library designed to mock HTTP requests using Retrofit, which is a popular networking library for Android applications. The code includes various utility methods and assertions used for testing purposes related to network interactions during development. It uses Google Truth for assertions and JUnit for test cases</t>
        </is>
      </c>
      <c r="E1719" t="n">
        <v>0.0033</v>
      </c>
      <c r="F1719" t="n">
        <v>0.0533</v>
      </c>
      <c r="G1719" t="n">
        <v>0.1087</v>
      </c>
      <c r="H1719" t="inlineStr">
        <is>
          <t>The code implements core algorithms for a backend software component. It includes various assertions and checks using Google Truth and JUnit, as well as handling certificate exceptions and I/O operations. The complexity is high due to its extensive testing and algorithmic implementation.</t>
        </is>
      </c>
      <c r="I1719" t="n">
        <v>0.011</v>
      </c>
      <c r="J1719" t="n">
        <v>0.1176</v>
      </c>
      <c r="K1719" t="n">
        <v>0.3263</v>
      </c>
      <c r="L1719" t="inlineStr">
        <is>
          <t>This Java code snippet from Retrofit's mock library includes unit tests using JUnit and Truth to verify various aspects of the `MockResponse` class. It checks functionalities such as setting response headers, status codes, body content, and handling exceptions like certificate errors. The tests ensure that the `MockResponse` behaves correctly across different scenarios, including successful responses, failures due to network issues, and handling SSL certificates</t>
        </is>
      </c>
      <c r="M1719" t="n">
        <v>0.0034</v>
      </c>
      <c r="N1719" t="n">
        <v>0.0822</v>
      </c>
      <c r="O1719" t="n">
        <v>0.1103</v>
      </c>
    </row>
    <row r="1720">
      <c r="A1720" t="inlineStr">
        <is>
          <t>retrofit</t>
        </is>
      </c>
      <c r="B1720" t="inlineStr">
        <is>
          <t>retrofit-mock/src/test/java/retrofit2/mock/NetworkBehaviorTest.java</t>
        </is>
      </c>
      <c r="C1720">
        <f>HYPERLINK("https://github.com/square/retrofit/blob/master/retrofit-mock/src/test/java/retrofit2/mock/NetworkBehaviorTest.java")</f>
        <v/>
      </c>
      <c r="D1720" t="inlineStr">
        <is>
          <t>The provided code appears to be part of a Java library called Retrofit Mock, which is designed to facilitate testing HTTP requests made using Retrofit without needing a real server. The code includes various utilities and assertions for mocking network responses during unit tests. It uses Google Truth for assertions and OkHttp's ResponseBody class to handle response data. The complexity level is O(N), indicating that it involves some form of iteration</t>
        </is>
      </c>
      <c r="E1720" t="n">
        <v>0.0026</v>
      </c>
      <c r="F1720" t="n">
        <v>0.0247</v>
      </c>
      <c r="G1720" t="n">
        <v>0.0699</v>
      </c>
      <c r="H1720" t="inlineStr">
        <is>
          <t>The repository contains backend software components that implement core algorithms. The complexity is O(N), indicating linear time complexity. The implementation includes various functions and classes designed to perform operations efficiently.</t>
        </is>
      </c>
      <c r="I1720" t="n">
        <v>0.008200000000000001</v>
      </c>
      <c r="J1720" t="n">
        <v>0.2564</v>
      </c>
      <c r="K1720" t="n">
        <v>0.3647</v>
      </c>
      <c r="L1720" t="inlineStr">
        <is>
          <t>This Java class provides mock implementations for Retrofit HTTP requests, allowing developers to simulate server responses during testing without making actual network calls. It includes methods to set up mocks that return predefined responses based on request parameters, headers, and body content. The implementation uses Google Truth for assertions and OkHttp's ResponseBody for handling response bodies.</t>
        </is>
      </c>
      <c r="M1720" t="n">
        <v>0.0039</v>
      </c>
      <c r="N1720" t="n">
        <v>0.09229999999999999</v>
      </c>
      <c r="O1720" t="n">
        <v>0.1563</v>
      </c>
    </row>
    <row r="1721">
      <c r="A1721" t="inlineStr">
        <is>
          <t>retrofit</t>
        </is>
      </c>
      <c r="B1721" t="inlineStr">
        <is>
          <t>retrofit-mock/src/test/java/retrofit2/mock/BehaviorDelegateKotlinTest.kt</t>
        </is>
      </c>
      <c r="C1721">
        <f>HYPERLINK("https://github.com/square/retrofit/blob/master/retrofit-mock/src/test/java/retrofit2/mock/BehaviorDelegateKotlinTest.kt")</f>
        <v/>
      </c>
      <c r="D1721" t="inlineStr">
        <is>
          <t>The provided Kotlin test class `BehaviorDelegateKotlinTest` appears to be part of a library that tests behavior delegation in Retrofit 2 using Mockito for mocking HTTP responses. The class uses JUnit for testing and includes assertions from Truth to verify expected outcomes. It also utilizes Kotlin coroutines for asynchronous operations. The complexity of the implementation is O(N), indicating it might involve iterating over collections or processing data</t>
        </is>
      </c>
      <c r="E1721" t="n">
        <v>0.0028</v>
      </c>
      <c r="F1721" t="n">
        <v>0.0267</v>
      </c>
      <c r="G1721" t="n">
        <v>0.1087</v>
      </c>
      <c r="H1721" t="inlineStr">
        <is>
          <t>The repository contains backend software components that implement core algorithms. The complexity of these implementations is O(N), indicating linear time complexity. The code size is 1000 lines, which suggests it includes multiple classes and methods related to algorithmic implementation.</t>
        </is>
      </c>
      <c r="I1721" t="n">
        <v>0.0062</v>
      </c>
      <c r="J1721" t="n">
        <v>0.1667</v>
      </c>
      <c r="K1721" t="n">
        <v>0.1802</v>
      </c>
      <c r="L1721" t="inlineStr">
        <is>
          <t>This Kotlin test class `BehaviorDelegateKotlinTest` appears to be part of a Retrofit mock implementation, likely used for testing network requests. It uses JUnit for unit tests and includes methods to verify that responses from mocked Retrofit services match expected values. The test suite covers various aspects such as handling different HTTP status codes, timeouts, and response bodies.</t>
        </is>
      </c>
      <c r="M1721" t="n">
        <v>0.0038</v>
      </c>
      <c r="N1721" t="n">
        <v>0.09229999999999999</v>
      </c>
      <c r="O1721" t="n">
        <v>0.1163</v>
      </c>
    </row>
    <row r="1722">
      <c r="A1722" t="inlineStr">
        <is>
          <t>retrofit</t>
        </is>
      </c>
      <c r="B1722" t="inlineStr">
        <is>
          <t>retrofit-mock/src/test/java/retrofit2/mock/BehaviorDelegateTest.java</t>
        </is>
      </c>
      <c r="C1722">
        <f>HYPERLINK("https://github.com/square/retrofit/blob/master/retrofit-mock/src/test/java/retrofit2/mock/BehaviorDelegateTest.java")</f>
        <v/>
      </c>
      <c r="D1722" t="inlineStr">
        <is>
          <t>The provided code appears to be part of a library called Retrofit Mock, which is used for testing purposes in Java applications that interact with RESTful APIs using Retrofit. The code includes utility methods for setting up mock responses, handling timeouts, and asserting expected behavior during tests. It uses Google Truth for assertions and JUnit for test cases. The complexity of the implementation is O(N), where N represents the number</t>
        </is>
      </c>
      <c r="E1722" t="n">
        <v>0.0026</v>
      </c>
      <c r="F1722" t="n">
        <v>0.0253</v>
      </c>
      <c r="G1722" t="n">
        <v>0.1056</v>
      </c>
      <c r="H1722" t="inlineStr">
        <is>
          <t>This repository contains backend software components that implement core algorithms. The complexity of these implementations varies depending on the specific algorithm being used. The README provides information about the license, package name, and the purpose of the repository.</t>
        </is>
      </c>
      <c r="I1722" t="n">
        <v>0.0069</v>
      </c>
      <c r="J1722" t="n">
        <v>0.2174</v>
      </c>
      <c r="K1722" t="n">
        <v>0.2273</v>
      </c>
      <c r="L1722" t="inlineStr">
        <is>
          <t>This Java code provides a mock implementation of Retrofit's `Call` interface using Google Truth for assertions and JUnit for testing. It includes methods to handle HTTP requests asynchronously and verify responses using mocks. The code uses concurrency utilities like CountDownLatch and Random to simulate network delays and random response times.</t>
        </is>
      </c>
      <c r="M1722" t="n">
        <v>0.0044</v>
      </c>
      <c r="N1722" t="n">
        <v>0.1017</v>
      </c>
      <c r="O1722" t="n">
        <v>0.1639</v>
      </c>
    </row>
    <row r="1723">
      <c r="A1723" t="inlineStr">
        <is>
          <t>retrofit</t>
        </is>
      </c>
      <c r="B1723" t="inlineStr">
        <is>
          <t>retrofit-adapters/rxjava/src/main/java/retrofit2/adapter/rxjava/HttpException.java</t>
        </is>
      </c>
      <c r="C1723">
        <f>HYPERLINK("https://github.com/square/retrofit/blob/master/retrofit-adapters/rxjava/src/main/java/retrofit2/adapter/rxjava/HttpException.java")</f>
        <v/>
      </c>
      <c r="D1723" t="inlineStr">
        <is>
          <t>The provided code defines a deprecated `HttpException` class that extends `retrofit2.HttpException`. This class is intended to be used for handling HTTP exceptions in Retrofit-based applications but has been marked as deprecated in favor of using `retrofit2.HttpException` directly. The constructor takes a `Response&lt;?&gt;` object as input and passes it to the superclass constructor.</t>
        </is>
      </c>
      <c r="E1723" t="n">
        <v>0.0042</v>
      </c>
      <c r="F1723" t="n">
        <v>0.0635</v>
      </c>
      <c r="G1723" t="n">
        <v>0.121</v>
      </c>
      <c r="H1723" t="inlineStr">
        <is>
          <t>Provides a deprecated `HttpException` class that wraps Retrofit's `Response`.</t>
        </is>
      </c>
      <c r="I1723" t="n">
        <v>0</v>
      </c>
      <c r="J1723" t="n">
        <v>0</v>
      </c>
      <c r="K1723" t="n">
        <v>0</v>
      </c>
      <c r="L1723" t="inlineStr">
        <is>
          <t>The `HttpException` class is deprecated and should be replaced with `retrofit2.HttpException`. It represents HTTP errors returned by Retrofit requests. The constructor takes a `Response&lt;?&gt;` object as input and initializes the exception with that response.</t>
        </is>
      </c>
      <c r="M1723" t="n">
        <v>0.0055</v>
      </c>
      <c r="N1723" t="n">
        <v>0.0465</v>
      </c>
      <c r="O1723" t="n">
        <v>0.0472</v>
      </c>
    </row>
    <row r="1724">
      <c r="A1724" t="inlineStr">
        <is>
          <t>retrofit</t>
        </is>
      </c>
      <c r="B1724" t="inlineStr">
        <is>
          <t>retrofit-adapters/rxjava/src/main/java/retrofit2/adapter/rxjava/package-info.java</t>
        </is>
      </c>
      <c r="C1724">
        <f>HYPERLINK("https://github.com/square/retrofit/blob/master/retrofit-adapters/rxjava/src/main/java/retrofit2/adapter/rxjava/package-info.java")</f>
        <v/>
      </c>
      <c r="D1724" t="inlineStr">
        <is>
          <t>The code is part of Retrofit 2's RxJava adapter package, which provides support for using RxJava with Retrofit to handle asynchronous HTTP requests in Android applications. The `EverythingIsNonNull` annotation indicates that all methods in this class do not accept null values as parameters or return null values. The complexity of the implementation is O(N), where N represents the number of operations performed by the algorithm.</t>
        </is>
      </c>
      <c r="E1724" t="n">
        <v>0</v>
      </c>
      <c r="F1724" t="n">
        <v>0.0533</v>
      </c>
      <c r="G1724" t="n">
        <v>0.1095</v>
      </c>
      <c r="H1724" t="inlineStr">
        <is>
          <t>This package contains backend software components with implementations of core algorithms. The complexity is O(N), indicating linear time complexity for certain operations.</t>
        </is>
      </c>
      <c r="I1724" t="n">
        <v>0.0114</v>
      </c>
      <c r="J1724" t="n">
        <v>0.2581</v>
      </c>
      <c r="K1724" t="n">
        <v>0.2128</v>
      </c>
      <c r="L1724" t="inlineStr">
        <is>
          <t>The code is part of Retrofit's RxJava adapter for handling asynchronous HTTP requests using RxJava observables. It ensures that all method parameters and return values are non-null, enhancing type safety and reducing potential runtime errors. The implementation focuses on converting Retrofit service methods into reactive streams, allowing developers to handle network responses asynchronously in a more functional style.</t>
        </is>
      </c>
      <c r="M1724" t="n">
        <v>0.0031</v>
      </c>
      <c r="N1724" t="n">
        <v>0.0588</v>
      </c>
      <c r="O1724" t="n">
        <v>0.1154</v>
      </c>
    </row>
    <row r="1725">
      <c r="A1725" t="inlineStr">
        <is>
          <t>retrofit</t>
        </is>
      </c>
      <c r="B1725" t="inlineStr">
        <is>
          <t>retrofit-adapters/rxjava/src/main/java/retrofit2/adapter/rxjava/RxJavaCallAdapterFactory.java</t>
        </is>
      </c>
      <c r="C1725">
        <f>HYPERLINK("https://github.com/square/retrofit/blob/master/retrofit-adapters/rxjava/src/main/java/retrofit2/adapter/rxjava/RxJavaCallAdapterFactory.java")</f>
        <v/>
      </c>
      <c r="D1725" t="inlineStr">
        <is>
          <t>The provided Java code defines a Retrofit adapter that converts HTTP responses into RxJava Observables or Completables based on the response type specified in the Retrofit interface method annotations. It handles both synchronous and asynchronous requests using Retrofit's CallAdapter framework. The adapter supports mapping different types such as `Response&lt;T&gt;`, `CompletableFuture&lt;Response&lt;T&gt;&gt;`, and generic parameterized types like `List&lt;ResponseBody&gt;` to corresponding</t>
        </is>
      </c>
      <c r="E1725" t="n">
        <v>0.0031</v>
      </c>
      <c r="F1725" t="n">
        <v>0.0282</v>
      </c>
      <c r="G1725" t="n">
        <v>0.0769</v>
      </c>
      <c r="H1725" t="inlineStr">
        <is>
          <t>This repository contains backend software components that implement core algorithms. The complexity of these implementations is O(N), indicating linear time complexity relative to the input size. The code base includes comments explaining the implementation details and commits tracking the initial development process. The total size of the codebase is 1000 lines.</t>
        </is>
      </c>
      <c r="I1725" t="n">
        <v>0.0051</v>
      </c>
      <c r="J1725" t="n">
        <v>0.1667</v>
      </c>
      <c r="K1725" t="n">
        <v>0.2033</v>
      </c>
      <c r="L1725" t="inlineStr">
        <is>
          <t>This Java code defines a Retrofit adapter that converts RxJava Observables into Completables and vice versa, allowing seamless integration between Retrofit's asynchronous HTTP requests and RxJava's reactive programming model. The adapter supports both synchronous and asynchronous responses and can be configured with custom schedulers for handling tasks on different threads. It provides methods to convert `Call&lt;T&gt;` objects from Retrofit into RxJava Observables or Completables</t>
        </is>
      </c>
      <c r="M1725" t="n">
        <v>0.0034</v>
      </c>
      <c r="N1725" t="n">
        <v>0.0533</v>
      </c>
      <c r="O1725" t="n">
        <v>0.0735</v>
      </c>
    </row>
    <row r="1726">
      <c r="A1726" t="inlineStr">
        <is>
          <t>retrofit</t>
        </is>
      </c>
      <c r="B1726" t="inlineStr">
        <is>
          <t>retrofit-adapters/rxjava/src/main/java/retrofit2/adapter/rxjava/CallExecuteOnSubscribe.java</t>
        </is>
      </c>
      <c r="C1726">
        <f>HYPERLINK("https://github.com/square/retrofit/blob/master/retrofit-adapters/rxjava/src/main/java/retrofit2/adapter/rxjava/CallExecuteOnSubscribe.java")</f>
        <v/>
      </c>
      <c r="D1726" t="inlineStr">
        <is>
          <t>The provided code defines an `OnSubscribe` implementation for RxJava that executes a Retrofit call synchronously when subscribed to. It wraps a `Call` object from Retrofit and ensures that the call is executed immediately upon subscription. The method handles exceptions using `Exceptions.propagate`, which rethrows any errors encountered during the execution of the call. This allows the subscriber to handle these exceptions appropriately within their own error</t>
        </is>
      </c>
      <c r="E1726" t="n">
        <v>0.0033</v>
      </c>
      <c r="F1726" t="n">
        <v>0.0541</v>
      </c>
      <c r="G1726" t="n">
        <v>0.146</v>
      </c>
      <c r="H1726" t="inlineStr">
        <is>
          <t>This repository contains backend software components implementing core algorithms. The complexity of the implementation is O(N), indicating that it scales linearly with input size. The comments provide details about the algorithm's purpose and its implementation. The commits indicate the initial creation of the codebase. The total code size is 1000 lines.</t>
        </is>
      </c>
      <c r="I1726" t="n">
        <v>0.0051</v>
      </c>
      <c r="J1726" t="n">
        <v>0.1639</v>
      </c>
      <c r="K1726" t="n">
        <v>0.2033</v>
      </c>
      <c r="L1726" t="inlineStr">
        <is>
          <t>This code defines an RxJava `OnSubscribe` implementation that executes a Retrofit `Call` asynchronously and emits the response as an `Observable`. It handles exceptions using `Exceptions.propagate`, ensuring they propagate through the Rx chain. The constructor takes a `Call` object, which represents the network request, and stores it internally. When subscribed to, it initiates the call and sends the response downstream as</t>
        </is>
      </c>
      <c r="M1726" t="n">
        <v>0.0036</v>
      </c>
      <c r="N1726" t="n">
        <v>0.08699999999999999</v>
      </c>
      <c r="O1726" t="n">
        <v>0.1515</v>
      </c>
    </row>
    <row r="1727">
      <c r="A1727" t="inlineStr">
        <is>
          <t>retrofit</t>
        </is>
      </c>
      <c r="B1727" t="inlineStr">
        <is>
          <t>retrofit-adapters/rxjava/src/main/java/retrofit2/adapter/rxjava/RxJavaCallAdapter.java</t>
        </is>
      </c>
      <c r="C1727">
        <f>HYPERLINK("https://github.com/square/retrofit/blob/master/retrofit-adapters/rxjava/src/main/java/retrofit2/adapter/rxjava/RxJavaCallAdapter.java")</f>
        <v/>
      </c>
      <c r="D1727" t="inlineStr">
        <is>
          <t>The provided code defines a `RxJavaCallAdapter` class that implements the `CallAdapter` interface from Retrofit 2. This adapter allows Retrofit to convert HTTP responses into reactive streams using RxJava. It takes a response type as input and returns an Observable representing the stream of data. The adapter uses a specified scheduler to handle asynchronous operations.</t>
        </is>
      </c>
      <c r="E1727" t="n">
        <v>0.0045</v>
      </c>
      <c r="F1727" t="n">
        <v>0.0645</v>
      </c>
      <c r="G1727" t="n">
        <v>0.1587</v>
      </c>
      <c r="H1727" t="inlineStr">
        <is>
          <t>This repository contains backend software components implementing core algorithms. The complexity is O(N), indicating linear time complexity, and it includes comments explaining the implementation details. The commits indicate that the initial codebase was committed. The total size of the codebase is 1000 lines.</t>
        </is>
      </c>
      <c r="I1727" t="n">
        <v>0.0061</v>
      </c>
      <c r="J1727" t="n">
        <v>0.1923</v>
      </c>
      <c r="K1727" t="n">
        <v>0.2174</v>
      </c>
      <c r="L1727" t="inlineStr">
        <is>
          <t>This Retrofit adapter converts `Call` objects into reactive streams using RxJava, allowing asynchronous HTTP requests to be handled as observables. It supports both synchronous and asynchronous responses and can specify a custom scheduler for executing callbacks. The implementation includes methods to create an observable from a call and handle different response types.</t>
        </is>
      </c>
      <c r="M1727" t="n">
        <v>0.0042</v>
      </c>
      <c r="N1727" t="n">
        <v>0.1</v>
      </c>
      <c r="O1727" t="n">
        <v>0.1613</v>
      </c>
    </row>
    <row r="1728">
      <c r="A1728" t="inlineStr">
        <is>
          <t>retrofit</t>
        </is>
      </c>
      <c r="B1728" t="inlineStr">
        <is>
          <t>retrofit-adapters/rxjava/src/main/java/retrofit2/adapter/rxjava/ResultOnSubscribe.java</t>
        </is>
      </c>
      <c r="C1728">
        <f>HYPERLINK("https://github.com/square/retrofit/blob/master/retrofit-adapters/rxjava/src/main/java/retrofit2/adapter/rxjava/ResultOnSubscribe.java")</f>
        <v/>
      </c>
      <c r="D1728" t="inlineStr">
        <is>
          <t>The provided Java code defines a custom `ResultOnSubscribe` class within the Retrofit RxJava adapter package. This class implements the `OnSubscribe&lt;Response&lt;T&gt;&gt;` interface from RxJava, which is used to handle asynchronous responses from network requests made using Retrofit. The main purpose of this class is to process the response data and notify subscribers accordingly.
Key functionalities include:
1. **Response Handling**: It takes</t>
        </is>
      </c>
      <c r="E1728" t="n">
        <v>0.004</v>
      </c>
      <c r="F1728" t="n">
        <v>0.0857</v>
      </c>
      <c r="G1728" t="n">
        <v>0.1515</v>
      </c>
      <c r="H1728" t="inlineStr">
        <is>
          <t>Implements core algorithms for backend software components.</t>
        </is>
      </c>
      <c r="I1728" t="n">
        <v>0.0341</v>
      </c>
      <c r="J1728" t="n">
        <v>0.2667</v>
      </c>
      <c r="K1728" t="n">
        <v>0.3235</v>
      </c>
      <c r="L1728" t="inlineStr">
        <is>
          <t>This Retrofit adapter uses RxJava to convert Retrofit's `Response` objects into `Observable&lt;Response&lt;T&gt;&gt;`. It handles exceptions such as network errors, server errors, and other issues that might occur during API calls. The adapter provides methods to subscribe to these observables and handle their responses appropriately using RxJava's error handling mechanisms.</t>
        </is>
      </c>
      <c r="M1728" t="n">
        <v>0.0045</v>
      </c>
      <c r="N1728" t="n">
        <v>0.06560000000000001</v>
      </c>
      <c r="O1728" t="n">
        <v>0.124</v>
      </c>
    </row>
    <row r="1729">
      <c r="A1729" t="inlineStr">
        <is>
          <t>retrofit</t>
        </is>
      </c>
      <c r="B1729" t="inlineStr">
        <is>
          <t>retrofit-adapters/rxjava/src/main/java/retrofit2/adapter/rxjava/BodyOnSubscribe.java</t>
        </is>
      </c>
      <c r="C1729">
        <f>HYPERLINK("https://github.com/square/retrofit/blob/master/retrofit-adapters/rxjava/src/main/java/retrofit2/adapter/rxjava/BodyOnSubscribe.java")</f>
        <v/>
      </c>
      <c r="D1729" t="inlineStr">
        <is>
          <t>The provided code defines a custom `OnSubscribe` implementation for Retrofit's RxJava adapter that handles responses from network requests. It wraps the response body into an Observable and manages exceptions using RxJava plugins. The complexity is O(1), as it involves basic operations like wrapping and exception handling.</t>
        </is>
      </c>
      <c r="E1729" t="n">
        <v>0.004</v>
      </c>
      <c r="F1729" t="n">
        <v>0.07140000000000001</v>
      </c>
      <c r="G1729" t="n">
        <v>0.1271</v>
      </c>
      <c r="H1729" t="inlineStr">
        <is>
          <t>This repository contains backend software components that implement core algorithms. The complexity of these implementations is O(N), indicating linear time complexity relative to the size of the input data. The code is written in Java and includes comments explaining its implementation details. The repository has been initialized with an initial codebase commit.</t>
        </is>
      </c>
      <c r="I1729" t="n">
        <v>0.005</v>
      </c>
      <c r="J1729" t="n">
        <v>0.1639</v>
      </c>
      <c r="K1729" t="n">
        <v>0.2016</v>
      </c>
      <c r="L1729" t="inlineStr">
        <is>
          <t>The `BodyOnSubscribe` class implements an `OnSubscribe&lt;Response&lt;T&gt;&gt;` interface in Retrofit's RxJava adapter, responsible for handling responses from network requests. It converts these responses into Observables that emit the response body as a single item upon completion. The class uses RxJava plugins to handle exceptions during subscription, ensuring robust error management.</t>
        </is>
      </c>
      <c r="M1729" t="n">
        <v>0.0037</v>
      </c>
      <c r="N1729" t="n">
        <v>0.0333</v>
      </c>
      <c r="O1729" t="n">
        <v>0.08260000000000001</v>
      </c>
    </row>
    <row r="1730">
      <c r="A1730" t="inlineStr">
        <is>
          <t>retrofit</t>
        </is>
      </c>
      <c r="B1730" t="inlineStr">
        <is>
          <t>retrofit-adapters/rxjava/src/main/java/retrofit2/adapter/rxjava/CallArbiter.java</t>
        </is>
      </c>
      <c r="C1730">
        <f>HYPERLINK("https://github.com/square/retrofit/blob/master/retrofit-adapters/rxjava/src/main/java/retrofit2/adapter/rxjava/CallArbiter.java")</f>
        <v/>
      </c>
      <c r="D1730" t="inlineStr">
        <is>
          <t>The provided Java code defines a class `RxJavaCallAdapterFactory` within the package `retrofit2.adapter.rxjava`. This adapter factory integrates Retrofit's call objects with RxJava's Observable API, allowing developers to handle network requests asynchronously using RxJava streams. The class implements methods that convert Retrofit calls into Observables, enabling users to subscribe to responses as they arrive, handle errors, and manage subscriptions</t>
        </is>
      </c>
      <c r="E1730" t="n">
        <v>0.0042</v>
      </c>
      <c r="F1730" t="n">
        <v>0.08699999999999999</v>
      </c>
      <c r="G1730" t="n">
        <v>0.155</v>
      </c>
      <c r="H1730" t="inlineStr">
        <is>
          <t>This repository contains backend software components that implement core algorithms. The complexity of these implementations is O(N), indicating linear time complexity. The code size is 1000 lines, which suggests it includes multiple modules or classes related to various algorithms.</t>
        </is>
      </c>
      <c r="I1730" t="n">
        <v>0.0062</v>
      </c>
      <c r="J1730" t="n">
        <v>0.1667</v>
      </c>
      <c r="K1730" t="n">
        <v>0.2252</v>
      </c>
      <c r="L1730" t="inlineStr">
        <is>
          <t>This Java class implements RxJava adapters for Retrofit calls, allowing developers to subscribe to network responses as Observables. It handles asynchronous HTTP requests using Retrofit's Call interface and converts them into RxJava Observables that can be subscribed to for real-time data processing. The implementation includes error handling mechanisms such as CompositeExceptions and OnErrorFailedException to manage multiple errors during subscription.</t>
        </is>
      </c>
      <c r="M1730" t="n">
        <v>0.0041</v>
      </c>
      <c r="N1730" t="n">
        <v>0.08699999999999999</v>
      </c>
      <c r="O1730" t="n">
        <v>0.1527</v>
      </c>
    </row>
    <row r="1731">
      <c r="A1731" t="inlineStr">
        <is>
          <t>retrofit</t>
        </is>
      </c>
      <c r="B1731" t="inlineStr">
        <is>
          <t>retrofit-adapters/rxjava/src/main/java/retrofit2/adapter/rxjava/Result.java</t>
        </is>
      </c>
      <c r="C1731">
        <f>HYPERLINK("https://github.com/square/retrofit/blob/master/retrofit-adapters/rxjava/src/main/java/retrofit2/adapter/rxjava/Result.java")</f>
        <v/>
      </c>
      <c r="D1731" t="inlineStr">
        <is>
          <t>The provided Java code defines a `Result` class within the Retrofit2 adapter for RxJava package. This class encapsulates the outcome of executing an HTTP request, which can be successful (`Response`) or contain an error (`Throwable`). It includes a static method `error()` that creates a `Result` instance representing an error condition. The class uses generics to allow it to handle different types of responses based</t>
        </is>
      </c>
      <c r="E1731" t="n">
        <v>0.0028</v>
      </c>
      <c r="F1731" t="n">
        <v>0.0278</v>
      </c>
      <c r="G1731" t="n">
        <v>0.0735</v>
      </c>
      <c r="H1731" t="inlineStr">
        <is>
          <t>This repository contains backend software components that implement core algorithms. Complexity is high due to extensive algorithmic logic, and comments provide detailed explanations of each part of the implementation. The code size is large, indicating significant development effort.</t>
        </is>
      </c>
      <c r="I1731" t="n">
        <v>0.0069</v>
      </c>
      <c r="J1731" t="n">
        <v>0.2174</v>
      </c>
      <c r="K1731" t="n">
        <v>0.3876</v>
      </c>
      <c r="L1731" t="inlineStr">
        <is>
          <t>The `Result` class encapsulates the outcome of an HTTP request executed using Retrofit's RxJava adapter. It provides two constructors: one for successful responses (`success`) and another for errors (`error`). The `error` constructor accepts a `Throwable`, which can be used to handle exceptions that occur during the request execution.</t>
        </is>
      </c>
      <c r="M1731" t="n">
        <v>0.0038</v>
      </c>
      <c r="N1731" t="n">
        <v>0.0351</v>
      </c>
      <c r="O1731" t="n">
        <v>0.0833</v>
      </c>
    </row>
    <row r="1732">
      <c r="A1732" t="inlineStr">
        <is>
          <t>retrofit</t>
        </is>
      </c>
      <c r="B1732" t="inlineStr">
        <is>
          <t>retrofit-adapters/rxjava/src/main/java/retrofit2/adapter/rxjava/CallEnqueueOnSubscribe.java</t>
        </is>
      </c>
      <c r="C1732">
        <f>HYPERLINK("https://github.com/square/retrofit/blob/master/retrofit-adapters/rxjava/src/main/java/retrofit2/adapter/rxjava/CallEnqueueOnSubscribe.java")</f>
        <v/>
      </c>
      <c r="D1732" t="inlineStr">
        <is>
          <t>The provided code defines a custom `OnSubscribe` implementation for RxJava that wraps a Retrofit `Call`. This allows the Retrofit call to be executed asynchronously using RxJava's Observable pattern. The `onNext` method enqueues the call to execute on the background thread, while handling exceptions appropriately.</t>
        </is>
      </c>
      <c r="E1732" t="n">
        <v>0.0042</v>
      </c>
      <c r="F1732" t="n">
        <v>0.0377</v>
      </c>
      <c r="G1732" t="n">
        <v>0.1293</v>
      </c>
      <c r="H1732" t="inlineStr">
        <is>
          <t>The repository contains backend software components that implement core algorithms. The complexity of these implementations is O(N), indicating linear time complexity. The comments provide details about the implementation process, while the commits record the initial creation of the codebase. The total size of the codebase is 1000 lines.</t>
        </is>
      </c>
      <c r="I1732" t="n">
        <v>0.0045</v>
      </c>
      <c r="J1732" t="n">
        <v>0.1053</v>
      </c>
      <c r="K1732" t="n">
        <v>0.125</v>
      </c>
      <c r="L1732" t="inlineStr">
        <is>
          <t>This code defines an `OnSubscribe` implementation that converts a Retrofit `Call` into an RxJava `Observable`. It enqueues the call's response when subscribed to, allowing asynchronous execution of network requests within an RxJava stream. The method handles exceptions using RxJava's exception handling mechanism.</t>
        </is>
      </c>
      <c r="M1732" t="n">
        <v>0.0044</v>
      </c>
      <c r="N1732" t="n">
        <v>0.0769</v>
      </c>
      <c r="O1732" t="n">
        <v>0.1316</v>
      </c>
    </row>
    <row r="1733">
      <c r="A1733" t="inlineStr">
        <is>
          <t>retrofit</t>
        </is>
      </c>
      <c r="B1733" t="inlineStr">
        <is>
          <t>retrofit-adapters/rxjava/src/test/java/retrofit2/adapter/rxjava/SingleTest.java</t>
        </is>
      </c>
      <c r="C1733">
        <f>HYPERLINK("https://github.com/square/retrofit/blob/master/retrofit-adapters/rxjava/src/test/java/retrofit2/adapter/rxjava/SingleTest.java")</f>
        <v/>
      </c>
      <c r="D1733" t="inlineStr">
        <is>
          <t>The provided Java code snippet appears to be part of a Retrofit adapter implementation that integrates RxJava for handling asynchronous HTTP requests. It includes test cases using OkHttp's MockWebServer to verify the behavior of the adapter when making network calls. The code uses Google Truth for assertions and sets up a mock server to simulate different response scenarios during testing. The complexity level is O(N), indicating linear time complexity,</t>
        </is>
      </c>
      <c r="E1733" t="n">
        <v>0.0026</v>
      </c>
      <c r="F1733" t="n">
        <v>0.0506</v>
      </c>
      <c r="G1733" t="n">
        <v>0.1064</v>
      </c>
      <c r="H1733" t="inlineStr">
        <is>
          <t>This repository contains backend software components implementing core algorithms. The complexity is O(N), indicating linear time performance. The implementation includes comments explaining the purpose of each part. The code size is 1000 lines.</t>
        </is>
      </c>
      <c r="I1733" t="n">
        <v>0.0074</v>
      </c>
      <c r="J1733" t="n">
        <v>0.1905</v>
      </c>
      <c r="K1733" t="n">
        <v>0.1905</v>
      </c>
      <c r="L1733" t="inlineStr">
        <is>
          <t>This Java code defines a test suite for Retrofit's RxJava adapter using OkHttp MockWebServer. It includes tests that verify the correct handling of HTTP responses and errors when making network requests through Retrofit. The tests utilize assertions from Google Truth to ensure expected outcomes match actual results.</t>
        </is>
      </c>
      <c r="M1733" t="n">
        <v>0.0046</v>
      </c>
      <c r="N1733" t="n">
        <v>0.07140000000000001</v>
      </c>
      <c r="O1733" t="n">
        <v>0.1261</v>
      </c>
    </row>
    <row r="1734">
      <c r="A1734" t="inlineStr">
        <is>
          <t>retrofit</t>
        </is>
      </c>
      <c r="B1734" t="inlineStr">
        <is>
          <t>retrofit-adapters/rxjava/src/test/java/retrofit2/adapter/rxjava/RxJavaCallAdapterFactoryTest.java</t>
        </is>
      </c>
      <c r="C1734">
        <f>HYPERLINK("https://github.com/square/retrofit/blob/master/retrofit-adapters/rxjava/src/test/java/retrofit2/adapter/rxjava/RxJavaCallAdapterFactoryTest.java")</f>
        <v/>
      </c>
      <c r="D1734" t="inlineStr">
        <is>
          <t>The provided code defines a Retrofit call adapter that converts `Call&lt;T&gt;` responses into RxJava Observables. It includes methods to create an Observable from a Call object and handle successful and error responses. The implementation uses Google Truth for assertions and checks if the response body matches the expected type using TypeToken.</t>
        </is>
      </c>
      <c r="E1734" t="n">
        <v>0.0036</v>
      </c>
      <c r="F1734" t="n">
        <v>0.0667</v>
      </c>
      <c r="G1734" t="n">
        <v>0.122</v>
      </c>
      <c r="H1734" t="inlineStr">
        <is>
          <t>Implements core algorithms for backend software components. Complexity is O(N).</t>
        </is>
      </c>
      <c r="I1734" t="n">
        <v>0.0251</v>
      </c>
      <c r="J1734" t="n">
        <v>0.2105</v>
      </c>
      <c r="K1734" t="n">
        <v>0.3117</v>
      </c>
      <c r="L1734" t="inlineStr">
        <is>
          <t>This Java class implements a `CallAdapter` for Retrofit that converts RxJava Observables into Call objects. It handles both successful responses and errors, providing appropriate error handling through assertions. The implementation uses Google Truth for assertions and JUnit for testing.</t>
        </is>
      </c>
      <c r="M1734" t="n">
        <v>0.0062</v>
      </c>
      <c r="N1734" t="n">
        <v>0.1277</v>
      </c>
      <c r="O1734" t="n">
        <v>0.1802</v>
      </c>
    </row>
    <row r="1735">
      <c r="A1735" t="inlineStr">
        <is>
          <t>retrofit</t>
        </is>
      </c>
      <c r="B1735" t="inlineStr">
        <is>
          <t>retrofit-adapters/rxjava/src/test/java/retrofit2/adapter/rxjava/ResultTest.java</t>
        </is>
      </c>
      <c r="C1735">
        <f>HYPERLINK("https://github.com/square/retrofit/blob/master/retrofit-adapters/rxjava/src/test/java/retrofit2/adapter/rxjava/ResultTest.java")</f>
        <v/>
      </c>
      <c r="D1735" t="inlineStr">
        <is>
          <t>The provided code defines a `Result` class within the Retrofit adapter package that encapsulates responses from network requests using RxJava. The class provides methods to create instances representing successful and failed responses, as well as assertions to verify their contents. It uses Google Truth for assertion checks and includes a test method to demonstrate its usage. The complexity of the implementation is O(1), indicating constant time operations regardless of</t>
        </is>
      </c>
      <c r="E1735" t="n">
        <v>0.0026</v>
      </c>
      <c r="F1735" t="n">
        <v>0.0256</v>
      </c>
      <c r="G1735" t="n">
        <v>0.1064</v>
      </c>
      <c r="H1735" t="inlineStr">
        <is>
          <t>This repository contains backend software components that implement core algorithms. The complexity of these implementations is O(N), indicating they scale linearly with input size. The comments provide detailed explanations of the implementation process. The commits include an initial codebase commit. The total code size is 1000 lines.</t>
        </is>
      </c>
      <c r="I1735" t="n">
        <v>0.0051</v>
      </c>
      <c r="J1735" t="n">
        <v>0.1429</v>
      </c>
      <c r="K1735" t="n">
        <v>0.1681</v>
      </c>
      <c r="L1735" t="inlineStr">
        <is>
          <t>The `Result` class provides utility methods for handling Retrofit responses, specifically focusing on converting successful HTTP responses into a `Result.Success` object while propagating exceptions as `Result.Error`. The `response()` method takes a `Response&lt;T&gt;` and returns a `Result&lt;T&gt;` instance representing success if the response status is OK, otherwise it throws an exception wrapped in a `Result.Error`.</t>
        </is>
      </c>
      <c r="M1735" t="n">
        <v>0.0034</v>
      </c>
      <c r="N1735" t="n">
        <v>0.0299</v>
      </c>
      <c r="O1735" t="n">
        <v>0.0397</v>
      </c>
    </row>
    <row r="1736">
      <c r="A1736" t="inlineStr">
        <is>
          <t>retrofit</t>
        </is>
      </c>
      <c r="B1736" t="inlineStr">
        <is>
          <t>retrofit-adapters/rxjava/src/test/java/retrofit2/adapter/rxjava/RxJavaPluginsResetRule.java</t>
        </is>
      </c>
      <c r="C1736">
        <f>HYPERLINK("https://github.com/square/retrofit/blob/master/retrofit-adapters/rxjava/src/test/java/retrofit2/adapter/rxjava/RxJavaPluginsResetRule.java")</f>
        <v/>
      </c>
      <c r="D1736" t="inlineStr">
        <is>
          <t>The provided Java code defines a `RxJavaPluginsResetRule` class that serves as a JUnit rule to reset RxJava's plugins before and after each test method. This ensures that any custom plugin configurations do not interfere with other tests running concurrently. The rule uses RxJava's `RxJavaPlugins.reset()` method to revert all plugin settings back to their default state.</t>
        </is>
      </c>
      <c r="E1736" t="n">
        <v>0.004</v>
      </c>
      <c r="F1736" t="n">
        <v>0.0303</v>
      </c>
      <c r="G1736" t="n">
        <v>0.1181</v>
      </c>
      <c r="H1736" t="inlineStr">
        <is>
          <t>This repository contains backend software components that implement core algorithms. The complexity of the implementation is O(N), indicating linear time complexity. The comments describe the implementation as focusing on core algorithms. The commits indicate that it was initially created. The total size of the codebase is 1000 lines.</t>
        </is>
      </c>
      <c r="I1736" t="n">
        <v>0.005</v>
      </c>
      <c r="J1736" t="n">
        <v>0.1404</v>
      </c>
      <c r="K1736" t="n">
        <v>0.1667</v>
      </c>
      <c r="L1736" t="inlineStr">
        <is>
          <t>This JUnit rule resets RxJava's global plugin settings before and after each test method, ensuring that tests run independently without interference from previous test cases. It helps prevent side effects between different test scenarios.</t>
        </is>
      </c>
      <c r="M1736" t="n">
        <v>0.0065</v>
      </c>
      <c r="N1736" t="n">
        <v>0.093</v>
      </c>
      <c r="O1736" t="n">
        <v>0.1887</v>
      </c>
    </row>
    <row r="1737">
      <c r="A1737" t="inlineStr">
        <is>
          <t>retrofit</t>
        </is>
      </c>
      <c r="B1737" t="inlineStr">
        <is>
          <t>retrofit-adapters/rxjava/src/test/java/retrofit2/adapter/rxjava/StringConverterFactory.java</t>
        </is>
      </c>
      <c r="C1737">
        <f>HYPERLINK("https://github.com/square/retrofit/blob/master/retrofit-adapters/rxjava/src/test/java/retrofit2/adapter/rxjava/StringConverterFactory.java")</f>
        <v/>
      </c>
      <c r="D1737" t="inlineStr">
        <is>
          <t>The `StringConverterFactory` is a Retrofit converter factory that provides a way to convert between `ResponseBody` objects and strings using the default UTF-8 encoding. It handles both successful responses and error responses by returning the response body as a string. The implementation uses Java's built-in `MediaType.TEXT_PLAIN` to specify the content type. This factory can be used when the API returns plain text data.</t>
        </is>
      </c>
      <c r="E1737" t="n">
        <v>0.0035</v>
      </c>
      <c r="F1737" t="n">
        <v>0.0267</v>
      </c>
      <c r="G1737" t="n">
        <v>0.1493</v>
      </c>
      <c r="H1737" t="inlineStr">
        <is>
          <t>This repository contains backend software components that implement core algorithms. The complexity of these implementations is O(N), indicating linear time complexity relative to the input size. The comments provide details about the implementation's purpose and structure. The commits indicate the initial creation of the codebase. The total code size is 1000 lines.</t>
        </is>
      </c>
      <c r="I1737" t="n">
        <v>0.005</v>
      </c>
      <c r="J1737" t="n">
        <v>0.1613</v>
      </c>
      <c r="K1737" t="n">
        <v>0.2016</v>
      </c>
      <c r="L1737" t="inlineStr">
        <is>
          <t>This Retrofit converter factory provides a `String` response body converter that handles responses with `MediaType.TEXT_PLAIN`. It uses Java's built-in string conversion capabilities to parse JSON responses into strings. The factory integrates seamlessly with Retrofit to enable handling of plain text data as strings in API requests and responses.</t>
        </is>
      </c>
      <c r="M1737" t="n">
        <v>0.0045</v>
      </c>
      <c r="N1737" t="n">
        <v>0.0667</v>
      </c>
      <c r="O1737" t="n">
        <v>0.125</v>
      </c>
    </row>
    <row r="1738">
      <c r="A1738" t="inlineStr">
        <is>
          <t>retrofit</t>
        </is>
      </c>
      <c r="B1738" t="inlineStr">
        <is>
          <t>retrofit-adapters/rxjava/src/test/java/retrofit2/adapter/rxjava/CancelDisposeTest.java</t>
        </is>
      </c>
      <c r="C1738">
        <f>HYPERLINK("https://github.com/square/retrofit/blob/master/retrofit-adapters/rxjava/src/test/java/retrofit2/adapter/rxjava/CancelDisposeTest.java")</f>
        <v/>
      </c>
      <c r="D1738" t="inlineStr">
        <is>
          <t>The provided code appears to be part of a Retrofit adapter for RxJava, which allows developers to make HTTP requests using RxJava Observables instead of traditional callbacks. The code includes test cases that verify the functionality of the adapter, such as checking if certain assertions are true or false based on expected outcomes.</t>
        </is>
      </c>
      <c r="E1738" t="n">
        <v>0.0035</v>
      </c>
      <c r="F1738" t="n">
        <v>0.0328</v>
      </c>
      <c r="G1738" t="n">
        <v>0.04</v>
      </c>
      <c r="H1738" t="inlineStr">
        <is>
          <t>The repository contains backend software components implementing core algorithms. The complexity is O(N), indicating linear time complexity for certain operations. Comments describe the implementation details, while commits track the initial creation of the codebase. The total size of the codebase is 1000 lines.</t>
        </is>
      </c>
      <c r="I1738" t="n">
        <v>0.0051</v>
      </c>
      <c r="J1738" t="n">
        <v>0.1154</v>
      </c>
      <c r="K1738" t="n">
        <v>0.1304</v>
      </c>
      <c r="L1738" t="inlineStr">
        <is>
          <t>This Java code snippet tests the `RxJavaCallAdapterFactory` class from Retrofit, which provides support for RxJava-based asynchronous HTTP requests. The test cases verify that the adapter correctly handles successful responses, error responses, and network failures using mock web server interactions.</t>
        </is>
      </c>
      <c r="M1738" t="n">
        <v>0.0056</v>
      </c>
      <c r="N1738" t="n">
        <v>0.0833</v>
      </c>
      <c r="O1738" t="n">
        <v>0.1351</v>
      </c>
    </row>
    <row r="1739">
      <c r="A1739" t="inlineStr">
        <is>
          <t>retrofit</t>
        </is>
      </c>
      <c r="B1739" t="inlineStr">
        <is>
          <t>retrofit-adapters/rxjava/src/test/java/retrofit2/adapter/rxjava/AsyncTest.java</t>
        </is>
      </c>
      <c r="C1739">
        <f>HYPERLINK("https://github.com/square/retrofit/blob/master/retrofit-adapters/rxjava/src/test/java/retrofit2/adapter/rxjava/AsyncTest.java")</f>
        <v/>
      </c>
      <c r="D1739" t="inlineStr">
        <is>
          <t>The provided code appears to be part of a Retrofit adapter for RxJava, which allows developers to make HTTP requests using RxJava observables. The code includes test cases that verify the functionality of the adapter, such as checking if certain conditions are met after making network requests. The complexity of the implementation is O(N), indicating it involves processing N elements or operations.</t>
        </is>
      </c>
      <c r="E1739" t="n">
        <v>0.0029</v>
      </c>
      <c r="F1739" t="n">
        <v>0.0282</v>
      </c>
      <c r="G1739" t="n">
        <v>0.0746</v>
      </c>
      <c r="H1739" t="inlineStr">
        <is>
          <t>The repository contains backend software components implementing core algorithms. The complexity is O(N), indicating linear time complexity, which means it scales proportionally with the input size.</t>
        </is>
      </c>
      <c r="I1739" t="n">
        <v>0.0086</v>
      </c>
      <c r="J1739" t="n">
        <v>0.1714</v>
      </c>
      <c r="K1739" t="n">
        <v>0.2608</v>
      </c>
      <c r="L1739" t="inlineStr">
        <is>
          <t>This Java code defines test cases using JUnit for Retrofit's RxJava adapter. It verifies that certain methods behave as expected when handling network requests, such as checking if responses are successful, retrying failed requests, and managing timeouts. The tests utilize mock web servers to simulate different scenarios and ensure robustness of the adapter implementation.</t>
        </is>
      </c>
      <c r="M1739" t="n">
        <v>0.004</v>
      </c>
      <c r="N1739" t="n">
        <v>0.0635</v>
      </c>
      <c r="O1739" t="n">
        <v>0.119</v>
      </c>
    </row>
    <row r="1740">
      <c r="A1740" t="inlineStr">
        <is>
          <t>retrofit</t>
        </is>
      </c>
      <c r="B1740" t="inlineStr">
        <is>
          <t>retrofit-adapters/rxjava/src/test/java/retrofit2/adapter/rxjava/ObservableTest.java</t>
        </is>
      </c>
      <c r="C1740">
        <f>HYPERLINK("https://github.com/square/retrofit/blob/master/retrofit-adapters/rxjava/src/test/java/retrofit2/adapter/rxjava/ObservableTest.java")</f>
        <v/>
      </c>
      <c r="D1740" t="inlineStr">
        <is>
          <t>The provided code appears to be part of a Retrofit adapter for RxJava, which allows developers to make HTTP requests using RxJava observables instead of traditional callback-based approaches. The code includes test cases that verify the functionality of the adapter using OkHttp's MockWebServer for simulating network responses.</t>
        </is>
      </c>
      <c r="E1740" t="n">
        <v>0.0039</v>
      </c>
      <c r="F1740" t="n">
        <v>0.0351</v>
      </c>
      <c r="G1740" t="n">
        <v>0.042</v>
      </c>
      <c r="H1740" t="inlineStr">
        <is>
          <t>The repository contains backend software components implementing core algorithms. The complexity is O(N), indicating linear time complexity. Comments describe the implementation as core algorithms. There have been initial commits to set up the codebase. The total size of the code is 1000 lines.</t>
        </is>
      </c>
      <c r="I1740" t="n">
        <v>0.0051</v>
      </c>
      <c r="J1740" t="n">
        <v>0.1154</v>
      </c>
      <c r="K1740" t="n">
        <v>0.1304</v>
      </c>
      <c r="L1740" t="inlineStr">
        <is>
          <t>The provided code is part of Retrofit's RxJava adapter, which integrates Retrofit with ReactiveX libraries to enable asynchronous HTTP requests using RxJava Observables. The code includes tests that verify the implementation of core algorithms within the adapter. It uses OkHttp MockWebServer for simulating network responses during testing. The code size is approximately 1000 lines, focusing on implementing and verifying the behavior of</t>
        </is>
      </c>
      <c r="M1740" t="n">
        <v>0.0035</v>
      </c>
      <c r="N1740" t="n">
        <v>0.08450000000000001</v>
      </c>
      <c r="O1740" t="n">
        <v>0.1493</v>
      </c>
    </row>
    <row r="1741">
      <c r="A1741" t="inlineStr">
        <is>
          <t>retrofit</t>
        </is>
      </c>
      <c r="B1741" t="inlineStr">
        <is>
          <t>retrofit-adapters/rxjava/src/test/java/retrofit2/adapter/rxjava/SingleThrowingTest.java</t>
        </is>
      </c>
      <c r="C1741">
        <f>HYPERLINK("https://github.com/square/retrofit/blob/master/retrofit-adapters/rxjava/src/test/java/retrofit2/adapter/rxjava/SingleThrowingTest.java")</f>
        <v/>
      </c>
      <c r="D1741" t="inlineStr">
        <is>
          <t>The provided code appears to be part of Retrofit's RxJava adapter implementation within the OkHttp library. It includes tests that verify the behavior of the adapter when handling HTTP responses using RxJava. The code uses Google Truth for assertions and OkHttp MockWebServer for simulating network requests. The complexity is O(N), indicating it involves processing N elements or operations.</t>
        </is>
      </c>
      <c r="E1741" t="n">
        <v>0.0031</v>
      </c>
      <c r="F1741" t="n">
        <v>0.0588</v>
      </c>
      <c r="G1741" t="n">
        <v>0.1154</v>
      </c>
      <c r="H1741" t="inlineStr">
        <is>
          <t>This repository contains backend software components that implement core algorithms. The complexity of these implementations is O(N), indicating they scale linearly with input size. The codebase includes comments explaining the implementation details and has been initialized with a single commit. The total size of the codebase is 1000 lines.</t>
        </is>
      </c>
      <c r="I1741" t="n">
        <v>0.0053</v>
      </c>
      <c r="J1741" t="n">
        <v>0.1724</v>
      </c>
      <c r="K1741" t="n">
        <v>0.2066</v>
      </c>
      <c r="L1741" t="inlineStr">
        <is>
          <t>The provided code is part of Retrofit's RxJava adapter, which integrates Retrofit with ReactiveX libraries to enable asynchronous HTTP requests using RxJava Observables. The code includes tests that verify the correctness of the adapter's implementation, specifically focusing on handling mock responses from `MockWebServer`.</t>
        </is>
      </c>
      <c r="M1741" t="n">
        <v>0</v>
      </c>
      <c r="N1741" t="n">
        <v>0.0377</v>
      </c>
      <c r="O1741" t="n">
        <v>0.0435</v>
      </c>
    </row>
    <row r="1742">
      <c r="A1742" t="inlineStr">
        <is>
          <t>retrofit</t>
        </is>
      </c>
      <c r="B1742" t="inlineStr">
        <is>
          <t>retrofit-adapters/rxjava/src/test/java/retrofit2/adapter/rxjava/RecordingSubscriber.java</t>
        </is>
      </c>
      <c r="C1742">
        <f>HYPERLINK("https://github.com/square/retrofit/blob/master/retrofit-adapters/rxjava/src/test/java/retrofit2/adapter/rxjava/RecordingSubscriber.java")</f>
        <v/>
      </c>
      <c r="D1742" t="inlineStr">
        <is>
          <t>The provided Java code defines a JUnit rule that tests the `RxJavaCallAdapterFactory` class from Retrofit's RxJava adapter package. The rule checks if the factory correctly handles various types of notifications emitted by an Observable returned by a Retrofit service method. It uses assertions from Google Truth to verify that the expected results match the actual outputs. The complexity of the implementation is O(N), where N represents the</t>
        </is>
      </c>
      <c r="E1742" t="n">
        <v>0</v>
      </c>
      <c r="F1742" t="n">
        <v>0.026</v>
      </c>
      <c r="G1742" t="n">
        <v>0.07190000000000001</v>
      </c>
      <c r="H1742" t="inlineStr">
        <is>
          <t>This repository contains backend software components implementing core algorithms. The complexity of these implementations varies depending on the specific algorithm being used.</t>
        </is>
      </c>
      <c r="I1742" t="n">
        <v>0.0114</v>
      </c>
      <c r="J1742" t="n">
        <v>0.2667</v>
      </c>
      <c r="K1742" t="n">
        <v>0.2128</v>
      </c>
      <c r="L1742" t="inlineStr">
        <is>
          <t>This Java code defines a test rule that captures and logs all `Notification` objects emitted by an RxJava Observable during a test run. It uses Google Truth assertions to verify the correctness of these notifications against expected values. The rule helps developers debug issues related to asynchronous data streams in their tests.</t>
        </is>
      </c>
      <c r="M1742" t="n">
        <v>0.0042</v>
      </c>
      <c r="N1742" t="n">
        <v>0.0667</v>
      </c>
      <c r="O1742" t="n">
        <v>0.121</v>
      </c>
    </row>
    <row r="1743">
      <c r="A1743" t="inlineStr">
        <is>
          <t>retrofit</t>
        </is>
      </c>
      <c r="B1743" t="inlineStr">
        <is>
          <t>retrofit-adapters/rxjava/src/test/java/retrofit2/adapter/rxjava/CompletableWithSchedulerTest.java</t>
        </is>
      </c>
      <c r="C1743">
        <f>HYPERLINK("https://github.com/square/retrofit/blob/master/retrofit-adapters/rxjava/src/test/java/retrofit2/adapter/rxjava/CompletableWithSchedulerTest.java")</f>
        <v/>
      </c>
      <c r="D1743" t="inlineStr">
        <is>
          <t>The provided code defines a test case for testing `Completable` operations using RxJava and OkHttp's MockWebServer. The test checks if a `Completable` operation completes successfully when it receives a successful HTTP response from a mock server. It uses a TestScheduler to simulate asynchronous behavior and verify that the completion event occurs as expected.</t>
        </is>
      </c>
      <c r="E1743" t="n">
        <v>0.0035</v>
      </c>
      <c r="F1743" t="n">
        <v>0.0323</v>
      </c>
      <c r="G1743" t="n">
        <v>0.08</v>
      </c>
      <c r="H1743" t="inlineStr">
        <is>
          <t>This repository contains backend software components that implement core algorithms using RxJava for asynchronous operations. The complexity is high due to the implementation of multiple algorithms, and it includes comments explaining each part of the code. The code size is large, indicating extensive development effort.</t>
        </is>
      </c>
      <c r="I1743" t="n">
        <v>0.0058</v>
      </c>
      <c r="J1743" t="n">
        <v>0.1887</v>
      </c>
      <c r="K1743" t="n">
        <v>0.2564</v>
      </c>
      <c r="L1743" t="inlineStr">
        <is>
          <t>This test suite verifies the correct handling of `Completable` responses using RxJava with Retrofit, ensuring that they execute asynchronously within specified time frames as defined by a TestScheduler. The setup includes mocking HTTP requests and testing the completion status of these completables.</t>
        </is>
      </c>
      <c r="M1743" t="n">
        <v>0.0052</v>
      </c>
      <c r="N1743" t="n">
        <v>0.08</v>
      </c>
      <c r="O1743" t="n">
        <v>0.1316</v>
      </c>
    </row>
    <row r="1744">
      <c r="A1744" t="inlineStr">
        <is>
          <t>retrofit</t>
        </is>
      </c>
      <c r="B1744" t="inlineStr">
        <is>
          <t>retrofit-adapters/rxjava/src/test/java/retrofit2/adapter/rxjava/SingleWithSchedulerTest.java</t>
        </is>
      </c>
      <c r="C1744">
        <f>HYPERLINK("https://github.com/square/retrofit/blob/master/retrofit-adapters/rxjava/src/test/java/retrofit2/adapter/rxjava/SingleWithSchedulerTest.java")</f>
        <v/>
      </c>
      <c r="D1744" t="inlineStr">
        <is>
          <t>The provided code defines a test case for Retrofit's RxJava adapter using OkHttp's MockWebServer. The test checks if a `Single` response from a mocked API endpoint can be observed correctly when scheduled on a TestScheduler. This ensures that asynchronous operations performed by Retrofit are properly handled within an RxJava environment.</t>
        </is>
      </c>
      <c r="E1744" t="n">
        <v>0.0037</v>
      </c>
      <c r="F1744" t="n">
        <v>0.0333</v>
      </c>
      <c r="G1744" t="n">
        <v>0.082</v>
      </c>
      <c r="H1744" t="inlineStr">
        <is>
          <t>This repository contains backend software components that implement core algorithms. The complexity of these implementations is O(N), indicating linear time complexity relative to the input size. The comments provide detailed explanations of each algorithm's implementation, while the commits document the initial creation of the codebase. The total code size is 1000 lines.</t>
        </is>
      </c>
      <c r="I1744" t="n">
        <v>0.0046</v>
      </c>
      <c r="J1744" t="n">
        <v>0.129</v>
      </c>
      <c r="K1744" t="n">
        <v>0.1613</v>
      </c>
      <c r="L1744" t="inlineStr">
        <is>
          <t>This test suite verifies the correct handling of `Single` responses from Retrofit using RxJava, ensuring that they execute on the specified scheduler. The tests mock HTTP requests using OkHttp's MockWebServer and check if the responses are processed correctly within the given scheduler context.</t>
        </is>
      </c>
      <c r="M1744" t="n">
        <v>0.0051</v>
      </c>
      <c r="N1744" t="n">
        <v>0.0769</v>
      </c>
      <c r="O1744" t="n">
        <v>0.1304</v>
      </c>
    </row>
    <row r="1745">
      <c r="A1745" t="inlineStr">
        <is>
          <t>retrofit</t>
        </is>
      </c>
      <c r="B1745" t="inlineStr">
        <is>
          <t>retrofit-adapters/rxjava/src/test/java/retrofit2/adapter/rxjava/CompletableTest.java</t>
        </is>
      </c>
      <c r="C1745">
        <f>HYPERLINK("https://github.com/square/retrofit/blob/master/retrofit-adapters/rxjava/src/test/java/retrofit2/adapter/rxjava/CompletableTest.java")</f>
        <v/>
      </c>
      <c r="D1745" t="inlineStr">
        <is>
          <t>The provided Java code defines a test class `RxJavaCallAdapterFactoryTest` that uses Retrofit's RxJava adapter to make HTTP requests asynchronously. It sets up a mock web server using OkHttp MockWebServer to simulate network responses. The tests verify the behavior of the `RxJavaCallAdapterFactory`, which integrates Retrofit with RxJava to handle asynchronous operations more easily.</t>
        </is>
      </c>
      <c r="E1745" t="n">
        <v>0</v>
      </c>
      <c r="F1745" t="n">
        <v>0</v>
      </c>
      <c r="G1745" t="n">
        <v>0.0403</v>
      </c>
      <c r="H1745" t="inlineStr">
        <is>
          <t>This repository contains backend software components that implement core algorithms. The complexity of these implementations is O(N), indicating linear time complexity relative to the size of the input data.</t>
        </is>
      </c>
      <c r="I1745" t="n">
        <v>0.008500000000000001</v>
      </c>
      <c r="J1745" t="n">
        <v>0.2105</v>
      </c>
      <c r="K1745" t="n">
        <v>0.198</v>
      </c>
      <c r="L1745" t="inlineStr">
        <is>
          <t>This Java code snippet from Retrofit's RxJava adapter tests the `@GET` annotation using OkHttp's MockWebServer. It sets up a mock server that responds to GET requests with predefined responses, allowing developers to test network calls without making actual HTTP requests. The tests verify that the adapter correctly handles successful and unsuccessful API responses.</t>
        </is>
      </c>
      <c r="M1745" t="n">
        <v>0.0041</v>
      </c>
      <c r="N1745" t="n">
        <v>0.0635</v>
      </c>
      <c r="O1745" t="n">
        <v>0.12</v>
      </c>
    </row>
    <row r="1746">
      <c r="A1746" t="inlineStr">
        <is>
          <t>retrofit</t>
        </is>
      </c>
      <c r="B1746" t="inlineStr">
        <is>
          <t>retrofit-adapters/rxjava/src/test/java/retrofit2/adapter/rxjava/CompletableThrowingTest.java</t>
        </is>
      </c>
      <c r="C1746">
        <f>HYPERLINK("https://github.com/square/retrofit/blob/master/retrofit-adapters/rxjava/src/test/java/retrofit2/adapter/rxjava/CompletableThrowingTest.java")</f>
        <v/>
      </c>
      <c r="D1746" t="inlineStr">
        <is>
          <t>The provided code is part of Retrofit's RxJava adapter, which allows developers to use RxJava Observables as return types for network requests made using Retrofit. The code includes tests that verify the behavior of the adapter when making HTTP GET requests to a mock server. It uses Google Truth for assertions and OkHttp MockWebServer for simulating HTTP responses. The complexity of the implementation is O(N), where</t>
        </is>
      </c>
      <c r="E1746" t="n">
        <v>0.0028</v>
      </c>
      <c r="F1746" t="n">
        <v>0.0263</v>
      </c>
      <c r="G1746" t="n">
        <v>0.1087</v>
      </c>
      <c r="H1746" t="inlineStr">
        <is>
          <t>This repository contains backend software components that implement core algorithms using Java and RxJava. The complexity of the implementation is O(N), indicating it scales linearly with input size. The README provides details about the copyright notice, license information, package structure, test setup, and basic usage examples.</t>
        </is>
      </c>
      <c r="I1746" t="n">
        <v>0.0057</v>
      </c>
      <c r="J1746" t="n">
        <v>0.1818</v>
      </c>
      <c r="K1746" t="n">
        <v>0.2542</v>
      </c>
      <c r="L1746" t="inlineStr">
        <is>
          <t>This code provides a Retrofit adapter for RxJava that allows making HTTP requests using RxJava Observables. It includes test cases to verify the implementation of core algorithms. The code complexity is O(N), and existing comments indicate its role as part of the backend software components.</t>
        </is>
      </c>
      <c r="M1746" t="n">
        <v>0.0058</v>
      </c>
      <c r="N1746" t="n">
        <v>0.1481</v>
      </c>
      <c r="O1746" t="n">
        <v>0.2564</v>
      </c>
    </row>
    <row r="1747">
      <c r="A1747" t="inlineStr">
        <is>
          <t>retrofit</t>
        </is>
      </c>
      <c r="B1747" t="inlineStr">
        <is>
          <t>retrofit-adapters/rxjava/src/test/java/retrofit2/adapter/rxjava/ForwardingSubscriber.java</t>
        </is>
      </c>
      <c r="C1747">
        <f>HYPERLINK("https://github.com/square/retrofit/blob/master/retrofit-adapters/rxjava/src/test/java/retrofit2/adapter/rxjava/ForwardingSubscriber.java")</f>
        <v/>
      </c>
      <c r="D1747" t="inlineStr">
        <is>
          <t>The provided code defines an abstract class `ForwardingSubscriber` that serves as a base for implementing custom subscribers in RxJava. It forwards events from one subscriber (`delegate`) to another while maintaining compatibility with the standard `Subscriber` interface. The class includes methods to handle incoming data (`onNext`), completion signals (`onCompleted`), and error handling (`onError`). This design allows developers to easily</t>
        </is>
      </c>
      <c r="E1747" t="n">
        <v>0.0037</v>
      </c>
      <c r="F1747" t="n">
        <v>0.0606</v>
      </c>
      <c r="G1747" t="n">
        <v>0.1154</v>
      </c>
      <c r="H1747" t="inlineStr">
        <is>
          <t>Implements core algorithms for backend software components. Complexity is O(N).</t>
        </is>
      </c>
      <c r="I1747" t="n">
        <v>0.0251</v>
      </c>
      <c r="J1747" t="n">
        <v>0.2105</v>
      </c>
      <c r="K1747" t="n">
        <v>0.3117</v>
      </c>
      <c r="L1747" t="inlineStr">
        <is>
          <t>This abstract class `ForwardingSubscriber` serves as a base implementation for RxJava subscribers that forwards events from one subscriber (`delegate`) to another. It provides default implementations for `onNext`, `onError`, and `onComplete`, ensuring that any downstream subscriber can be easily integrated into existing RxJava chains without needing to implement these methods themselves. The class is designed to facilitate easy extension and customization of</t>
        </is>
      </c>
      <c r="M1747" t="n">
        <v>0.0036</v>
      </c>
      <c r="N1747" t="n">
        <v>0.08699999999999999</v>
      </c>
      <c r="O1747" t="n">
        <v>0.1128</v>
      </c>
    </row>
    <row r="1748">
      <c r="A1748" t="inlineStr">
        <is>
          <t>retrofit</t>
        </is>
      </c>
      <c r="B1748" t="inlineStr">
        <is>
          <t>retrofit-adapters/rxjava/src/test/java/retrofit2/adapter/rxjava/ObservableWithSchedulerTest.java</t>
        </is>
      </c>
      <c r="C1748">
        <f>HYPERLINK("https://github.com/square/retrofit/blob/master/retrofit-adapters/rxjava/src/test/java/retrofit2/adapter/rxjava/ObservableWithSchedulerTest.java")</f>
        <v/>
      </c>
      <c r="D1748" t="inlineStr">
        <is>
          <t>The provided Java code defines a test suite for Retrofit's RxJava adapter using OkHttp MockWebServer. The tests verify that the `Observable` returned by a Retrofit service method can be subscribed to and processed asynchronously using a TestScheduler. This setup allows developers to simulate network requests and observe the behavior of asynchronous data streams in their applications.</t>
        </is>
      </c>
      <c r="E1748" t="n">
        <v>0.0039</v>
      </c>
      <c r="F1748" t="n">
        <v>0.0615</v>
      </c>
      <c r="G1748" t="n">
        <v>0.1172</v>
      </c>
      <c r="H1748" t="inlineStr">
        <is>
          <t>The repository contains backend software components that implement core algorithms. The complexity is O(N), indicating linear time complexity. The implementation includes comments explaining the purpose of each part of the code. There have been multiple commits since the initial codebase was created. The total size of the codebase is 1000 lines.</t>
        </is>
      </c>
      <c r="I1748" t="n">
        <v>0.0043</v>
      </c>
      <c r="J1748" t="n">
        <v>0.1</v>
      </c>
      <c r="K1748" t="n">
        <v>0.1626</v>
      </c>
      <c r="L1748" t="inlineStr">
        <is>
          <t>This test suite verifies that Retrofit's RxJava adapter correctly handles responses from mock web servers using different schedulers. It uses `MockWebServer` to simulate HTTP requests and tests various scenarios involving asynchronous data retrieval and scheduling. The tests ensure proper handling of response emissions across multiple threads.</t>
        </is>
      </c>
      <c r="M1748" t="n">
        <v>0.0048</v>
      </c>
      <c r="N1748" t="n">
        <v>0.0727</v>
      </c>
      <c r="O1748" t="n">
        <v>0.1271</v>
      </c>
    </row>
    <row r="1749">
      <c r="A1749" t="inlineStr">
        <is>
          <t>retrofit</t>
        </is>
      </c>
      <c r="B1749" t="inlineStr">
        <is>
          <t>retrofit-adapters/rxjava/src/test/java/retrofit2/adapter/rxjava/ObservableThrowingTest.java</t>
        </is>
      </c>
      <c r="C1749">
        <f>HYPERLINK("https://github.com/square/retrofit/blob/master/retrofit-adapters/rxjava/src/test/java/retrofit2/adapter/rxjava/ObservableThrowingTest.java")</f>
        <v/>
      </c>
      <c r="D1749" t="inlineStr">
        <is>
          <t>The provided Java code snippet appears to be part of a Retrofit adapter for RxJava, which is used to integrate Retrofit with reactive programming libraries like RxJava. The code includes tests that verify the behavior of the adapter using OkHttp's MockWebServer for simulating HTTP requests. It uses Google Truth for assertions and checks if the responses from the mock server match expected outcomes. The complexity of the implementation is</t>
        </is>
      </c>
      <c r="E1749" t="n">
        <v>0.0026</v>
      </c>
      <c r="F1749" t="n">
        <v>0.0256</v>
      </c>
      <c r="G1749" t="n">
        <v>0.1064</v>
      </c>
      <c r="H1749" t="inlineStr">
        <is>
          <t>This repository contains backend software components implementing core algorithms. The complexity is O(N), indicating linear time complexity. The comments describe the implementation of these algorithms. There have been multiple commits since the initial codebase creation. The total size of the codebase is 1000 lines.</t>
        </is>
      </c>
      <c r="I1749" t="n">
        <v>0.0055</v>
      </c>
      <c r="J1749" t="n">
        <v>0.1509</v>
      </c>
      <c r="K1749" t="n">
        <v>0.1724</v>
      </c>
      <c r="L1749" t="inlineStr">
        <is>
          <t>The code provides a test suite using JUnit for Retrofit's RxJava adapter. It includes tests that verify the correct handling of responses from mock web servers, ensuring that errors are propagated correctly through the Observable chain. The tests utilize `MockWebServer` to simulate network requests and responses, and they assert expected outcomes based on these interactions.</t>
        </is>
      </c>
      <c r="M1749" t="n">
        <v>0.0033</v>
      </c>
      <c r="N1749" t="n">
        <v>0.0312</v>
      </c>
      <c r="O1749" t="n">
        <v>0.07870000000000001</v>
      </c>
    </row>
    <row r="1750">
      <c r="A1750" t="inlineStr">
        <is>
          <t>retrofit</t>
        </is>
      </c>
      <c r="B1750" t="inlineStr">
        <is>
          <t>retrofit-adapters/rxjava/src/test/java/retrofit2/adapter/rxjava/CompletableThrowingSafeSubscriberTest.java</t>
        </is>
      </c>
      <c r="C1750">
        <f>HYPERLINK("https://github.com/square/retrofit/blob/master/retrofit-adapters/rxjava/src/test/java/retrofit2/adapter/rxjava/CompletableThrowingSafeSubscriberTest.java")</f>
        <v/>
      </c>
      <c r="D1750" t="inlineStr">
        <is>
          <t>The provided code appears to be part of a Retrofit adapter for RxJava, which allows developers to make HTTP requests using Retrofit and receive responses as reactive streams. The code includes test cases that verify the functionality of the adapter using Google Truth and OkHttp MockWebServer. The complexity level is O(N), indicating linear time complexity, and the implementation focuses on core algorithms related to network communication and data processing.</t>
        </is>
      </c>
      <c r="E1750" t="n">
        <v>0.0035</v>
      </c>
      <c r="F1750" t="n">
        <v>0.0769</v>
      </c>
      <c r="G1750" t="n">
        <v>0.1418</v>
      </c>
      <c r="H1750" t="inlineStr">
        <is>
          <t>The repository contains backend software components that implement core algorithms. The complexity is O(N), indicating linear time complexity. The comments describe the implementation of these algorithms. There have been initial commits to set up the codebase. The total size of the code is 1000 lines.</t>
        </is>
      </c>
      <c r="I1750" t="n">
        <v>0.0049</v>
      </c>
      <c r="J1750" t="n">
        <v>0.1111</v>
      </c>
      <c r="K1750" t="n">
        <v>0.1282</v>
      </c>
      <c r="L1750" t="inlineStr">
        <is>
          <t>This code implements Retrofit adapter for RxJava, providing methods to make HTTP requests using RxJava Observables. It includes tests for verifying request responses. The implementation complexity is O(N), where N represents the number of test cases.</t>
        </is>
      </c>
      <c r="M1750" t="n">
        <v>0.0061</v>
      </c>
      <c r="N1750" t="n">
        <v>0.08890000000000001</v>
      </c>
      <c r="O1750" t="n">
        <v>0.1389</v>
      </c>
    </row>
    <row r="1751">
      <c r="A1751" t="inlineStr">
        <is>
          <t>retrofit</t>
        </is>
      </c>
      <c r="B1751" t="inlineStr">
        <is>
          <t>retrofit-adapters/rxjava/src/test/java/retrofit2/adapter/rxjava/ObservableThrowingSafeSubscriberTest.java</t>
        </is>
      </c>
      <c r="C1751">
        <f>HYPERLINK("https://github.com/square/retrofit/blob/master/retrofit-adapters/rxjava/src/test/java/retrofit2/adapter/rxjava/ObservableThrowingSafeSubscriberTest.java")</f>
        <v/>
      </c>
      <c r="D1751" t="inlineStr">
        <is>
          <t>The provided Java code snippet is part of a Retrofit adapter for RxJava, which is used to integrate Retrofit's HTTP client with reactive programming libraries like RxJava. The code includes tests that verify the behavior of the adapter when making network requests using MockWebServer. It uses Google Truth for assertions and checks if the responses from the server match expected values. The complexity of the implementation is O(N), where</t>
        </is>
      </c>
      <c r="E1751" t="n">
        <v>0.0026</v>
      </c>
      <c r="F1751" t="n">
        <v>0.0253</v>
      </c>
      <c r="G1751" t="n">
        <v>0.1064</v>
      </c>
      <c r="H1751" t="inlineStr">
        <is>
          <t>This repository contains backend software components implementing core algorithms. The complexity of the implementation is O(N), indicating that it scales linearly with input size. The comments provide details about the algorithm's purpose and structure. The commits indicate the initial creation of the codebase. The total code size is 1000 lines.</t>
        </is>
      </c>
      <c r="I1751" t="n">
        <v>0.0052</v>
      </c>
      <c r="J1751" t="n">
        <v>0.1667</v>
      </c>
      <c r="K1751" t="n">
        <v>0.2049</v>
      </c>
      <c r="L1751" t="inlineStr">
        <is>
          <t>The provided code is part of Retrofit's RxJava adapter, which integrates Retrofit with Reactive Extensions (RxJava). It includes tests that verify the correctness of the adapter using OkHttp MockWebServer for simulating network requests. The code uses Google Truth assertions to compare expected responses with actual responses from the mock server.</t>
        </is>
      </c>
      <c r="M1751" t="n">
        <v>0</v>
      </c>
      <c r="N1751" t="n">
        <v>0</v>
      </c>
      <c r="O1751" t="n">
        <v>0.041</v>
      </c>
    </row>
    <row r="1752">
      <c r="A1752" t="inlineStr">
        <is>
          <t>retrofit</t>
        </is>
      </c>
      <c r="B1752" t="inlineStr">
        <is>
          <t>retrofit-adapters/rxjava3/src/main/java/retrofit2/adapter/rxjava3/BodyObservable.java</t>
        </is>
      </c>
      <c r="C1752">
        <f>HYPERLINK("https://github.com/square/retrofit/blob/master/retrofit-adapters/rxjava3/src/main/java/retrofit2/adapter/rxjava3/BodyObservable.java")</f>
        <v/>
      </c>
      <c r="D1752" t="inlineStr">
        <is>
          <t>The provided code defines a `BodyObservable` class that extends `Observable&lt;Response&lt;T&gt;&gt;`. It appears to be part of a Retrofit adapter for RxJava 3, designed to handle responses from network requests. The class likely includes methods to subscribe to HTTP responses, map them to Observables, and manage exceptions using RxJava's error handling mechanisms. The comments indicate it implements core algorithms related to network request</t>
        </is>
      </c>
      <c r="E1752" t="n">
        <v>0.0069</v>
      </c>
      <c r="F1752" t="n">
        <v>0.0548</v>
      </c>
      <c r="G1752" t="n">
        <v>0.2355</v>
      </c>
      <c r="H1752" t="inlineStr">
        <is>
          <t>The repository contains backend software components that implement core algorithms. The complexity of these implementations is O(N), indicating they scale linearly with input size. The codebase includes comments explaining the implementation details and commits tracking the initial creation of the codebase.</t>
        </is>
      </c>
      <c r="I1752" t="n">
        <v>0.0059</v>
      </c>
      <c r="J1752" t="n">
        <v>0.16</v>
      </c>
      <c r="K1752" t="n">
        <v>0.177</v>
      </c>
      <c r="L1752" t="inlineStr">
        <is>
          <t>This code defines a `BodyObservable` class that extends `Observable&lt;Response&lt;T&gt;&gt;`. It provides methods to handle responses from Retrofit requests using RxJava 3. The class includes error handling and composite exception management, ensuring robustness in asynchronous data processing.</t>
        </is>
      </c>
      <c r="M1752" t="n">
        <v>0.0061</v>
      </c>
      <c r="N1752" t="n">
        <v>0.08699999999999999</v>
      </c>
      <c r="O1752" t="n">
        <v>0.1389</v>
      </c>
    </row>
    <row r="1753">
      <c r="A1753" t="inlineStr">
        <is>
          <t>retrofit</t>
        </is>
      </c>
      <c r="B1753" t="inlineStr">
        <is>
          <t>retrofit-adapters/rxjava3/src/main/java/retrofit2/adapter/rxjava3/HttpException.java</t>
        </is>
      </c>
      <c r="C1753">
        <f>HYPERLINK("https://github.com/square/retrofit/blob/master/retrofit-adapters/rxjava3/src/main/java/retrofit2/adapter/rxjava3/HttpException.java")</f>
        <v/>
      </c>
      <c r="D1753" t="inlineStr">
        <is>
          <t>The provided code defines a deprecated `HttpException` class that extends `retrofit2.HttpException`. This class is intended to be used as a replacement for `retrofit2.HttpException`, but it has been marked as deprecated. The constructor takes a `Response&lt;?&gt;` object as input and passes it to the superclass constructor.</t>
        </is>
      </c>
      <c r="E1753" t="n">
        <v>0.0049</v>
      </c>
      <c r="F1753" t="n">
        <v>0.0727</v>
      </c>
      <c r="G1753" t="n">
        <v>0.1282</v>
      </c>
      <c r="H1753" t="inlineStr">
        <is>
          <t>This repository contains backend software components that implement core algorithms. The complexity is O(N), indicating linear time complexity, which means the performance increases proportionally with the size of the input data.</t>
        </is>
      </c>
      <c r="I1753" t="n">
        <v>0.007900000000000001</v>
      </c>
      <c r="J1753" t="n">
        <v>0.2</v>
      </c>
      <c r="K1753" t="n">
        <v>0.3064</v>
      </c>
      <c r="L1753" t="inlineStr">
        <is>
          <t>This code defines a deprecated `HttpException` class that extends `retrofit2.HttpException`. It provides a simple constructor that takes a `Response` object as input and passes it to the superclass constructor. The class is marked as deprecated, indicating that users should switch to using `HttpException` from Retrofit's built-in library instead.</t>
        </is>
      </c>
      <c r="M1753" t="n">
        <v>0.0045</v>
      </c>
      <c r="N1753" t="n">
        <v>0.0678</v>
      </c>
      <c r="O1753" t="n">
        <v>0.125</v>
      </c>
    </row>
    <row r="1754">
      <c r="A1754" t="inlineStr">
        <is>
          <t>retrofit</t>
        </is>
      </c>
      <c r="B1754" t="inlineStr">
        <is>
          <t>retrofit-adapters/rxjava3/src/main/java/retrofit2/adapter/rxjava3/RxJava3CallAdapterFactory.java</t>
        </is>
      </c>
      <c r="C1754">
        <f>HYPERLINK("https://github.com/square/retrofit/blob/master/retrofit-adapters/rxjava3/src/main/java/retrofit2/adapter/rxjava3/RxJava3CallAdapterFactory.java")</f>
        <v/>
      </c>
      <c r="D1754" t="inlineStr">
        <is>
          <t>The provided Java code defines a package `retrofit2.adapter.rxjava3` that includes adapters for converting Retrofit HTTP responses into reactive streams using RxJava 3. The class implements methods to convert various types of Retrofit response objects (`Completable`, `Flowable`, `Maybe`, `Observable`, `Single`) into corresponding RxJava 3 stream types based on annotations applied to the method parameters.</t>
        </is>
      </c>
      <c r="E1754" t="n">
        <v>0.0035</v>
      </c>
      <c r="F1754" t="n">
        <v>0.0317</v>
      </c>
      <c r="G1754" t="n">
        <v>0.08</v>
      </c>
      <c r="H1754" t="inlineStr">
        <is>
          <t>This repository contains backend software components implementing core algorithms. The complexity of these implementations is O(N), indicating linear time complexity relative to the size of the input data.</t>
        </is>
      </c>
      <c r="I1754" t="n">
        <v>0.008800000000000001</v>
      </c>
      <c r="J1754" t="n">
        <v>0.2162</v>
      </c>
      <c r="K1754" t="n">
        <v>0.2</v>
      </c>
      <c r="L1754" t="inlineStr">
        <is>
          <t>This Java library provides RxJava 3 adapters for Retrofit 2, allowing developers to convert HTTP responses into reactive streams such as Observables, Singles, Completables, Flowables, and Maybe. The library supports various types of network requests and handles exceptions gracefully using RxJava's error handling mechanisms. It integrates seamlessly with existing Retrofit implementations to enhance their asynchronous capabilities.</t>
        </is>
      </c>
      <c r="M1754" t="n">
        <v>0.0039</v>
      </c>
      <c r="N1754" t="n">
        <v>0.0615</v>
      </c>
      <c r="O1754" t="n">
        <v>0.1563</v>
      </c>
    </row>
    <row r="1755">
      <c r="A1755" t="inlineStr">
        <is>
          <t>retrofit</t>
        </is>
      </c>
      <c r="B1755" t="inlineStr">
        <is>
          <t>retrofit-adapters/rxjava3/src/main/java/retrofit2/adapter/rxjava3/package-info.java</t>
        </is>
      </c>
      <c r="C1755">
        <f>HYPERLINK("https://github.com/square/retrofit/blob/master/retrofit-adapters/rxjava3/src/main/java/retrofit2/adapter/rxjava3/package-info.java")</f>
        <v/>
      </c>
      <c r="D1755" t="inlineStr">
        <is>
          <t>The provided code is part of a Retrofit adapter for RxJava 3 in Java. It includes annotations to indicate that all fields are non-null, which helps with static analysis tools like Lombok or IntelliJ IDEA. The package `retrofit2.adapter.rxjava3` likely handles the conversion between Retrofit requests and RxJava Observables, allowing developers to use Retrofit's HTTP client capabilities alongside reactive programming patterns</t>
        </is>
      </c>
      <c r="E1755" t="n">
        <v>0.003</v>
      </c>
      <c r="F1755" t="n">
        <v>0.0278</v>
      </c>
      <c r="G1755" t="n">
        <v>0.07580000000000001</v>
      </c>
      <c r="H1755" t="inlineStr">
        <is>
          <t>Implements core algorithms for backend software components using Retrofit 2 with RxJava 3 annotations. Complexity is O(N).</t>
        </is>
      </c>
      <c r="I1755" t="n">
        <v>0.0137</v>
      </c>
      <c r="J1755" t="n">
        <v>0.1538</v>
      </c>
      <c r="K1755" t="n">
        <v>0.3546</v>
      </c>
      <c r="L1755" t="inlineStr">
        <is>
          <t>The provided code is part of Retrofit's RxJava3 adapter package, which integrates Retrofit with RxJava for asynchronous HTTP requests. It ensures that all method parameters and return values are non-null, enhancing type safety and reducing runtime errors. The code handles the conversion between Retrofit service methods and RxJava Observables, allowing developers to use Retrofit services seamlessly within reactive programming environments.</t>
        </is>
      </c>
      <c r="M1755" t="n">
        <v>0.003</v>
      </c>
      <c r="N1755" t="n">
        <v>0.0286</v>
      </c>
      <c r="O1755" t="n">
        <v>0.07580000000000001</v>
      </c>
    </row>
    <row r="1756">
      <c r="A1756" t="inlineStr">
        <is>
          <t>retrofit</t>
        </is>
      </c>
      <c r="B1756" t="inlineStr">
        <is>
          <t>retrofit-adapters/rxjava3/src/main/java/retrofit2/adapter/rxjava3/CallEnqueueObservable.java</t>
        </is>
      </c>
      <c r="C1756">
        <f>HYPERLINK("https://github.com/square/retrofit/blob/master/retrofit-adapters/rxjava3/src/main/java/retrofit2/adapter/rxjava3/CallEnqueueObservable.java")</f>
        <v/>
      </c>
      <c r="D1756" t="inlineStr">
        <is>
          <t>The provided code appears to be part of Retrofit's RxJava3 adapter, which integrates Retrofit with RxJava3 for handling asynchronous HTTP requests. The class likely implements methods to convert `Call` objects from Retrofit into `Observable` instances that can be subscribed to using RxJava3 operators. This allows developers to easily integrate Retrofit with reactive programming paradigms in their applications.</t>
        </is>
      </c>
      <c r="E1756" t="n">
        <v>0.0038</v>
      </c>
      <c r="F1756" t="n">
        <v>0.0303</v>
      </c>
      <c r="G1756" t="n">
        <v>0.1163</v>
      </c>
      <c r="H1756" t="inlineStr">
        <is>
          <t>The repository contains backend software components that implement core algorithms. The complexity is O(N), indicating linear time complexity. The implementation includes classes such as `Observable` and `Observer`, which handle asynchronous data streams using RxJava 3. The code size is 1000 lines, suggesting it covers multiple functionalities within the backend system.</t>
        </is>
      </c>
      <c r="I1756" t="n">
        <v>0.0048</v>
      </c>
      <c r="J1756" t="n">
        <v>0.1356</v>
      </c>
      <c r="K1756" t="n">
        <v>0.2049</v>
      </c>
      <c r="L1756" t="inlineStr">
        <is>
          <t>This code provides an adapter that converts Retrofit `Call` objects into RxJava 3 `Observable` instances, allowing developers to work with network requests as reactive streams. It handles both synchronous and asynchronous responses and supports error handling through RxJava's exception management mechanisms. The implementation includes methods for subscribing to calls and managing disposables, ensuring robustness and flexibility in integrating network interactions with reactive programming patterns.</t>
        </is>
      </c>
      <c r="M1756" t="n">
        <v>0.0034</v>
      </c>
      <c r="N1756" t="n">
        <v>0.0822</v>
      </c>
      <c r="O1756" t="n">
        <v>0.1471</v>
      </c>
    </row>
    <row r="1757">
      <c r="A1757" t="inlineStr">
        <is>
          <t>retrofit</t>
        </is>
      </c>
      <c r="B1757" t="inlineStr">
        <is>
          <t>retrofit-adapters/rxjava3/src/main/java/retrofit2/adapter/rxjava3/CallExecuteObservable.java</t>
        </is>
      </c>
      <c r="C1757">
        <f>HYPERLINK("https://github.com/square/retrofit/blob/master/retrofit-adapters/rxjava3/src/main/java/retrofit2/adapter/rxjava3/CallExecuteObservable.java")</f>
        <v/>
      </c>
      <c r="D1757" t="inlineStr">
        <is>
          <t>The provided code defines a Retrofit adapter that converts `Call` objects into RxJava 3 Observables. It includes methods to handle HTTP responses from calls, manage subscriptions, and propagate exceptions through the Observable chain. The implementation uses RxJava's Observer pattern and integrates seamlessly with Retrofit's call handling mechanism.</t>
        </is>
      </c>
      <c r="E1757" t="n">
        <v>0.0039</v>
      </c>
      <c r="F1757" t="n">
        <v>0.0702</v>
      </c>
      <c r="G1757" t="n">
        <v>0.1261</v>
      </c>
      <c r="H1757" t="inlineStr">
        <is>
          <t>This repository contains backend software components implementing core algorithms. The complexity is O(N), indicating linear time complexity for certain operations.</t>
        </is>
      </c>
      <c r="I1757" t="n">
        <v>0.0127</v>
      </c>
      <c r="J1757" t="n">
        <v>0.2759</v>
      </c>
      <c r="K1757" t="n">
        <v>0.3431</v>
      </c>
      <c r="L1757" t="inlineStr">
        <is>
          <t>This class implements RxJava 3 support for Retrofit 2 calls, allowing developers to subscribe to network responses as Observables. It handles exceptions using `RxJavaPlugins` and provides methods to map response bodies to Observables. The implementation includes error handling and composite exception management.</t>
        </is>
      </c>
      <c r="M1757" t="n">
        <v>0.0058</v>
      </c>
      <c r="N1757" t="n">
        <v>0.12</v>
      </c>
      <c r="O1757" t="n">
        <v>0.1754</v>
      </c>
    </row>
    <row r="1758">
      <c r="A1758" t="inlineStr">
        <is>
          <t>retrofit</t>
        </is>
      </c>
      <c r="B1758" t="inlineStr">
        <is>
          <t>retrofit-adapters/rxjava3/src/main/java/retrofit2/adapter/rxjava3/ResultObservable.java</t>
        </is>
      </c>
      <c r="C1758">
        <f>HYPERLINK("https://github.com/square/retrofit/blob/master/retrofit-adapters/rxjava3/src/main/java/retrofit2/adapter/rxjava3/ResultObservable.java")</f>
        <v/>
      </c>
      <c r="D1758" t="inlineStr">
        <is>
          <t>The provided code defines a `ResultObservable` class within the Retrofit library's RxJava3 adapter package. This class extends `Observable&lt;Response&lt;T&gt;&gt;`, where `T` represents the type of data being processed. The purpose of this class is to handle responses from network requests using RxJava3, providing additional error handling and logging capabilities compared to standard Retrofit Observables.
Key functionalities include:
1. **</t>
        </is>
      </c>
      <c r="E1758" t="n">
        <v>0.0037</v>
      </c>
      <c r="F1758" t="n">
        <v>0.0588</v>
      </c>
      <c r="G1758" t="n">
        <v>0.1154</v>
      </c>
      <c r="H1758" t="inlineStr">
        <is>
          <t>The provided code implements a final class `ResultObservable` within the `retrofit2.adapter.rxjava3` package. It extends `Observable&lt;Response&lt;T&gt;&gt;`, where `T` represents the type of data being observed. The class provides methods to handle responses from network requests using RxJava 3. The implementation includes handling exceptions, composite exception management, and integration with Retrofit's response objects. The</t>
        </is>
      </c>
      <c r="I1758" t="n">
        <v>0.0042</v>
      </c>
      <c r="J1758" t="n">
        <v>0.0615</v>
      </c>
      <c r="K1758" t="n">
        <v>0.121</v>
      </c>
      <c r="L1758" t="inlineStr">
        <is>
          <t>The `ResultObservable` class in Retrofit's RxJava3 adapter handles converting Retrofit responses into Observables that emit `Response&lt;T&gt;` objects. It provides methods to map successful responses to success events and handle errors appropriately using RxJava's error handling mechanisms. The class uses RxJava's Observer pattern to manage subscriptions and disposes them when necessary.</t>
        </is>
      </c>
      <c r="M1758" t="n">
        <v>0.0037</v>
      </c>
      <c r="N1758" t="n">
        <v>0.0323</v>
      </c>
      <c r="O1758" t="n">
        <v>0.082</v>
      </c>
    </row>
    <row r="1759">
      <c r="A1759" t="inlineStr">
        <is>
          <t>retrofit</t>
        </is>
      </c>
      <c r="B1759" t="inlineStr">
        <is>
          <t>retrofit-adapters/rxjava3/src/main/java/retrofit2/adapter/rxjava3/RxJava3CallAdapter.java</t>
        </is>
      </c>
      <c r="C1759">
        <f>HYPERLINK("https://github.com/square/retrofit/blob/master/retrofit-adapters/rxjava3/src/main/java/retrofit2/adapter/rxjava3/RxJava3CallAdapter.java")</f>
        <v/>
      </c>
      <c r="D1759" t="inlineStr">
        <is>
          <t>The provided code defines a `RxJava3CallAdapterFactory` class within the Retrofit library, which adapts Retrofit's call objects into reactive streams using RxJava 3. This adapter allows developers to consume API responses as Observables instead of blocking calls. The factory supports various backpressure strategies and can be configured with a custom scheduler if needed. It also integrates seamlessly with RxJava's plugin system for error</t>
        </is>
      </c>
      <c r="E1759" t="n">
        <v>0.0035</v>
      </c>
      <c r="F1759" t="n">
        <v>0.0556</v>
      </c>
      <c r="G1759" t="n">
        <v>0.1119</v>
      </c>
      <c r="H1759" t="inlineStr">
        <is>
          <t>Implements core algorithms for backend software components using RxJava 3.</t>
        </is>
      </c>
      <c r="I1759" t="n">
        <v>0.0251</v>
      </c>
      <c r="J1759" t="n">
        <v>0.2222</v>
      </c>
      <c r="K1759" t="n">
        <v>0.3849</v>
      </c>
      <c r="L1759" t="inlineStr">
        <is>
          <t>This Retrofit adapter converts `Call` objects into reactive streams using RxJava 3, allowing asynchronous HTTP requests to be handled as observables. It supports various backpressure strategies and can execute calls on specified schedulers. The adapter also integrates with RxJava's plugin system for error handling and lifecycle management.</t>
        </is>
      </c>
      <c r="M1759" t="n">
        <v>0.0046</v>
      </c>
      <c r="N1759" t="n">
        <v>0.07140000000000001</v>
      </c>
      <c r="O1759" t="n">
        <v>0.1261</v>
      </c>
    </row>
    <row r="1760">
      <c r="A1760" t="inlineStr">
        <is>
          <t>retrofit</t>
        </is>
      </c>
      <c r="B1760" t="inlineStr">
        <is>
          <t>retrofit-adapters/rxjava3/src/main/java/retrofit2/adapter/rxjava3/Result.java</t>
        </is>
      </c>
      <c r="C1760">
        <f>HYPERLINK("https://github.com/square/retrofit/blob/master/retrofit-adapters/rxjava3/src/main/java/retrofit2/adapter/rxjava3/Result.java")</f>
        <v/>
      </c>
      <c r="D1760" t="inlineStr">
        <is>
          <t>The `Result` class encapsulates the outcome of executing an HTTP request using Retrofit 3's RxJava adapter. It can represent successful responses (`Response`) or errors (`Throwable`). The `error` method creates a `Result` instance representing an error, throwing a `NullPointerException` if the input `error` is null. This utility is useful for handling both success and failure cases in asynchronous network requests</t>
        </is>
      </c>
      <c r="E1760" t="n">
        <v>0.0037</v>
      </c>
      <c r="F1760" t="n">
        <v>0.0588</v>
      </c>
      <c r="G1760" t="n">
        <v>0.1145</v>
      </c>
      <c r="H1760" t="inlineStr">
        <is>
          <t>The repository contains backend software components that implement core algorithms. Complexity is O(N), indicating linear time complexity. Comments describe the implementation of these algorithms. Initial codebase commit was made. Code size is 1000 lines.</t>
        </is>
      </c>
      <c r="I1760" t="n">
        <v>0.0065</v>
      </c>
      <c r="J1760" t="n">
        <v>0.1395</v>
      </c>
      <c r="K1760" t="n">
        <v>0.1415</v>
      </c>
      <c r="L1760" t="inlineStr">
        <is>
          <t>The `Result` class encapsulates the outcome of an HTTP request executed using Retrofit's RxJava3 adapter. It provides two constructors: one for successful responses (`success(Response&lt;T&gt;)`) and another for errors (`error(Throwable)`). The class ensures that all instances have non-null error fields, which helps maintain data integrity when handling network requests.</t>
        </is>
      </c>
      <c r="M1760" t="n">
        <v>0.0038</v>
      </c>
      <c r="N1760" t="n">
        <v>0.0328</v>
      </c>
      <c r="O1760" t="n">
        <v>0.0833</v>
      </c>
    </row>
    <row r="1761">
      <c r="A1761" t="inlineStr">
        <is>
          <t>retrofit</t>
        </is>
      </c>
      <c r="B1761" t="inlineStr">
        <is>
          <t>retrofit-adapters/rxjava3/src/test/java/retrofit2/adapter/rxjava3/SingleTest.java</t>
        </is>
      </c>
      <c r="C1761">
        <f>HYPERLINK("https://github.com/square/retrofit/blob/master/retrofit-adapters/rxjava3/src/test/java/retrofit2/adapter/rxjava3/SingleTest.java")</f>
        <v/>
      </c>
      <c r="D1761" t="inlineStr">
        <is>
          <t>The provided code appears to be part of a Retrofit adapter implementation using RxJava 3 for handling HTTP requests. It includes tests that verify the behavior of the `Single` responses from a mock web server when certain conditions are met. The code uses Google Truth for assertions and OkHttp's MockWebServer for simulating network interactions. The complexity of the code is O(N), where N represents the number</t>
        </is>
      </c>
      <c r="E1761" t="n">
        <v>0.0028</v>
      </c>
      <c r="F1761" t="n">
        <v>0.0526</v>
      </c>
      <c r="G1761" t="n">
        <v>0.1087</v>
      </c>
      <c r="H1761" t="inlineStr">
        <is>
          <t>The repository contains backend software components that implement core algorithms. The complexity of these implementations is O(N), indicating linear time complexity. The README provides information about the project's license, package structure, test setup using OkHttp Mock Web Server, and Java-based testing framework Truth. The total size of the codebase is 1000 lines.</t>
        </is>
      </c>
      <c r="I1761" t="n">
        <v>0.0046</v>
      </c>
      <c r="J1761" t="n">
        <v>0.127</v>
      </c>
      <c r="K1761" t="n">
        <v>0.2016</v>
      </c>
      <c r="L1761" t="inlineStr">
        <is>
          <t>The provided code implements a Retrofit adapter that uses RxJava 3 to handle HTTP requests asynchronously. It includes tests using OkHttp's MockWebServer to verify the adapter's functionality. The code size is 1000 lines, and it has been committed as part of an initial codebase.</t>
        </is>
      </c>
      <c r="M1761" t="n">
        <v>0.005</v>
      </c>
      <c r="N1761" t="n">
        <v>0.1111</v>
      </c>
      <c r="O1761" t="n">
        <v>0.1293</v>
      </c>
    </row>
    <row r="1762">
      <c r="A1762" t="inlineStr">
        <is>
          <t>retrofit</t>
        </is>
      </c>
      <c r="B1762" t="inlineStr">
        <is>
          <t>retrofit-adapters/rxjava3/src/test/java/retrofit2/adapter/rxjava3/CancelDisposeTestSync.java</t>
        </is>
      </c>
      <c r="C1762">
        <f>HYPERLINK("https://github.com/square/retrofit/blob/master/retrofit-adapters/rxjava3/src/test/java/retrofit2/adapter/rxjava3/CancelDisposeTestSync.java")</f>
        <v/>
      </c>
      <c r="D1762" t="inlineStr">
        <is>
          <t>The provided code appears to be a unit test for Retrofit's RxJava3 adapter using OkHttp's MockWebServer. The test checks if cancelling an Observable while it is still being processed does not cause any issues. It uses JUnit for testing and Mockito for mocking dependencies.</t>
        </is>
      </c>
      <c r="E1762" t="n">
        <v>0.0042</v>
      </c>
      <c r="F1762" t="n">
        <v>0.037</v>
      </c>
      <c r="G1762" t="n">
        <v>0.0862</v>
      </c>
      <c r="H1762" t="inlineStr">
        <is>
          <t>This repository contains backend software components implementing core algorithms. The complexity of these implementations is O(N), indicating linear time complexity relative to the input size. The code base has been initialized with basic structure and comments explaining its purpose and implementation details.</t>
        </is>
      </c>
      <c r="I1762" t="n">
        <v>0.0062</v>
      </c>
      <c r="J1762" t="n">
        <v>0.1961</v>
      </c>
      <c r="K1762" t="n">
        <v>0.2193</v>
      </c>
      <c r="L1762" t="inlineStr">
        <is>
          <t>The `CancelDisposeTestSync` class tests the cancellation and disposal capabilities of Retrofit's RxJava3 adapter using a mock web server. It verifies that requests can be cancelled and disposed properly when using synchronous calls. The test uses JUnit annotations and assertions from Mockito to ensure the expected behavior occurs during request execution.</t>
        </is>
      </c>
      <c r="M1762" t="n">
        <v>0.0037</v>
      </c>
      <c r="N1762" t="n">
        <v>0.0339</v>
      </c>
      <c r="O1762" t="n">
        <v>0.082</v>
      </c>
    </row>
    <row r="1763">
      <c r="A1763" t="inlineStr">
        <is>
          <t>retrofit</t>
        </is>
      </c>
      <c r="B1763" t="inlineStr">
        <is>
          <t>retrofit-adapters/rxjava3/src/test/java/retrofit2/adapter/rxjava3/ResultTest.java</t>
        </is>
      </c>
      <c r="C1763">
        <f>HYPERLINK("https://github.com/square/retrofit/blob/master/retrofit-adapters/rxjava3/src/test/java/retrofit2/adapter/rxjava3/ResultTest.java")</f>
        <v/>
      </c>
      <c r="D1763" t="inlineStr">
        <is>
          <t>The provided Java code defines a test suite for the `Result` class within the Retrofit 3 adapter package. The `Result` class appears to be used to handle responses from network requests in RxJava 3 applications. The test case checks if the `response` method correctly converts a successful `Response&lt;String&gt;` into a `Result&lt;String&gt;`. If the conversion fails, it throws an assertion error indicating</t>
        </is>
      </c>
      <c r="E1763" t="n">
        <v>0</v>
      </c>
      <c r="F1763" t="n">
        <v>0</v>
      </c>
      <c r="G1763" t="n">
        <v>0.0376</v>
      </c>
      <c r="H1763" t="inlineStr">
        <is>
          <t>The repository contains backend software components that implement core algorithms. The complexity of these implementations is O(N), indicating linear time complexity. The code size is 1000 lines, suggesting it includes multiple modules and functionalities.</t>
        </is>
      </c>
      <c r="I1763" t="n">
        <v>0.0072</v>
      </c>
      <c r="J1763" t="n">
        <v>0.186</v>
      </c>
      <c r="K1763" t="n">
        <v>0.2358</v>
      </c>
      <c r="L1763" t="inlineStr">
        <is>
          <t>The `Result` class provides utility methods to handle Retrofit responses more effectively. It includes a method `response` that takes a `Response&lt;T&gt;` object as input and returns a `Result&lt;T&gt;`, which encapsulates both success and error states. The `assertThat` method from Google Truth is used to verify the correctness of the `result` object.</t>
        </is>
      </c>
      <c r="M1763" t="n">
        <v>0.0036</v>
      </c>
      <c r="N1763" t="n">
        <v>0.0328</v>
      </c>
      <c r="O1763" t="n">
        <v>0.0813</v>
      </c>
    </row>
    <row r="1764">
      <c r="A1764" t="inlineStr">
        <is>
          <t>retrofit</t>
        </is>
      </c>
      <c r="B1764" t="inlineStr">
        <is>
          <t>retrofit-adapters/rxjava3/src/test/java/retrofit2/adapter/rxjava3/RxJava3CallAdapterFactoryTest.java</t>
        </is>
      </c>
      <c r="C1764">
        <f>HYPERLINK("https://github.com/square/retrofit/blob/master/retrofit-adapters/rxjava3/src/test/java/retrofit2/adapter/rxjava3/RxJava3CallAdapterFactoryTest.java")</f>
        <v/>
      </c>
      <c r="D1764" t="inlineStr">
        <is>
          <t>The provided Java code defines a package `retrofit2.adapter.rxjava3` that includes adapters for converting Retrofit HTTP responses into reactive streams using RxJava 3. The class appears to be part of a larger library designed to integrate Retrofit with reactive programming frameworks like RxJava. It provides methods to convert various types of Retrofit response objects (`Flowable`, `Observable`, `Single`, `Maybe`)</t>
        </is>
      </c>
      <c r="E1764" t="n">
        <v>0</v>
      </c>
      <c r="F1764" t="n">
        <v>0</v>
      </c>
      <c r="G1764" t="n">
        <v>0.0388</v>
      </c>
      <c r="H1764" t="inlineStr">
        <is>
          <t>This repository contains backend software components that implement core algorithms using RxJava 3 libraries. The complexity of these implementations is O(N), indicating they scale linearly with input size. The README provides information about the project's license, package structure, and includes examples of how to use the library.</t>
        </is>
      </c>
      <c r="I1764" t="n">
        <v>0.0055</v>
      </c>
      <c r="J1764" t="n">
        <v>0.1754</v>
      </c>
      <c r="K1764" t="n">
        <v>0.2521</v>
      </c>
      <c r="L1764" t="inlineStr">
        <is>
          <t>The provided code implements Retrofit adapters that convert HTTP responses into reactive streams using RxJava 3. It includes methods for converting `Response` objects from Retrofit into various types of Flowables, Observables, Singles, and Maybes based on the response body type. The implementation uses Java reflection to determine the appropriate conversion method and handles different content types such as JSON, plain text, etc. The code also</t>
        </is>
      </c>
      <c r="M1764" t="n">
        <v>0.0033</v>
      </c>
      <c r="N1764" t="n">
        <v>0.0548</v>
      </c>
      <c r="O1764" t="n">
        <v>0.1095</v>
      </c>
    </row>
    <row r="1765">
      <c r="A1765" t="inlineStr">
        <is>
          <t>retrofit</t>
        </is>
      </c>
      <c r="B1765" t="inlineStr">
        <is>
          <t>retrofit-adapters/rxjava3/src/test/java/retrofit2/adapter/rxjava3/RecordingObserver.java</t>
        </is>
      </c>
      <c r="C1765">
        <f>HYPERLINK("https://github.com/square/retrofit/blob/master/retrofit-adapters/rxjava3/src/test/java/retrofit2/adapter/rxjava3/RecordingObserver.java")</f>
        <v/>
      </c>
      <c r="D1765" t="inlineStr">
        <is>
          <t>The provided Java code defines a class `RxJava3CallAdapterFactory` within the `retrofit2.adapter.rxjava3` package. This adapter factory integrates Retrofit's RxJava 3 support, allowing it to handle asynchronous network requests using RxJava Observables. The code includes methods for creating Observable instances from Retrofit calls, handling notifications, and managing disposables. It also uses Google Truth for assertions</t>
        </is>
      </c>
      <c r="E1765" t="n">
        <v>0.0041</v>
      </c>
      <c r="F1765" t="n">
        <v>0.0625</v>
      </c>
      <c r="G1765" t="n">
        <v>0.12</v>
      </c>
      <c r="H1765" t="inlineStr">
        <is>
          <t>The repository contains backend software components that implement core algorithms using RxJava 3. The complexity is O(N), indicating linear time operations, and it includes comments explaining the implementation details.</t>
        </is>
      </c>
      <c r="I1765" t="n">
        <v>0.008500000000000001</v>
      </c>
      <c r="J1765" t="n">
        <v>0.2105</v>
      </c>
      <c r="K1765" t="n">
        <v>0.2475</v>
      </c>
      <c r="L1765" t="inlineStr">
        <is>
          <t>The code provides a Retrofit adapter that integrates RxJava 3 into Retrofit's response handling mechanism. It includes methods to convert `Response` objects from Retrofit into `Observable&lt;Notification&lt;T&gt;&gt;`, allowing developers to handle both successful responses and errors more flexibly using RxJava's notification model. The implementation uses a queue-based approach to manage notifications efficiently.</t>
        </is>
      </c>
      <c r="M1765" t="n">
        <v>0.0036</v>
      </c>
      <c r="N1765" t="n">
        <v>0.0312</v>
      </c>
      <c r="O1765" t="n">
        <v>0.122</v>
      </c>
    </row>
    <row r="1766">
      <c r="A1766" t="inlineStr">
        <is>
          <t>retrofit</t>
        </is>
      </c>
      <c r="B1766" t="inlineStr">
        <is>
          <t>retrofit-adapters/rxjava3/src/test/java/retrofit2/adapter/rxjava3/FlowableThrowingTest.java</t>
        </is>
      </c>
      <c r="C1766">
        <f>HYPERLINK("https://github.com/square/retrofit/blob/master/retrofit-adapters/rxjava3/src/test/java/retrofit2/adapter/rxjava3/FlowableThrowingTest.java")</f>
        <v/>
      </c>
      <c r="D1766" t="inlineStr">
        <is>
          <t>The provided code is part of Retrofit's RxJava 3 adapter, which integrates Retrofit with RxJava 3 to enable asynchronous HTTP requests using reactive programming patterns. The code includes utility methods for handling exceptions and assertions related to RxJava operations. It also sets up a mock web server policy for testing purposes.</t>
        </is>
      </c>
      <c r="E1766" t="n">
        <v>0.0036</v>
      </c>
      <c r="F1766" t="n">
        <v>0.0333</v>
      </c>
      <c r="G1766" t="n">
        <v>0.0813</v>
      </c>
      <c r="H1766" t="inlineStr">
        <is>
          <t>The repository contains backend software components that implement core algorithms using RxJava 3. It includes tests and documentation but does not provide detailed information about its functionality beyond being a collection of algorithm implementations.</t>
        </is>
      </c>
      <c r="I1766" t="n">
        <v>0.0077</v>
      </c>
      <c r="J1766" t="n">
        <v>0.1905</v>
      </c>
      <c r="K1766" t="n">
        <v>0.3509</v>
      </c>
      <c r="L1766" t="inlineStr">
        <is>
          <t>The code implements a Retrofit adapter that uses RxJava 3 to handle HTTP requests asynchronously. It includes methods to convert responses from `Flowable&lt;ResponseBody&gt;` into `Single&lt;T&gt;`, where `T` can be any type specified by the user. The adapter also handles exceptions using RxJava's error handling mechanisms, ensuring robustness against network issues.</t>
        </is>
      </c>
      <c r="M1766" t="n">
        <v>0.0037</v>
      </c>
      <c r="N1766" t="n">
        <v>0.0328</v>
      </c>
      <c r="O1766" t="n">
        <v>0.082</v>
      </c>
    </row>
    <row r="1767">
      <c r="A1767" t="inlineStr">
        <is>
          <t>retrofit</t>
        </is>
      </c>
      <c r="B1767" t="inlineStr">
        <is>
          <t>retrofit-adapters/rxjava3/src/test/java/retrofit2/adapter/rxjava3/RecordingSingleObserver.java</t>
        </is>
      </c>
      <c r="C1767">
        <f>HYPERLINK("https://github.com/square/retrofit/blob/master/retrofit-adapters/rxjava3/src/test/java/retrofit2/adapter/rxjava3/RecordingSingleObserver.java")</f>
        <v/>
      </c>
      <c r="D1767" t="inlineStr">
        <is>
          <t>The provided code appears to be part of a Retrofit adapter implementation for RxJava 3, specifically designed to handle asynchronous HTTP requests using Retrofit's `Call` interface. The code includes utility methods for testing the behavior of the adapter, such as asserting that notifications from Observers match expected values. It also uses Google Truth for assertions and provides basic infrastructure for handling RxJava 3 Single and Observer interfaces.</t>
        </is>
      </c>
      <c r="E1767" t="n">
        <v>0.0027</v>
      </c>
      <c r="F1767" t="n">
        <v>0.0526</v>
      </c>
      <c r="G1767" t="n">
        <v>0.1079</v>
      </c>
      <c r="H1767" t="inlineStr">
        <is>
          <t>Implements core algorithms for backend software components. Complexity is O(N).</t>
        </is>
      </c>
      <c r="I1767" t="n">
        <v>0.0251</v>
      </c>
      <c r="J1767" t="n">
        <v>0.2105</v>
      </c>
      <c r="K1767" t="n">
        <v>0.3117</v>
      </c>
      <c r="L1767" t="inlineStr">
        <is>
          <t>The provided code implements RxJava 3 adapters for Retrofit 2, focusing on handling asynchronous responses from network requests. It includes classes such as `RxJava3CallAdapterFactory` which converts Retrofit call objects into reactive streams using RxJava's Single and Observable types. The implementation ensures that errors are properly propagated through these streams, making it easier to handle asynchronous data processing in Android applications.</t>
        </is>
      </c>
      <c r="M1767" t="n">
        <v>0.0036</v>
      </c>
      <c r="N1767" t="n">
        <v>0.058</v>
      </c>
      <c r="O1767" t="n">
        <v>0.1136</v>
      </c>
    </row>
    <row r="1768">
      <c r="A1768" t="inlineStr">
        <is>
          <t>rxandroid</t>
        </is>
      </c>
      <c r="B1768" t="inlineStr">
        <is>
          <t>rxandroid/src/main/java/io/reactivex/rxjava3/android/MainThreadDisposable.java</t>
        </is>
      </c>
      <c r="C1768">
        <f>HYPERLINK("https://github.com/ReactiveX/RxAndroid/blob/master/rxandroid/src/main/java/io/reactivex/rxjava3/android/MainThreadDisposable.java")</f>
        <v/>
      </c>
      <c r="D1768" t="inlineStr">
        <is>
          <t>The provided Java code defines a class `AndroidDisposable` that extends `Disposable`. This class ensures that any actions performed during the disposal process occur on the Android UI thread using `AndroidSchedulers.mainThread()`. It uses an `AtomicBoolean` to track whether the disposable has been disposed of already. The `dispose()` method checks if it's safe to execute the disposal logic on the main thread before proceeding</t>
        </is>
      </c>
      <c r="E1768" t="n">
        <v>0.0029</v>
      </c>
      <c r="F1768" t="n">
        <v>0.0556</v>
      </c>
      <c r="G1768" t="n">
        <v>0.0746</v>
      </c>
      <c r="H1768" t="inlineStr">
        <is>
          <t>The code provides a class that ensures its `dispose` action is executed on the Android main thread, using RxJava's `AndroidSchedulers`. It includes methods for subscribing to observables and managing disposables efficiently. The complexity is high due to handling multiple threads and ensuring proper disposal behavior.</t>
        </is>
      </c>
      <c r="I1768" t="n">
        <v>0.0041</v>
      </c>
      <c r="J1768" t="n">
        <v>0.037</v>
      </c>
      <c r="K1768" t="n">
        <v>0.08550000000000001</v>
      </c>
      <c r="L1768" t="inlineStr">
        <is>
          <t>This class provides a `Disposable` that ensures its `dispose()` method runs on the Android UI thread, using `AndroidSchedulers.mainThread()`. It uses an atomic boolean to track whether the subscription has been disposed and handles cases where the disposal happens before the subscription completes. The class is part of the RxJava library for Android development.</t>
        </is>
      </c>
      <c r="M1768" t="n">
        <v>0.0041</v>
      </c>
      <c r="N1768" t="n">
        <v>0.0645</v>
      </c>
      <c r="O1768" t="n">
        <v>0.12</v>
      </c>
    </row>
    <row r="1769">
      <c r="A1769" t="inlineStr">
        <is>
          <t>rxandroid</t>
        </is>
      </c>
      <c r="B1769" t="inlineStr">
        <is>
          <t>rxandroid/src/main/java/io/reactivex/rxjava3/android/schedulers/AndroidSchedulers.java</t>
        </is>
      </c>
      <c r="C1769">
        <f>HYPERLINK("https://github.com/ReactiveX/RxAndroid/blob/master/rxandroid/src/main/java/io/reactivex/rxjava3/android/schedulers/AndroidSchedulers.java")</f>
        <v/>
      </c>
      <c r="D1769" t="inlineStr">
        <is>
          <t>The provided code defines `AndroidSchedulers`, which is a utility class within the RxJava library specifically designed for scheduling tasks on Android's main thread. It includes methods like `main()` that return a Scheduler instance configured to run tasks on the Android UI thread. The class uses Android's Handler mechanism to ensure that all scheduled tasks execute on the correct thread, maintaining compatibility with Android's threading model. This is</t>
        </is>
      </c>
      <c r="E1769" t="n">
        <v>0.0027</v>
      </c>
      <c r="F1769" t="n">
        <v>0.0256</v>
      </c>
      <c r="G1769" t="n">
        <v>0.07190000000000001</v>
      </c>
      <c r="H1769" t="inlineStr">
        <is>
          <t>This repository contains backend software components that implement core algorithms. The complexity of the implementation is O(N), indicating linear time complexity. The comments describe the purpose as implementing core algorithms, while the commits indicate the initial creation of the codebase. The total size of the codebase is 1000 lines.</t>
        </is>
      </c>
      <c r="I1769" t="n">
        <v>0.0049</v>
      </c>
      <c r="J1769" t="n">
        <v>0.1379</v>
      </c>
      <c r="K1769" t="n">
        <v>0.2608</v>
      </c>
      <c r="L1769" t="inlineStr">
        <is>
          <t>This Java code defines a set of Android-specific schedulers using RxJava 3, which allows developers to schedule tasks on different threads within an Android application. The `MainHolder` inner class provides a static method `main()` that returns a Scheduler instance representing the main thread's Looper. Other methods like `computation()`, `io()`, and `trampoline()` return schedulers for computation</t>
        </is>
      </c>
      <c r="M1769" t="n">
        <v>0.004</v>
      </c>
      <c r="N1769" t="n">
        <v>0.0615</v>
      </c>
      <c r="O1769" t="n">
        <v>0.1181</v>
      </c>
    </row>
    <row r="1770">
      <c r="A1770" t="inlineStr">
        <is>
          <t>rxandroid</t>
        </is>
      </c>
      <c r="B1770" t="inlineStr">
        <is>
          <t>rxandroid/src/main/java/io/reactivex/rxjava3/android/schedulers/HandlerScheduler.java</t>
        </is>
      </c>
      <c r="C1770">
        <f>HYPERLINK("https://github.com/ReactiveX/RxAndroid/blob/master/rxandroid/src/main/java/io/reactivex/rxjava3/android/schedulers/HandlerScheduler.java")</f>
        <v/>
      </c>
      <c r="D1770" t="inlineStr">
        <is>
          <t>The `HandlerScheduler` class implements the `Scheduler` interface from RxJava 3, specifically designed for Android environments. It uses an `android.os.Handler` to schedule tasks on the main thread or other specified threads. The class provides methods to create a new scheduler instance, submit work to it, and manage disposables. It also includes error handling through RxJava's plugin system.</t>
        </is>
      </c>
      <c r="E1770" t="n">
        <v>0.0039</v>
      </c>
      <c r="F1770" t="n">
        <v>0.0597</v>
      </c>
      <c r="G1770" t="n">
        <v>0.1172</v>
      </c>
      <c r="H1770" t="inlineStr">
        <is>
          <t>This repository contains backend software components that implement core algorithms. The complexity of these implementations is O(N), indicating linear time complexity relative to the size of the input data. The comments provide details about the implementation's purpose and structure. The commits indicate the initial creation of the codebase. The total code size is 1000 lines.</t>
        </is>
      </c>
      <c r="I1770" t="n">
        <v>0.0047</v>
      </c>
      <c r="J1770" t="n">
        <v>0.1538</v>
      </c>
      <c r="K1770" t="n">
        <v>0.1969</v>
      </c>
      <c r="L1770" t="inlineStr">
        <is>
          <t>The `HandlerScheduler` class implements the `Scheduler` interface from RxJava 3, providing a way to schedule tasks using Android's `Handler`. It uses an internal `Handler` instance to execute scheduled actions asynchronously. The scheduler supports both immediate execution and delayed execution based on specified time units. The class handles disposables and integrates seamlessly with RxJava's plugin system.</t>
        </is>
      </c>
      <c r="M1770" t="n">
        <v>0.004</v>
      </c>
      <c r="N1770" t="n">
        <v>0.0615</v>
      </c>
      <c r="O1770" t="n">
        <v>0.1181</v>
      </c>
    </row>
    <row r="1771">
      <c r="A1771" t="inlineStr">
        <is>
          <t>rxandroid</t>
        </is>
      </c>
      <c r="B1771" t="inlineStr">
        <is>
          <t>rxandroid/src/main/java/io/reactivex/rxjava3/android/plugins/RxAndroidPlugins.java</t>
        </is>
      </c>
      <c r="C1771">
        <f>HYPERLINK("https://github.com/ReactiveX/RxAndroid/blob/master/rxandroid/src/main/java/io/reactivex/rxjava3/android/plugins/RxAndroidPlugins.java")</f>
        <v/>
      </c>
      <c r="D1771" t="inlineStr">
        <is>
          <t>The provided code defines a utility class `RxAndroidPlugins` that allows developers to inject custom schedulers into certain standard RxAndroid operations. It includes methods to set up initial main thread handling and other scheduler-related configurations. The class uses Java's concurrency utilities such as `Callable` and `Scheduler`, along with functional interfaces like `Function`. This setup enables more control over how asynchronous tasks are executed within Android</t>
        </is>
      </c>
      <c r="E1771" t="n">
        <v>0.0034</v>
      </c>
      <c r="F1771" t="n">
        <v>0.027</v>
      </c>
      <c r="G1771" t="n">
        <v>0.1103</v>
      </c>
      <c r="H1771" t="inlineStr">
        <is>
          <t>This repository contains backend software components implementing core algorithms. The complexity of the implementation is O(N), indicating that it scales linearly with input size. The code base has been initialized with the first commit.</t>
        </is>
      </c>
      <c r="I1771" t="n">
        <v>0.0072</v>
      </c>
      <c r="J1771" t="n">
        <v>0.186</v>
      </c>
      <c r="K1771" t="n">
        <v>0.1887</v>
      </c>
      <c r="L1771" t="inlineStr">
        <is>
          <t>The `RxAndroidPlugins` utility class provides methods to customize how certain standard RxJava Android operations behave, such as handling the initialization of the main thread scheduler. It allows developers to replace default implementations with custom ones using callbacks that modify the behavior of these operations. The class uses a volatile function field to store the callback, ensuring thread safety when setting or retrieving it.</t>
        </is>
      </c>
      <c r="M1771" t="n">
        <v>0</v>
      </c>
      <c r="N1771" t="n">
        <v>0.0563</v>
      </c>
      <c r="O1771" t="n">
        <v>0.0741</v>
      </c>
    </row>
    <row r="1772">
      <c r="A1772" t="inlineStr">
        <is>
          <t>rxandroid</t>
        </is>
      </c>
      <c r="B1772" t="inlineStr">
        <is>
          <t>rxandroid/src/test/java/io/reactivex/rxjava3/android/MainThreadDisposableTest.java</t>
        </is>
      </c>
      <c r="C1772">
        <f>HYPERLINK("https://github.com/ReactiveX/RxAndroid/blob/master/rxandroid/src/test/java/io/reactivex/rxjava3/android/MainThreadDisposableTest.java")</f>
        <v/>
      </c>
      <c r="D1772" t="inlineStr">
        <is>
          <t>The provided Java code snippet appears to be part of a test suite for RxJava 3 Android integration using Robolectric. It includes several classes and methods that likely perform tests related to subscribing to observables, handling disposables, and managing concurrency within an Android environment. The code uses JUnit for testing and Robolectric's shadowing capabilities to simulate Android-specific behavior during testing. The complexity indicated</t>
        </is>
      </c>
      <c r="E1772" t="n">
        <v>0.0029</v>
      </c>
      <c r="F1772" t="n">
        <v>0.0274</v>
      </c>
      <c r="G1772" t="n">
        <v>0.0741</v>
      </c>
      <c r="H1772" t="inlineStr">
        <is>
          <t>This repository contains backend software components implementing core algorithms. The complexity is O(N), indicating linear time complexity, and it includes comments explaining the implementation details. The commits indicate that the initial codebase was committed. The total size of the codebase is 1000 lines.</t>
        </is>
      </c>
      <c r="I1772" t="n">
        <v>0.0061</v>
      </c>
      <c r="J1772" t="n">
        <v>0.1923</v>
      </c>
      <c r="K1772" t="n">
        <v>0.2174</v>
      </c>
      <c r="L1772" t="inlineStr">
        <is>
          <t>The provided Java code is part of a test suite for RxJava 3 Android integration tests using Robolectric. It includes several unit tests that verify the correct functioning of various aspects of RxJava's reactive programming model within an Android environment. The tests utilize `CountDownLatch`, `AtomicBoolean`, and `AtomicInteger` to manage synchronization and ensure proper execution order during testing. The code is structured to</t>
        </is>
      </c>
      <c r="M1772" t="n">
        <v>0.0029</v>
      </c>
      <c r="N1772" t="n">
        <v>0.0563</v>
      </c>
      <c r="O1772" t="n">
        <v>0.0746</v>
      </c>
    </row>
    <row r="1773">
      <c r="A1773" t="inlineStr">
        <is>
          <t>rxandroid</t>
        </is>
      </c>
      <c r="B1773" t="inlineStr">
        <is>
          <t>rxandroid/src/test/java/io/reactivex/rxjava3/android/schedulers/HandlerSchedulerTest.java</t>
        </is>
      </c>
      <c r="C1773">
        <f>HYPERLINK("https://github.com/ReactiveX/RxAndroid/blob/master/rxandroid/src/test/java/io/reactivex/rxjava3/android/schedulers/HandlerSchedulerTest.java")</f>
        <v/>
      </c>
      <c r="D1773" t="inlineStr">
        <is>
          <t>The provided code defines a custom Android scheduler called `AndroidSchedulers` that extends the base class `Scheduler`. This scheduler uses an `Handler` running on the main thread's looper to execute tasks asynchronously. The `scheduleDirect` method schedules a task immediately on the main thread, while the `createWorker` method returns a worker that can be used to schedule periodic tasks using the same handler. The</t>
        </is>
      </c>
      <c r="E1773" t="n">
        <v>0.0029</v>
      </c>
      <c r="F1773" t="n">
        <v>0.0282</v>
      </c>
      <c r="G1773" t="n">
        <v>0.0746</v>
      </c>
      <c r="H1773" t="inlineStr">
        <is>
          <t>This repository contains backend software components that implement core algorithms. The complexity of the implementation is O(N), indicating linear time complexity. The comments describe the implementation as providing core algorithm implementations. The commits indicate the initial creation of the codebase. The total size of the code is 1000 lines.</t>
        </is>
      </c>
      <c r="I1773" t="n">
        <v>0.0049</v>
      </c>
      <c r="J1773" t="n">
        <v>0.1379</v>
      </c>
      <c r="K1773" t="n">
        <v>0.1653</v>
      </c>
      <c r="L1773" t="inlineStr">
        <is>
          <t>This Java class implements an Android-specific scheduler that uses `Handler` and `Looper` to manage tasks on the UI thread. It provides methods like `schedule`, `scheduleDirect`, and `createWorker` to execute actions asynchronously within the context of the Android application's main thread. The implementation ensures that all scheduled tasks run on the UI thread, which is crucial for maintaining user interface responsiveness in Android applications</t>
        </is>
      </c>
      <c r="M1773" t="n">
        <v>0.0038</v>
      </c>
      <c r="N1773" t="n">
        <v>0.0822</v>
      </c>
      <c r="O1773" t="n">
        <v>0.1481</v>
      </c>
    </row>
    <row r="1774">
      <c r="A1774" t="inlineStr">
        <is>
          <t>rxandroid</t>
        </is>
      </c>
      <c r="B1774" t="inlineStr">
        <is>
          <t>rxandroid/src/test/java/io/reactivex/rxjava3/android/schedulers/AndroidSchedulersTest.java</t>
        </is>
      </c>
      <c r="C1774">
        <f>HYPERLINK("https://github.com/ReactiveX/RxAndroid/blob/master/rxandroid/src/test/java/io/reactivex/rxjava3/android/schedulers/AndroidSchedulersTest.java")</f>
        <v/>
      </c>
      <c r="D1774" t="inlineStr">
        <is>
          <t>The provided Java code defines a class `RxAndroidSchedulers` within the package `io.reactivex.rxjava3.android.schedulers`. This class implements various Android-specific schedulers that can be used with RxJava 3. The key functionalities include:
1. **Looper Scheduler**: A scheduler that uses the main thread's Looper to execute tasks. It provides methods like `newThread`, `from`, and `</t>
        </is>
      </c>
      <c r="E1774" t="n">
        <v>0.0047</v>
      </c>
      <c r="F1774" t="n">
        <v>0.125</v>
      </c>
      <c r="G1774" t="n">
        <v>0.1626</v>
      </c>
      <c r="H1774" t="inlineStr">
        <is>
          <t>The code implements core algorithms for backend software components using RxJava 3 Android schedulers. It includes handling Android-specific operations like Looper and MessageQueue, as well as testing utilities for empty schedulers. The complexity is O(N) due to potential nested loops or recursive calls depending on the implementation details.</t>
        </is>
      </c>
      <c r="I1774" t="n">
        <v>0.009599999999999999</v>
      </c>
      <c r="J1774" t="n">
        <v>0.1034</v>
      </c>
      <c r="K1774" t="n">
        <v>0.31</v>
      </c>
      <c r="L1774" t="inlineStr">
        <is>
          <t>This Java code defines Android-specific schedulers for RxJava 3, providing implementations that run tasks on the Android UI thread if available, otherwise using a background scheduler. It includes methods for creating custom schedulers based on user-defined functions and handles different build configurations to ensure compatibility across various Android versions. The code also provides test utilities for simulating empty schedulers.</t>
        </is>
      </c>
      <c r="M1774" t="n">
        <v>0.0037</v>
      </c>
      <c r="N1774" t="n">
        <v>0.1159</v>
      </c>
      <c r="O1774" t="n">
        <v>0.2409</v>
      </c>
    </row>
    <row r="1775">
      <c r="A1775" t="inlineStr">
        <is>
          <t>rxandroid</t>
        </is>
      </c>
      <c r="B1775" t="inlineStr">
        <is>
          <t>rxandroid/src/test/java/io/reactivex/rxjava3/android/plugins/RxAndroidPluginsTest.java</t>
        </is>
      </c>
      <c r="C1775">
        <f>HYPERLINK("https://github.com/ReactiveX/RxAndroid/blob/master/rxandroid/src/test/java/io/reactivex/rxjava3/android/plugins/RxAndroidPluginsTest.java")</f>
        <v/>
      </c>
      <c r="D1775" t="inlineStr">
        <is>
          <t>The provided Java code defines test cases using Robolectric to verify the functionality of RxJava plugins within Android applications. It includes tests for scheduling operations and ensures that certain conditions are met during execution. The code uses JUnit annotations for testing and handles assertions to validate expected outcomes.</t>
        </is>
      </c>
      <c r="E1775" t="n">
        <v>0.0045</v>
      </c>
      <c r="F1775" t="n">
        <v>0.07140000000000001</v>
      </c>
      <c r="G1775" t="n">
        <v>0.0833</v>
      </c>
      <c r="H1775" t="inlineStr">
        <is>
          <t>This repository contains backend software components that implement core algorithms. The complexity is O(N), indicating linear time complexity. The implementation includes comments explaining the purpose of each part of the code.</t>
        </is>
      </c>
      <c r="I1775" t="n">
        <v>0.007900000000000001</v>
      </c>
      <c r="J1775" t="n">
        <v>0.2</v>
      </c>
      <c r="K1775" t="n">
        <v>0.2427</v>
      </c>
      <c r="L1775" t="inlineStr">
        <is>
          <t>This Android plugin package provides test utilities for RxJava 3 within Robolectric tests. It includes classes like `EmptyScheduler` for testing asynchronous operations without waiting for actual time passes and `RxAndroidPlugins`, which allows setting up plugins for handling Android-specific behaviors during testing. The package is designed to simplify testing scenarios involving RxJava's reactive streams in Android environments.</t>
        </is>
      </c>
      <c r="M1775" t="n">
        <v>0.0039</v>
      </c>
      <c r="N1775" t="n">
        <v>0.0606</v>
      </c>
      <c r="O1775" t="n">
        <v>0.0781</v>
      </c>
    </row>
    <row r="1776">
      <c r="A1776" t="inlineStr">
        <is>
          <t>rxandroid</t>
        </is>
      </c>
      <c r="B1776" t="inlineStr">
        <is>
          <t>rxandroid/src/test/java/io/reactivex/rxjava3/android/plugins/RxAndroidPluginsNoRobolectricTest.java</t>
        </is>
      </c>
      <c r="C1776">
        <f>HYPERLINK("https://github.com/ReactiveX/RxAndroid/blob/master/rxandroid/src/test/java/io/reactivex/rxjava3/android/plugins/RxAndroidPluginsNoRobolectricTest.java")</f>
        <v/>
      </c>
      <c r="D1776" t="inlineStr">
        <is>
          <t>The provided code is part of a test suite for `RxJava3` in Android development using Robolectric. It focuses on testing the replacement of the default main thread scheduler with a custom implementation (`EmptyScheduler`). The tests ensure that the `RxAndroidPlugins` API correctly sets and retrieves the main thread scheduler handler.</t>
        </is>
      </c>
      <c r="E1776" t="n">
        <v>0.0037</v>
      </c>
      <c r="F1776" t="n">
        <v>0.0702</v>
      </c>
      <c r="G1776" t="n">
        <v>0.124</v>
      </c>
      <c r="H1776" t="inlineStr">
        <is>
          <t>Tests for replacing the default scheduler in RxJava on Android with a custom implementation.</t>
        </is>
      </c>
      <c r="I1776" t="n">
        <v>0</v>
      </c>
      <c r="J1776" t="n">
        <v>0.09089999999999999</v>
      </c>
      <c r="K1776" t="n">
        <v>0</v>
      </c>
      <c r="L1776" t="inlineStr">
        <is>
          <t>This test suite verifies that `RxAndroidPlugins` can be used to replace the default main thread scheduler with a custom implementation (`EmptyScheduler`). The tests ensure that the replacement is correctly set up and verified by comparing the returned scheduler against the expected one.</t>
        </is>
      </c>
      <c r="M1776" t="n">
        <v>0.0052</v>
      </c>
      <c r="N1776" t="n">
        <v>0.12</v>
      </c>
      <c r="O1776" t="n">
        <v>0.1754</v>
      </c>
    </row>
    <row r="1777">
      <c r="A1777" t="inlineStr">
        <is>
          <t>rxandroid</t>
        </is>
      </c>
      <c r="B1777" t="inlineStr">
        <is>
          <t>rxandroid/src/test/java/io/reactivex/rxjava3/android/testutil/CountingRunnable.java</t>
        </is>
      </c>
      <c r="C1777">
        <f>HYPERLINK("https://github.com/ReactiveX/RxAndroid/blob/master/rxandroid/src/test/java/io/reactivex/rxjava3/android/testutil/CountingRunnable.java")</f>
        <v/>
      </c>
      <c r="D1777" t="inlineStr">
        <is>
          <t>The `CountingRunnable` class is an implementation of the `Runnable` interface that uses an `AtomicInteger` to count how many times it has been executed. The `run()` method increments the counter each time it is called. This can be useful for tracking execution counts in tests or other scenarios where counting occurrences is needed.</t>
        </is>
      </c>
      <c r="E1777" t="n">
        <v>0.0035</v>
      </c>
      <c r="F1777" t="n">
        <v>0.0333</v>
      </c>
      <c r="G1777" t="n">
        <v>0.121</v>
      </c>
      <c r="H1777" t="inlineStr">
        <is>
          <t>Implements a `CountingRunnable` that increments an atomic integer each time it runs.</t>
        </is>
      </c>
      <c r="I1777" t="n">
        <v>0</v>
      </c>
      <c r="J1777" t="n">
        <v>0.1</v>
      </c>
      <c r="K1777" t="n">
        <v>0.0595</v>
      </c>
      <c r="L1777" t="inlineStr">
        <is>
          <t>This Java class `CountingRunnable` extends `AtomicInteger` and implements the `Runnable` interface. It provides a simple way to count the number of times the `run()` method has been called using atomic incrementation. The class increments the internal counter each time the `run()` method is executed.</t>
        </is>
      </c>
      <c r="M1777" t="n">
        <v>0.0055</v>
      </c>
      <c r="N1777" t="n">
        <v>0.0769</v>
      </c>
      <c r="O1777" t="n">
        <v>0.1724</v>
      </c>
    </row>
    <row r="1778">
      <c r="A1778" t="inlineStr">
        <is>
          <t>rxandroid</t>
        </is>
      </c>
      <c r="B1778" t="inlineStr">
        <is>
          <t>rxandroid/src/test/java/io/reactivex/rxjava3/android/testutil/EmptyScheduler.java</t>
        </is>
      </c>
      <c r="C1778">
        <f>HYPERLINK("https://github.com/ReactiveX/RxAndroid/blob/master/rxandroid/src/test/java/io/reactivex/rxjava3/android/testutil/EmptyScheduler.java")</f>
        <v/>
      </c>
      <c r="D1778" t="inlineStr">
        <is>
          <t>The `EmptyScheduler` class implements the `Scheduler` interface from RxJava 3 but does not provide any actual scheduling logic. It throws an `UnsupportedOperationException` when attempting to create a worker, effectively making it unusable as a real scheduler. This implementation is likely used in testing scenarios where a mock scheduler is needed without actually performing any work.</t>
        </is>
      </c>
      <c r="E1778" t="n">
        <v>0.0044</v>
      </c>
      <c r="F1778" t="n">
        <v>0.0635</v>
      </c>
      <c r="G1778" t="n">
        <v>0.1969</v>
      </c>
      <c r="H1778" t="inlineStr">
        <is>
          <t>This repository contains backend software components that implement core algorithms using RxJava 3. The complexity is O(N) due to the implementation of these algorithms.</t>
        </is>
      </c>
      <c r="I1778" t="n">
        <v>0.0104</v>
      </c>
      <c r="J1778" t="n">
        <v>0.2424</v>
      </c>
      <c r="K1778" t="n">
        <v>0.2604</v>
      </c>
      <c r="L1778" t="inlineStr">
        <is>
          <t>The `EmptyScheduler` class implements the `Scheduler` interface from RxJava 3, providing an empty implementation of the `createWorker()` method that throws an `UnsupportedOperationException`. This scheduler is intended as a placeholder when no actual scheduling capabilities are needed, such as during testing or integration scenarios where asynchronous execution is not required.</t>
        </is>
      </c>
      <c r="M1778" t="n">
        <v>0.0045</v>
      </c>
      <c r="N1778" t="n">
        <v>0.0351</v>
      </c>
      <c r="O1778" t="n">
        <v>0.08260000000000001</v>
      </c>
    </row>
    <row r="1779">
      <c r="A1779" t="inlineStr">
        <is>
          <t>rxandroid</t>
        </is>
      </c>
      <c r="B1779" t="inlineStr">
        <is>
          <t>sample-app/src/main/java/io/reactivex/rxjava3/android/samples/MainActivity.java</t>
        </is>
      </c>
      <c r="C1779">
        <f>HYPERLINK("https://github.com/ReactiveX/RxAndroid/blob/master/sample-app/src/main/java/io/reactivex/rxjava3/android/samples/MainActivity.java")</f>
        <v/>
      </c>
      <c r="D1779" t="inlineStr">
        <is>
          <t>The provided code is a Java class that demonstrates how to create an Android application using RxJava 3. It includes methods to start an activity, handle button clicks, and perform background operations asynchronously. The `MainActivity` class sets up an observable sequence that emits values every second and logs them to the console. When a button is clicked, it starts the main activity. This example showcases basic usage of Rx</t>
        </is>
      </c>
      <c r="E1779" t="n">
        <v>0.0031</v>
      </c>
      <c r="F1779" t="n">
        <v>0.026</v>
      </c>
      <c r="G1779" t="n">
        <v>0.1064</v>
      </c>
      <c r="H1779" t="inlineStr">
        <is>
          <t>The repository contains backend software components implementing core algorithms. The complexity is O(N), indicating linear time complexity. Comments describe the implementation of these algorithms. Initial codebase commit was made. The total size of the codebase is 1000 lines.</t>
        </is>
      </c>
      <c r="I1779" t="n">
        <v>0.0058</v>
      </c>
      <c r="J1779" t="n">
        <v>0.1277</v>
      </c>
      <c r="K1779" t="n">
        <v>0.1364</v>
      </c>
      <c r="L1779" t="inlineStr">
        <is>
          <t>This Android application demonstrates basic RxJava usage within an Activity. It creates an Observable that emits a sequence of timestamps every second using `SystemClock.currentThreadTimeMillis()`. The emissions are then processed on the Android UI thread using `AndroidSchedulers.mainThread()` before being logged to the console. The activity uses a CompositeDisposable to manage subscriptions, ensuring they can be properly disposed when the activity is destroyed.</t>
        </is>
      </c>
      <c r="M1779" t="n">
        <v>0.003</v>
      </c>
      <c r="N1779" t="n">
        <v>0.0282</v>
      </c>
      <c r="O1779" t="n">
        <v>0.0752</v>
      </c>
    </row>
    <row r="1780">
      <c r="A1780" t="inlineStr">
        <is>
          <t>sponge</t>
        </is>
      </c>
      <c r="B1780" t="inlineStr">
        <is>
          <t>src/ap/java/org/spongepowered/plugin/processor/ListenerProcessor.java</t>
        </is>
      </c>
      <c r="C1780">
        <f>HYPERLINK("https://github.com/SpongePowered/SpongeAPI/blob/master/src/ap/java/org/spongepowered/plugin/processor/ListenerProcessor.java")</f>
        <v/>
      </c>
      <c r="D1780" t="inlineStr">
        <is>
          <t>The provided code is a backend software component that implements core algorithms with a time complexity of O(N). It includes comments explaining its implementation and structure. The repository also has a README detailing its purpose, complexity, and commits. The total size of the code is 1000 lines.</t>
        </is>
      </c>
      <c r="E1780" t="n">
        <v>0.0098</v>
      </c>
      <c r="F1780" t="n">
        <v>0.1429</v>
      </c>
      <c r="G1780" t="n">
        <v>0.2652</v>
      </c>
      <c r="H1780" t="inlineStr">
        <is>
          <t>This repository contains backend software components with complexity O(N). It implements core algorithms and includes comments for clarity. The total size of the codebase is 1000 lines.</t>
        </is>
      </c>
      <c r="I1780" t="n">
        <v>0.0186</v>
      </c>
      <c r="J1780" t="n">
        <v>0.2778</v>
      </c>
      <c r="K1780" t="n">
        <v>0.3758</v>
      </c>
      <c r="L1780" t="inlineStr">
        <is>
          <t>This code implements core algorithms for backend software components, focusing on efficient data processing and manipulation. It processes large datasets using an O(N) complexity algorithm, ensuring optimal performance while maintaining clarity through well-documented comments and initial implementation details.</t>
        </is>
      </c>
      <c r="M1780" t="n">
        <v>0.013</v>
      </c>
      <c r="N1780" t="n">
        <v>0.1667</v>
      </c>
      <c r="O1780" t="n">
        <v>0.3876</v>
      </c>
    </row>
    <row r="1781">
      <c r="A1781" t="inlineStr">
        <is>
          <t>sponge</t>
        </is>
      </c>
      <c r="B1781" t="inlineStr">
        <is>
          <t>src/ap/java/org/spongepowered/plugin/processor/ProcessorUtils.java</t>
        </is>
      </c>
      <c r="C1781">
        <f>HYPERLINK("https://github.com/SpongePowered/SpongeAPI/blob/master/src/ap/java/org/spongepowered/plugin/processor/ProcessorUtils.java")</f>
        <v/>
      </c>
      <c r="D1781" t="inlineStr">
        <is>
          <t>The provided code is a Java implementation of core algorithms with a time complexity of O(N). It includes comments explaining its purpose and usage, as well as information about its license and authorship. The code size is 1000 lines.</t>
        </is>
      </c>
      <c r="E1781" t="n">
        <v>0.0056</v>
      </c>
      <c r="F1781" t="n">
        <v>0.125</v>
      </c>
      <c r="G1781" t="n">
        <v>0.1351</v>
      </c>
      <c r="H1781" t="inlineStr">
        <is>
          <t>Manages backend software components with complex algorithm implementations.</t>
        </is>
      </c>
      <c r="I1781" t="n">
        <v>0.0278</v>
      </c>
      <c r="J1781" t="n">
        <v>0.25</v>
      </c>
      <c r="K1781" t="n">
        <v>0.0625</v>
      </c>
      <c r="L1781" t="inlineStr">
        <is>
          <t>This code implements core algorithms for a backend software component using a time complexity of O(N). It includes comments explaining implementation details and has been committed as part of an initial codebase. The total size of the code is 1000 lines.</t>
        </is>
      </c>
      <c r="M1781" t="n">
        <v>0.012</v>
      </c>
      <c r="N1781" t="n">
        <v>0.16</v>
      </c>
      <c r="O1781" t="n">
        <v>0.3773</v>
      </c>
    </row>
    <row r="1782">
      <c r="A1782" t="inlineStr">
        <is>
          <t>sponge</t>
        </is>
      </c>
      <c r="B1782" t="inlineStr">
        <is>
          <t>src/ap/java/org/spongepowered/plugin/processor/ListenerParameterAnnotation.java</t>
        </is>
      </c>
      <c r="C1782">
        <f>HYPERLINK("https://github.com/SpongePowered/SpongeAPI/blob/master/src/ap/java/org/spongepowered/plugin/processor/ListenerParameterAnnotation.java")</f>
        <v/>
      </c>
      <c r="D1782" t="inlineStr">
        <is>
          <t>The provided code is a backend software component with a time complexity of O(N). It includes comments explaining its implementation of core algorithms and details about its structure and size.</t>
        </is>
      </c>
      <c r="E1782" t="n">
        <v>0.008200000000000001</v>
      </c>
      <c r="F1782" t="n">
        <v>0.2051</v>
      </c>
      <c r="G1782" t="n">
        <v>0.1961</v>
      </c>
      <c r="H1782" t="inlineStr">
        <is>
          <t>This repository contains backend software components with complexity O(N), implementing core algorithms. It includes comments explaining the implementation details. The total size of the codebase is 1000 lines.</t>
        </is>
      </c>
      <c r="I1782" t="n">
        <v>0.008800000000000001</v>
      </c>
      <c r="J1782" t="n">
        <v>0.2162</v>
      </c>
      <c r="K1782" t="n">
        <v>0.2</v>
      </c>
      <c r="L1782" t="inlineStr">
        <is>
          <t>This code implements core algorithms for a backend software component, focusing on efficient data processing and manipulation. It processes large datasets using an algorithm with a time complexity of \(O(N)\), leveraging existing comments and commit messages from an initial codebase commit. The implementation is designed to handle complex operations while maintaining clarity and readability, suitable for integration into larger projects.</t>
        </is>
      </c>
      <c r="M1782" t="n">
        <v>0.0081</v>
      </c>
      <c r="N1782" t="n">
        <v>0.1159</v>
      </c>
      <c r="O1782" t="n">
        <v>0.323</v>
      </c>
    </row>
    <row r="1783">
      <c r="A1783" t="inlineStr">
        <is>
          <t>sponge</t>
        </is>
      </c>
      <c r="B1783" t="inlineStr">
        <is>
          <t>src/ap/java/org/spongepowered/plugin/processor/ParameterContext.java</t>
        </is>
      </c>
      <c r="C1783">
        <f>HYPERLINK("https://github.com/SpongePowered/SpongeAPI/blob/master/src/ap/java/org/spongepowered/plugin/processor/ParameterContext.java")</f>
        <v/>
      </c>
      <c r="D1783" t="inlineStr">
        <is>
          <t>The provided code is a backend software component with a complexity of O(N). It includes comments explaining its implementation of core algorithms and commits detailing the initial creation of the codebase. The total size of the code is 1000 lines.</t>
        </is>
      </c>
      <c r="E1783" t="n">
        <v>0.0061</v>
      </c>
      <c r="F1783" t="n">
        <v>0.1633</v>
      </c>
      <c r="G1783" t="n">
        <v>0.1786</v>
      </c>
      <c r="H1783" t="inlineStr">
        <is>
          <t>The code implements core algorithms for a backend system. It has a complexity of O(N), indicating linear time performance with respect to input size N. The comments describe its implementation as core algorithms.</t>
        </is>
      </c>
      <c r="I1783" t="n">
        <v>0.0119</v>
      </c>
      <c r="J1783" t="n">
        <v>0.09520000000000001</v>
      </c>
      <c r="K1783" t="n">
        <v>0.09520000000000001</v>
      </c>
      <c r="L1783" t="inlineStr">
        <is>
          <t>This code implements backend software components for a platform that processes data using complex algorithms. It has a time complexity of O(N), indicating linear performance relative to input size, and includes comments explaining core algorithm implementations. The code base was initially committed as part of the initial setup, and its total size is approximately 1000 lines.</t>
        </is>
      </c>
      <c r="M1783" t="n">
        <v>0.0049</v>
      </c>
      <c r="N1783" t="n">
        <v>0.1231</v>
      </c>
      <c r="O1783" t="n">
        <v>0.2344</v>
      </c>
    </row>
    <row r="1784">
      <c r="A1784" t="inlineStr">
        <is>
          <t>sponge</t>
        </is>
      </c>
      <c r="B1784" t="inlineStr">
        <is>
          <t>src/main/java/org/spongepowered/api/ResourceKeyed.java</t>
        </is>
      </c>
      <c r="C1784">
        <f>HYPERLINK("https://github.com/SpongePowered/SpongeAPI/blob/master/src/main/java/org/spongepowered/api/ResourceKeyed.java")</f>
        <v/>
      </c>
      <c r="D1784" t="inlineStr">
        <is>
          <t>The provided code is a backend software component that implements core algorithms with a time complexity of O(N). It includes comments explaining its implementation and structure. The code size is 1000 lines.</t>
        </is>
      </c>
      <c r="E1784" t="n">
        <v>0.0147</v>
      </c>
      <c r="F1784" t="n">
        <v>0.1951</v>
      </c>
      <c r="G1784" t="n">
        <v>0.3035</v>
      </c>
      <c r="H1784" t="inlineStr">
        <is>
          <t>The code implements core algorithms for backend software components. It has a complexity of O(N), indicating linear time performance with respect to input size. The implementation includes comments explaining its purpose and functionality.</t>
        </is>
      </c>
      <c r="I1784" t="n">
        <v>0.0142</v>
      </c>
      <c r="J1784" t="n">
        <v>0.1429</v>
      </c>
      <c r="K1784" t="n">
        <v>0.3006</v>
      </c>
      <c r="L1784" t="inlineStr">
        <is>
          <t>This code implements core algorithms for backend software components, focusing on efficient data processing and manipulation. It processes large datasets using an O(N) complexity algorithm, leveraging existing comments to guide implementation. The code size is 1000 lines, reflecting its importance as part of the overall system architecture.</t>
        </is>
      </c>
      <c r="M1784" t="n">
        <v>0.0104</v>
      </c>
      <c r="N1784" t="n">
        <v>0.1429</v>
      </c>
      <c r="O1784" t="n">
        <v>0.3583</v>
      </c>
    </row>
    <row r="1785">
      <c r="A1785" t="inlineStr">
        <is>
          <t>sponge</t>
        </is>
      </c>
      <c r="B1785" t="inlineStr">
        <is>
          <t>src/main/java/org/spongepowered/api/SystemSubject.java</t>
        </is>
      </c>
      <c r="C1785">
        <f>HYPERLINK("https://github.com/SpongePowered/SpongeAPI/blob/master/src/main/java/org/spongepowered/api/SystemSubject.java")</f>
        <v/>
      </c>
      <c r="D1785" t="inlineStr">
        <is>
          <t>The provided code is a backend software component with a complexity of O(N). It implements core algorithms and includes comments explaining its implementation. The code size is 1000 lines.</t>
        </is>
      </c>
      <c r="E1785" t="n">
        <v>0.0163</v>
      </c>
      <c r="F1785" t="n">
        <v>0.2105</v>
      </c>
      <c r="G1785" t="n">
        <v>0.3125</v>
      </c>
      <c r="H1785" t="inlineStr">
        <is>
          <t>Manages backend software components with complexity O(N).</t>
        </is>
      </c>
      <c r="I1785" t="n">
        <v>0.0286</v>
      </c>
      <c r="J1785" t="n">
        <v>0.125</v>
      </c>
      <c r="K1785" t="n">
        <v>0.0633</v>
      </c>
      <c r="L1785" t="inlineStr">
        <is>
          <t>This code implements core algorithms for a backend software component using Java, adhering to a complexity of O(N). It includes comments explaining implementation details and has been committed as part of the initial codebase. The total size of the codebase is approximately 1000 lines.</t>
        </is>
      </c>
      <c r="M1785" t="n">
        <v>0.0111</v>
      </c>
      <c r="N1785" t="n">
        <v>0.1509</v>
      </c>
      <c r="O1785" t="n">
        <v>0.3676</v>
      </c>
    </row>
    <row r="1786">
      <c r="A1786" t="inlineStr">
        <is>
          <t>sponge</t>
        </is>
      </c>
      <c r="B1786" t="inlineStr">
        <is>
          <t>src/main/java/org/spongepowered/api/ResourceKey.java</t>
        </is>
      </c>
      <c r="C1786">
        <f>HYPERLINK("https://github.com/SpongePowered/SpongeAPI/blob/master/src/main/java/org/spongepowered/api/ResourceKey.java")</f>
        <v/>
      </c>
      <c r="D1786" t="inlineStr">
        <is>
          <t>The provided code is a snippet from a Java project that implements core algorithms with a time complexity of O(N). It includes comments explaining its purpose, implementation details, and usage. The code does not contain actual algorithmic logic but rather serves as a template for implementing such algorithms.</t>
        </is>
      </c>
      <c r="E1786" t="n">
        <v>0.008999999999999999</v>
      </c>
      <c r="F1786" t="n">
        <v>0.1404</v>
      </c>
      <c r="G1786" t="n">
        <v>0.213</v>
      </c>
      <c r="H1786" t="inlineStr">
        <is>
          <t>This repository contains backend software components with complexity O(N), implementing core algorithms. It includes comments explaining the implementation and was initialized with the first commit. The total size of the codebase is 1000 lines.</t>
        </is>
      </c>
      <c r="I1786" t="n">
        <v>0.0077</v>
      </c>
      <c r="J1786" t="n">
        <v>0.2326</v>
      </c>
      <c r="K1786" t="n">
        <v>0.2358</v>
      </c>
      <c r="L1786" t="inlineStr">
        <is>
          <t>This code implements core algorithms for a backend software component, focusing on efficient data processing and manipulation tasks. It has a time complexity of O(N), indicating linear performance relative to input size, and includes comments that describe implementation details. The codebase was initially committed with no specific context, making further analysis necessary to fully understand its functionality within the larger system.</t>
        </is>
      </c>
      <c r="M1786" t="n">
        <v>0.0083</v>
      </c>
      <c r="N1786" t="n">
        <v>0.1143</v>
      </c>
      <c r="O1786" t="n">
        <v>0.3206</v>
      </c>
    </row>
    <row r="1787">
      <c r="A1787" t="inlineStr">
        <is>
          <t>sponge</t>
        </is>
      </c>
      <c r="B1787" t="inlineStr">
        <is>
          <t>src/main/java/org/spongepowered/api/Game.java</t>
        </is>
      </c>
      <c r="C1787">
        <f>HYPERLINK("https://github.com/SpongePowered/SpongeAPI/blob/master/src/main/java/org/spongepowered/api/Game.java")</f>
        <v/>
      </c>
      <c r="D1787" t="inlineStr">
        <is>
          <t>The provided code is a backend software component with a time complexity of O(N). It implements core algorithms and includes comments explaining its implementation. The code size is 1000 lines.</t>
        </is>
      </c>
      <c r="E1787" t="n">
        <v>0.0157</v>
      </c>
      <c r="F1787" t="n">
        <v>0.2051</v>
      </c>
      <c r="G1787" t="n">
        <v>0.3094</v>
      </c>
      <c r="H1787" t="inlineStr">
        <is>
          <t>This repository contains backend software components with complexity O(N). It includes implementation of core algorithms. Initial codebase commit. Total size is 1000 lines.</t>
        </is>
      </c>
      <c r="I1787" t="n">
        <v>0.0109</v>
      </c>
      <c r="J1787" t="n">
        <v>0.25</v>
      </c>
      <c r="K1787" t="n">
        <v>0.2105</v>
      </c>
      <c r="L1787" t="inlineStr">
        <is>
          <t>This code provides a basic framework for a backend software component using the Sponge API, which includes functionalities such as handling user requests, managing data storage, and implementing core algorithms. It has a time complexity of O(N), indicating linear processing, and is designed to be easily readable and maintainable.</t>
        </is>
      </c>
      <c r="M1787" t="n">
        <v>0.0053</v>
      </c>
      <c r="N1787" t="n">
        <v>0.1724</v>
      </c>
      <c r="O1787" t="n">
        <v>0.3524</v>
      </c>
    </row>
    <row r="1788">
      <c r="A1788" t="inlineStr">
        <is>
          <t>sponge</t>
        </is>
      </c>
      <c r="B1788" t="inlineStr">
        <is>
          <t>src/main/java/org/spongepowered/api/Engine.java</t>
        </is>
      </c>
      <c r="C1788">
        <f>HYPERLINK("https://github.com/SpongePowered/SpongeAPI/blob/master/src/main/java/org/spongepowered/api/Engine.java")</f>
        <v/>
      </c>
      <c r="D1788" t="inlineStr">
        <is>
          <t>The provided code is a Java implementation of core algorithms with a time complexity of O(N). It includes comments explaining its purpose and structure, as well as details about its license and usage. The README provides information about the repository's contents and complexity level.</t>
        </is>
      </c>
      <c r="E1788" t="n">
        <v>0.005</v>
      </c>
      <c r="F1788" t="n">
        <v>0.1111</v>
      </c>
      <c r="G1788" t="n">
        <v>0.1293</v>
      </c>
      <c r="H1788" t="inlineStr">
        <is>
          <t>Manages backend software components with complex algorithm implementations.</t>
        </is>
      </c>
      <c r="I1788" t="n">
        <v>0.0278</v>
      </c>
      <c r="J1788" t="n">
        <v>0.25</v>
      </c>
      <c r="K1788" t="n">
        <v>0.0625</v>
      </c>
      <c r="L1788" t="inlineStr">
        <is>
          <t>This code provides the implementation of core algorithms for backend software components using a complexity of O(N). It includes comments explaining the implementation process and was initially committed as part of the initial codebase. The total size of the codebase is 1000 lines.</t>
        </is>
      </c>
      <c r="M1788" t="n">
        <v>0.0061</v>
      </c>
      <c r="N1788" t="n">
        <v>0.1538</v>
      </c>
      <c r="O1788" t="n">
        <v>0.2609</v>
      </c>
    </row>
    <row r="1789">
      <c r="A1789" t="inlineStr">
        <is>
          <t>sponge</t>
        </is>
      </c>
      <c r="B1789" t="inlineStr">
        <is>
          <t>src/main/java/org/spongepowered/api/package-info.java</t>
        </is>
      </c>
      <c r="C1789">
        <f>HYPERLINK("https://github.com/SpongePowered/SpongeAPI/blob/master/src/main/java/org/spongepowered/api/package-info.java")</f>
        <v/>
      </c>
      <c r="D1789" t="inlineStr">
        <is>
          <t>The provided code is a Java implementation of core algorithms with a time complexity of O(N). It includes comments explaining its purpose and structure, as well as details about its license and usage. The README provides information about the repository's contents, while the commits section lists the initial creation of the codebase. The total size of the code is 1000 lines.</t>
        </is>
      </c>
      <c r="E1789" t="n">
        <v>0.0036</v>
      </c>
      <c r="F1789" t="n">
        <v>0.08450000000000001</v>
      </c>
      <c r="G1789" t="n">
        <v>0.1128</v>
      </c>
      <c r="H1789" t="inlineStr">
        <is>
          <t>Manages backend software components with complex algorithm implementations.</t>
        </is>
      </c>
      <c r="I1789" t="n">
        <v>0.0278</v>
      </c>
      <c r="J1789" t="n">
        <v>0.25</v>
      </c>
      <c r="K1789" t="n">
        <v>0.0625</v>
      </c>
      <c r="L1789" t="inlineStr">
        <is>
          <t>This code implements backend software components for a project, focusing on core algorithm implementations that handle various functionalities within the system. It has a time complexity of O(N), indicating linear processing efficiency, and includes comments explaining the implementation details. The code size is approximately 1000 lines, reflecting its comprehensive nature.</t>
        </is>
      </c>
      <c r="M1789" t="n">
        <v>0.0055</v>
      </c>
      <c r="N1789" t="n">
        <v>0.1695</v>
      </c>
      <c r="O1789" t="n">
        <v>0.2459</v>
      </c>
    </row>
    <row r="1790">
      <c r="A1790" t="inlineStr">
        <is>
          <t>sponge</t>
        </is>
      </c>
      <c r="B1790" t="inlineStr">
        <is>
          <t>src/main/java/org/spongepowered/api/Server.java</t>
        </is>
      </c>
      <c r="C1790">
        <f>HYPERLINK("https://github.com/SpongePowered/SpongeAPI/blob/master/src/main/java/org/spongepowered/api/Server.java")</f>
        <v/>
      </c>
      <c r="D1790" t="inlineStr">
        <is>
          <t>The provided code is a Java implementation of core algorithms with a time complexity of O(N). It includes comments explaining its purpose and usage, as well as details about its structure and dependencies. The README provides information on the repository's contents, complexity, and commits.</t>
        </is>
      </c>
      <c r="E1790" t="n">
        <v>0.005</v>
      </c>
      <c r="F1790" t="n">
        <v>0.1111</v>
      </c>
      <c r="G1790" t="n">
        <v>0.1293</v>
      </c>
      <c r="H1790" t="inlineStr">
        <is>
          <t>Manages backend software components with complex algorithm implementations.</t>
        </is>
      </c>
      <c r="I1790" t="n">
        <v>0.0278</v>
      </c>
      <c r="J1790" t="n">
        <v>0.25</v>
      </c>
      <c r="K1790" t="n">
        <v>0.0625</v>
      </c>
      <c r="L1790" t="inlineStr">
        <is>
          <t>This code implements core algorithms for backend software components, handling input data efficiently with a time complexity of O(N). It includes comments explaining implementation details and follows best practices for code readability and maintainability.</t>
        </is>
      </c>
      <c r="M1790" t="n">
        <v>0.0146</v>
      </c>
      <c r="N1790" t="n">
        <v>0.186</v>
      </c>
      <c r="O1790" t="n">
        <v>0.3509</v>
      </c>
    </row>
    <row r="1791">
      <c r="A1791" t="inlineStr">
        <is>
          <t>sponge</t>
        </is>
      </c>
      <c r="B1791" t="inlineStr">
        <is>
          <t>src/main/java/org/spongepowered/api/Platform.java</t>
        </is>
      </c>
      <c r="C1791">
        <f>HYPERLINK("https://github.com/SpongePowered/SpongeAPI/blob/master/src/main/java/org/spongepowered/api/Platform.java")</f>
        <v/>
      </c>
      <c r="D1791" t="inlineStr">
        <is>
          <t>The provided code is a backend software component with a complexity of O(N). It implements core algorithms and includes comments explaining its implementation. The total size of the code is 1000 lines.</t>
        </is>
      </c>
      <c r="E1791" t="n">
        <v>0.0147</v>
      </c>
      <c r="F1791" t="n">
        <v>0.1951</v>
      </c>
      <c r="G1791" t="n">
        <v>0.3035</v>
      </c>
      <c r="H1791" t="inlineStr">
        <is>
          <t>Manages backend software components with complex algorithm implementations.</t>
        </is>
      </c>
      <c r="I1791" t="n">
        <v>0.0278</v>
      </c>
      <c r="J1791" t="n">
        <v>0.25</v>
      </c>
      <c r="K1791" t="n">
        <v>0.0625</v>
      </c>
      <c r="L1791" t="inlineStr">
        <is>
          <t>This code implements core algorithms for backend software components, focusing on efficient data processing and manipulation. It processes large datasets using an O(N) complexity algorithm, ensuring optimal performance while maintaining clarity and maintainability through well-documented comments and initial implementation.</t>
        </is>
      </c>
      <c r="M1791" t="n">
        <v>0.0126</v>
      </c>
      <c r="N1791" t="n">
        <v>0.1633</v>
      </c>
      <c r="O1791" t="n">
        <v>0.3841</v>
      </c>
    </row>
    <row r="1792">
      <c r="A1792" t="inlineStr">
        <is>
          <t>sponge</t>
        </is>
      </c>
      <c r="B1792" t="inlineStr">
        <is>
          <t>src/main/java/org/spongepowered/api/UnsupportedEngineException.java</t>
        </is>
      </c>
      <c r="C1792">
        <f>HYPERLINK("https://github.com/SpongePowered/SpongeAPI/blob/master/src/main/java/org/spongepowered/api/UnsupportedEngineException.java")</f>
        <v/>
      </c>
      <c r="D1792" t="inlineStr">
        <is>
          <t>The provided code is a Java implementation of core algorithms with a time complexity of O(N). It includes comments explaining its purpose and structure, as well as a README detailing its contents and usage. The code size is 1000 lines.</t>
        </is>
      </c>
      <c r="E1792" t="n">
        <v>0.0055</v>
      </c>
      <c r="F1792" t="n">
        <v>0.1224</v>
      </c>
      <c r="G1792" t="n">
        <v>0.1339</v>
      </c>
      <c r="H1792" t="inlineStr">
        <is>
          <t>Manages backend software components with complexity O(N).</t>
        </is>
      </c>
      <c r="I1792" t="n">
        <v>0.0286</v>
      </c>
      <c r="J1792" t="n">
        <v>0.125</v>
      </c>
      <c r="K1792" t="n">
        <v>0.0633</v>
      </c>
      <c r="L1792" t="inlineStr">
        <is>
          <t>This code implements core algorithms for backend software components using Java, focusing on efficient data processing and manipulation. It handles various input scenarios and provides clear output based on the specified requirements.</t>
        </is>
      </c>
      <c r="M1792" t="n">
        <v>0.0155</v>
      </c>
      <c r="N1792" t="n">
        <v>0.2</v>
      </c>
      <c r="O1792" t="n">
        <v>0.41</v>
      </c>
    </row>
    <row r="1793">
      <c r="A1793" t="inlineStr">
        <is>
          <t>sponge</t>
        </is>
      </c>
      <c r="B1793" t="inlineStr">
        <is>
          <t>src/main/java/org/spongepowered/api/Client.java</t>
        </is>
      </c>
      <c r="C1793">
        <f>HYPERLINK("https://github.com/SpongePowered/SpongeAPI/blob/master/src/main/java/org/spongepowered/api/Client.java")</f>
        <v/>
      </c>
      <c r="D1793" t="inlineStr">
        <is>
          <t>The provided code is a Java implementation of core algorithms with a time complexity of O(N). It includes comments explaining its purpose and usage, as well as information about its license and ownership. The README provides details on the repository's contents and structure.</t>
        </is>
      </c>
      <c r="E1793" t="n">
        <v>0.0051</v>
      </c>
      <c r="F1793" t="n">
        <v>0.1132</v>
      </c>
      <c r="G1793" t="n">
        <v>0.1304</v>
      </c>
      <c r="H1793" t="inlineStr">
        <is>
          <t>This repository contains backend software components with complexity O(N), implementing core algorithms. It includes comments explaining the implementation and has been committed initially. The total size of the codebase is 1000 lines.</t>
        </is>
      </c>
      <c r="I1793" t="n">
        <v>0.0083</v>
      </c>
      <c r="J1793" t="n">
        <v>0.2439</v>
      </c>
      <c r="K1793" t="n">
        <v>0.2404</v>
      </c>
      <c r="L1793" t="inlineStr">
        <is>
          <t>This code implements core algorithms for backend software components, focusing on efficient data processing and manipulation. It handles various inputs and outputs while maintaining high performance complexity of O(N). The implementation includes comments that describe the core functionalities and initial commit messages provide context about the project's structure.</t>
        </is>
      </c>
      <c r="M1793" t="n">
        <v>0.0102</v>
      </c>
      <c r="N1793" t="n">
        <v>0.2069</v>
      </c>
      <c r="O1793" t="n">
        <v>0.4259</v>
      </c>
    </row>
    <row r="1794">
      <c r="A1794" t="inlineStr">
        <is>
          <t>sponge</t>
        </is>
      </c>
      <c r="B1794" t="inlineStr">
        <is>
          <t>src/main/java/org/spongepowered/api/Sponge.java</t>
        </is>
      </c>
      <c r="C1794">
        <f>HYPERLINK("https://github.com/SpongePowered/SpongeAPI/blob/master/src/main/java/org/spongepowered/api/Sponge.java")</f>
        <v/>
      </c>
      <c r="D1794" t="inlineStr">
        <is>
          <t>The provided code is a backend software component that implements core algorithms with a time complexity of O(N). It includes comments explaining its implementation and structure. The code size is 1000 lines.</t>
        </is>
      </c>
      <c r="E1794" t="n">
        <v>0.0147</v>
      </c>
      <c r="F1794" t="n">
        <v>0.1951</v>
      </c>
      <c r="G1794" t="n">
        <v>0.3035</v>
      </c>
      <c r="H1794" t="inlineStr">
        <is>
          <t>Manages backend software components with complex algorithm implementations.</t>
        </is>
      </c>
      <c r="I1794" t="n">
        <v>0.0278</v>
      </c>
      <c r="J1794" t="n">
        <v>0.25</v>
      </c>
      <c r="K1794" t="n">
        <v>0.0625</v>
      </c>
      <c r="L1794" t="inlineStr">
        <is>
          <t>This code implements core algorithms for a backend software component using a time complexity of O(N). It includes comments explaining implementation details and was initially committed as part of the initial codebase. The total size of the codebase is 1000 lines.</t>
        </is>
      </c>
      <c r="M1794" t="n">
        <v>0.012</v>
      </c>
      <c r="N1794" t="n">
        <v>0.16</v>
      </c>
      <c r="O1794" t="n">
        <v>0.3773</v>
      </c>
    </row>
    <row r="1795">
      <c r="A1795" t="inlineStr">
        <is>
          <t>sponge</t>
        </is>
      </c>
      <c r="B1795" t="inlineStr">
        <is>
          <t>src/main/java/org/spongepowered/api/MinecraftVersion.java</t>
        </is>
      </c>
      <c r="C1795">
        <f>HYPERLINK("https://github.com/SpongePowered/SpongeAPI/blob/master/src/main/java/org/spongepowered/api/MinecraftVersion.java")</f>
        <v/>
      </c>
      <c r="D1795" t="inlineStr">
        <is>
          <t>The provided code is a backend software component with a complexity of O(N). It includes comments explaining its implementation of core algorithms. The total size of the code is 1000 lines.</t>
        </is>
      </c>
      <c r="E1795" t="n">
        <v>0.0072</v>
      </c>
      <c r="F1795" t="n">
        <v>0.15</v>
      </c>
      <c r="G1795" t="n">
        <v>0.1456</v>
      </c>
      <c r="H1795" t="inlineStr">
        <is>
          <t>Manages backend software components with complex algorithm implementations.</t>
        </is>
      </c>
      <c r="I1795" t="n">
        <v>0.0278</v>
      </c>
      <c r="J1795" t="n">
        <v>0.25</v>
      </c>
      <c r="K1795" t="n">
        <v>0.0625</v>
      </c>
      <c r="L1795" t="inlineStr">
        <is>
          <t>This code implements core algorithms for backend software components, focusing on efficient data processing and manipulation. It uses a time complexity of \(O(N)\), making it suitable for handling large datasets. The implementation includes comments that describe the core functionalities, ensuring clarity and ease of maintenance.</t>
        </is>
      </c>
      <c r="M1795" t="n">
        <v>0.0109</v>
      </c>
      <c r="N1795" t="n">
        <v>0.2222</v>
      </c>
      <c r="O1795" t="n">
        <v>0.2564</v>
      </c>
    </row>
    <row r="1796">
      <c r="A1796" t="inlineStr">
        <is>
          <t>sponge</t>
        </is>
      </c>
      <c r="B1796" t="inlineStr">
        <is>
          <t>src/main/java/org/spongepowered/api/datapack/DataPacks.java</t>
        </is>
      </c>
      <c r="C1796">
        <f>HYPERLINK("https://github.com/SpongePowered/SpongeAPI/blob/master/src/main/java/org/spongepowered/api/datapack/DataPacks.java")</f>
        <v/>
      </c>
      <c r="D1796" t="inlineStr">
        <is>
          <t>The provided code is a Java implementation of core algorithms with a time complexity of O(N). It includes comments explaining its purpose and usage, as well as details about its license and structure. The README provides information about the repository's contents and complexity level.</t>
        </is>
      </c>
      <c r="E1796" t="n">
        <v>0.005</v>
      </c>
      <c r="F1796" t="n">
        <v>0.1111</v>
      </c>
      <c r="G1796" t="n">
        <v>0.1293</v>
      </c>
      <c r="H1796" t="inlineStr">
        <is>
          <t>Manages backend software components with core algorithm implementations. Complexity is O(N).</t>
        </is>
      </c>
      <c r="I1796" t="n">
        <v>0.0224</v>
      </c>
      <c r="J1796" t="n">
        <v>0.2</v>
      </c>
      <c r="K1796" t="n">
        <v>0.1205</v>
      </c>
      <c r="L1796" t="inlineStr">
        <is>
          <t>This file is part of the SpongeAPI project, which provides backend software components. It implements core algorithms for handling various functionalities within the system. The code complexity is O(N), indicating linear time complexity, and existing comments provide implementation details. The initial codebase was committed with no specific messages. The total size of the codebase is approximately 1000 lines.</t>
        </is>
      </c>
      <c r="M1796" t="n">
        <v>0.008399999999999999</v>
      </c>
      <c r="N1796" t="n">
        <v>0.1791</v>
      </c>
      <c r="O1796" t="n">
        <v>0.328</v>
      </c>
    </row>
    <row r="1797">
      <c r="A1797" t="inlineStr">
        <is>
          <t>sponge</t>
        </is>
      </c>
      <c r="B1797" t="inlineStr">
        <is>
          <t>src/main/java/org/spongepowered/api/datapack/package-info.java</t>
        </is>
      </c>
      <c r="C1797">
        <f>HYPERLINK("https://github.com/SpongePowered/SpongeAPI/blob/master/src/main/java/org/spongepowered/api/datapack/package-info.java")</f>
        <v/>
      </c>
      <c r="D1797" t="inlineStr">
        <is>
          <t>The provided code is a Java class that implements core algorithms with a time complexity of O(N). It includes comments explaining its purpose, implementation details, and usage. The code size is 1000 lines.</t>
        </is>
      </c>
      <c r="E1797" t="n">
        <v>0.0132</v>
      </c>
      <c r="F1797" t="n">
        <v>0.1429</v>
      </c>
      <c r="G1797" t="n">
        <v>0.2434</v>
      </c>
      <c r="H1797" t="inlineStr">
        <is>
          <t>Manages backend software components with complexity O(N).</t>
        </is>
      </c>
      <c r="I1797" t="n">
        <v>0.0286</v>
      </c>
      <c r="J1797" t="n">
        <v>0.125</v>
      </c>
      <c r="K1797" t="n">
        <v>0.0633</v>
      </c>
      <c r="L1797" t="inlineStr">
        <is>
          <t>This code provides a comprehensive implementation of core algorithms for backend software components using Java. It includes comments that describe the implementation details and follows best practices for code readability and maintainability. The complexity of the code is O(N), indicating linear time complexity, which suggests efficient handling of input data. The initial commit message indicates the start of the project's codebase.</t>
        </is>
      </c>
      <c r="M1797" t="n">
        <v>0.0042</v>
      </c>
      <c r="N1797" t="n">
        <v>0.1127</v>
      </c>
      <c r="O1797" t="n">
        <v>0.2256</v>
      </c>
    </row>
    <row r="1798">
      <c r="A1798" t="inlineStr">
        <is>
          <t>sponge</t>
        </is>
      </c>
      <c r="B1798" t="inlineStr">
        <is>
          <t>src/main/java/org/spongepowered/api/datapack/DataPackType.java</t>
        </is>
      </c>
      <c r="C1798">
        <f>HYPERLINK("https://github.com/SpongePowered/SpongeAPI/blob/master/src/main/java/org/spongepowered/api/datapack/DataPackType.java")</f>
        <v/>
      </c>
      <c r="D1798" t="inlineStr">
        <is>
          <t>The provided code is a Java implementation of core algorithms with a time complexity of O(N). It includes comments explaining its purpose and functionality, as well as a README detailing its contents and usage. The code size is 1000 lines long.</t>
        </is>
      </c>
      <c r="E1798" t="n">
        <v>0.0054</v>
      </c>
      <c r="F1798" t="n">
        <v>0.16</v>
      </c>
      <c r="G1798" t="n">
        <v>0.1327</v>
      </c>
      <c r="H1798" t="inlineStr">
        <is>
          <t>Manages backend software components with complexity O(N).</t>
        </is>
      </c>
      <c r="I1798" t="n">
        <v>0.0286</v>
      </c>
      <c r="J1798" t="n">
        <v>0.125</v>
      </c>
      <c r="K1798" t="n">
        <v>0.0633</v>
      </c>
      <c r="L1798" t="inlineStr">
        <is>
          <t>This code implements core algorithms for backend software components using a complexity of O(N), leveraging existing comments and initial codebase commits. It processes data efficiently while maintaining clarity and precision through structured logic and context-specific details.</t>
        </is>
      </c>
      <c r="M1798" t="n">
        <v>0.0137</v>
      </c>
      <c r="N1798" t="n">
        <v>0.2174</v>
      </c>
      <c r="O1798" t="n">
        <v>0.3948</v>
      </c>
    </row>
    <row r="1799">
      <c r="A1799" t="inlineStr">
        <is>
          <t>sponge</t>
        </is>
      </c>
      <c r="B1799" t="inlineStr">
        <is>
          <t>src/main/java/org/spongepowered/api/datapack/DataPackTypes.java</t>
        </is>
      </c>
      <c r="C1799">
        <f>HYPERLINK("https://github.com/SpongePowered/SpongeAPI/blob/master/src/main/java/org/spongepowered/api/datapack/DataPackTypes.java")</f>
        <v/>
      </c>
      <c r="D1799" t="inlineStr">
        <is>
          <t>The provided code is a Java implementation of core algorithms with a time complexity of O(N). It includes comments explaining its purpose and structure, as well as information about its license and usage. The code size is 1000 lines.</t>
        </is>
      </c>
      <c r="E1799" t="n">
        <v>0.0056</v>
      </c>
      <c r="F1799" t="n">
        <v>0.125</v>
      </c>
      <c r="G1799" t="n">
        <v>0.1351</v>
      </c>
      <c r="H1799" t="inlineStr">
        <is>
          <t>Manages backend software components with complex algorithm implementations.</t>
        </is>
      </c>
      <c r="I1799" t="n">
        <v>0.0278</v>
      </c>
      <c r="J1799" t="n">
        <v>0.25</v>
      </c>
      <c r="K1799" t="n">
        <v>0.0625</v>
      </c>
      <c r="L1799" t="inlineStr">
        <is>
          <t>This file contains backend software components that implement core algorithms for processing data efficiently, with a time complexity of O(N). It includes initial implementation commits and comments indicating its role as part of the overall system. The code size is 1000 lines, making it suitable for managing complex data processing tasks within the application.</t>
        </is>
      </c>
      <c r="M1799" t="n">
        <v>0.0048</v>
      </c>
      <c r="N1799" t="n">
        <v>0.1587</v>
      </c>
      <c r="O1799" t="n">
        <v>0.2381</v>
      </c>
    </row>
    <row r="1800">
      <c r="A1800" t="inlineStr">
        <is>
          <t>sponge</t>
        </is>
      </c>
      <c r="B1800" t="inlineStr">
        <is>
          <t>src/main/java/org/spongepowered/api/datapack/DataPackEntry.java</t>
        </is>
      </c>
      <c r="C1800">
        <f>HYPERLINK("https://github.com/SpongePowered/SpongeAPI/blob/master/src/main/java/org/spongepowered/api/datapack/DataPackEntry.java")</f>
        <v/>
      </c>
      <c r="D1800" t="inlineStr">
        <is>
          <t>The provided code is a Java implementation of core algorithms with a time complexity of O(N). It includes comments explaining its purpose, usage, and structure. The code does not contain any specific details about the algorithms implemented but rather serves as a template for creating such implementations.</t>
        </is>
      </c>
      <c r="E1800" t="n">
        <v>0.0046</v>
      </c>
      <c r="F1800" t="n">
        <v>0.1071</v>
      </c>
      <c r="G1800" t="n">
        <v>0.1261</v>
      </c>
      <c r="H1800" t="inlineStr">
        <is>
          <t>Manages backend software components with complex algorithm implementations.</t>
        </is>
      </c>
      <c r="I1800" t="n">
        <v>0.0278</v>
      </c>
      <c r="J1800" t="n">
        <v>0.25</v>
      </c>
      <c r="K1800" t="n">
        <v>0.0625</v>
      </c>
      <c r="L1800" t="inlineStr">
        <is>
          <t>This code implements core algorithms for a backend software component using Java, adhering to a time complexity of O(N). It includes comments explaining implementation details and follows best practices for code readability and maintainability.</t>
        </is>
      </c>
      <c r="M1800" t="n">
        <v>0.0146</v>
      </c>
      <c r="N1800" t="n">
        <v>0.186</v>
      </c>
      <c r="O1800" t="n">
        <v>0.4023</v>
      </c>
    </row>
    <row r="1801">
      <c r="A1801" t="inlineStr">
        <is>
          <t>sponge</t>
        </is>
      </c>
      <c r="B1801" t="inlineStr">
        <is>
          <t>src/main/java/org/spongepowered/api/datapack/DataPack.java</t>
        </is>
      </c>
      <c r="C1801">
        <f>HYPERLINK("https://github.com/SpongePowered/SpongeAPI/blob/master/src/main/java/org/spongepowered/api/datapack/DataPack.java")</f>
        <v/>
      </c>
      <c r="D1801" t="inlineStr">
        <is>
          <t>The provided code is a Java implementation of core algorithms with a time complexity of O(N). It includes comments explaining its purpose, structure, and usage. The code size is 1000 lines long.</t>
        </is>
      </c>
      <c r="E1801" t="n">
        <v>0.0069</v>
      </c>
      <c r="F1801" t="n">
        <v>0.1463</v>
      </c>
      <c r="G1801" t="n">
        <v>0.1442</v>
      </c>
      <c r="H1801" t="inlineStr">
        <is>
          <t>The code implements core algorithms for a backend system. Complexity is O(N), indicating linear time complexity with respect to input size N. Comments describe the implementation details, while commits track the initial creation of the codebase. The total code size is 1000 lines.</t>
        </is>
      </c>
      <c r="I1801" t="n">
        <v>0.0091</v>
      </c>
      <c r="J1801" t="n">
        <v>0.0769</v>
      </c>
      <c r="K1801" t="n">
        <v>0.163</v>
      </c>
      <c r="L1801" t="inlineStr">
        <is>
          <t>This code implements core algorithms for backend software components using a complexity of O(N), incorporating comments that describe the implementation process. It was initially committed as part of the initial codebase and has a size of 1000 lines.</t>
        </is>
      </c>
      <c r="M1801" t="n">
        <v>0.013</v>
      </c>
      <c r="N1801" t="n">
        <v>0.1702</v>
      </c>
      <c r="O1801" t="n">
        <v>0.3876</v>
      </c>
    </row>
    <row r="1802">
      <c r="A1802" t="inlineStr">
        <is>
          <t>sponge</t>
        </is>
      </c>
      <c r="B1802" t="inlineStr">
        <is>
          <t>src/main/java/org/spongepowered/api/state/EnumStateProperties.java</t>
        </is>
      </c>
      <c r="C1802">
        <f>HYPERLINK("https://github.com/SpongePowered/SpongeAPI/blob/master/src/main/java/org/spongepowered/api/state/EnumStateProperties.java")</f>
        <v/>
      </c>
      <c r="D1802" t="inlineStr">
        <is>
          <t>The provided code is a Java implementation of core algorithms with a time complexity of O(N). It includes comments explaining its purpose, complexity, and usage. The code does not contain any specific functionality as it is described as a placeholder for backend software components.</t>
        </is>
      </c>
      <c r="E1802" t="n">
        <v>0.0059</v>
      </c>
      <c r="F1802" t="n">
        <v>0.1132</v>
      </c>
      <c r="G1802" t="n">
        <v>0.2155</v>
      </c>
      <c r="H1802" t="inlineStr">
        <is>
          <t>Manages backend software components with complexity O(N).</t>
        </is>
      </c>
      <c r="I1802" t="n">
        <v>0.0286</v>
      </c>
      <c r="J1802" t="n">
        <v>0.125</v>
      </c>
      <c r="K1802" t="n">
        <v>0.0633</v>
      </c>
      <c r="L1802" t="inlineStr">
        <is>
          <t>This file contains backend software components that implement core algorithms for processing data efficiently using a time complexity of O(N). It includes comments explaining implementation details and was initially committed as part of the initial codebase. The total size of the codebase is approximately 1000 lines.</t>
        </is>
      </c>
      <c r="M1802" t="n">
        <v>0.0057</v>
      </c>
      <c r="N1802" t="n">
        <v>0.1818</v>
      </c>
      <c r="O1802" t="n">
        <v>0.2542</v>
      </c>
    </row>
    <row r="1803">
      <c r="A1803" t="inlineStr">
        <is>
          <t>sponge</t>
        </is>
      </c>
      <c r="B1803" t="inlineStr">
        <is>
          <t>src/main/java/org/spongepowered/api/state/IntegerStateProperties.java</t>
        </is>
      </c>
      <c r="C1803">
        <f>HYPERLINK("https://github.com/SpongePowered/SpongeAPI/blob/master/src/main/java/org/spongepowered/api/state/IntegerStateProperties.java")</f>
        <v/>
      </c>
      <c r="D1803" t="inlineStr">
        <is>
          <t>The provided code is a backend software component with complexity O(N), implementing core algorithms. It includes comments explaining its implementation and commits detailing initial development. The total size of the code is 1000 lines.</t>
        </is>
      </c>
      <c r="E1803" t="n">
        <v>0.0072</v>
      </c>
      <c r="F1803" t="n">
        <v>0.186</v>
      </c>
      <c r="G1803" t="n">
        <v>0.1887</v>
      </c>
      <c r="H1803" t="inlineStr">
        <is>
          <t>This repository contains backend software components implementing core algorithms. Complexity is O(N), with comments indicating implementation details. Initial codebase commit. Code size is 1000 lines.</t>
        </is>
      </c>
      <c r="I1803" t="n">
        <v>0.01</v>
      </c>
      <c r="J1803" t="n">
        <v>0.2353</v>
      </c>
      <c r="K1803" t="n">
        <v>0.2062</v>
      </c>
      <c r="L1803" t="inlineStr">
        <is>
          <t>This code implements core algorithms for backend software components, focusing on efficient data processing and manipulation tasks. It handles various input scenarios and provides clear output results based on predefined logic.</t>
        </is>
      </c>
      <c r="M1803" t="n">
        <v>0.0168</v>
      </c>
      <c r="N1803" t="n">
        <v>0.2564</v>
      </c>
      <c r="O1803" t="n">
        <v>0.414</v>
      </c>
    </row>
    <row r="1804">
      <c r="A1804" t="inlineStr">
        <is>
          <t>sponge</t>
        </is>
      </c>
      <c r="B1804" t="inlineStr">
        <is>
          <t>src/main/java/org/spongepowered/api/state/StateContainer.java</t>
        </is>
      </c>
      <c r="C1804">
        <f>HYPERLINK("https://github.com/SpongePowered/SpongeAPI/blob/master/src/main/java/org/spongepowered/api/state/StateContainer.java")</f>
        <v/>
      </c>
      <c r="D1804" t="inlineStr">
        <is>
          <t>The provided code is a backend software component that implements core algorithms with a time complexity of O(N). It includes comments explaining its implementation and structure. The repository also contains README information about its purpose, complexity, and commits. The total size of the codebase is 1000 lines.</t>
        </is>
      </c>
      <c r="E1804" t="n">
        <v>0.0098</v>
      </c>
      <c r="F1804" t="n">
        <v>0.1429</v>
      </c>
      <c r="G1804" t="n">
        <v>0.2652</v>
      </c>
      <c r="H1804" t="inlineStr">
        <is>
          <t>Manages backend software components with complex algorithm implementations.</t>
        </is>
      </c>
      <c r="I1804" t="n">
        <v>0.0278</v>
      </c>
      <c r="J1804" t="n">
        <v>0.25</v>
      </c>
      <c r="K1804" t="n">
        <v>0.0625</v>
      </c>
      <c r="L1804" t="inlineStr">
        <is>
          <t>This code implements core algorithms for a backend software component, handling input data efficiently with a time complexity of O(N). It includes comments explaining implementation details and is part of a larger project that processes large datasets.</t>
        </is>
      </c>
      <c r="M1804" t="n">
        <v>0.0133</v>
      </c>
      <c r="N1804" t="n">
        <v>0.1739</v>
      </c>
      <c r="O1804" t="n">
        <v>0.3912</v>
      </c>
    </row>
    <row r="1805">
      <c r="A1805" t="inlineStr">
        <is>
          <t>sponge</t>
        </is>
      </c>
      <c r="B1805" t="inlineStr">
        <is>
          <t>src/main/java/org/spongepowered/api/state/StateProperty.java</t>
        </is>
      </c>
      <c r="C1805">
        <f>HYPERLINK("https://github.com/SpongePowered/SpongeAPI/blob/master/src/main/java/org/spongepowered/api/state/StateProperty.java")</f>
        <v/>
      </c>
      <c r="D1805" t="inlineStr">
        <is>
          <t>The provided code is a Java implementation of core algorithms with a time complexity of O(N). It includes comments explaining its purpose and usage, as well as initial commits for version control. The code size is 1000 lines.</t>
        </is>
      </c>
      <c r="E1805" t="n">
        <v>0.0058</v>
      </c>
      <c r="F1805" t="n">
        <v>0.1277</v>
      </c>
      <c r="G1805" t="n">
        <v>0.1364</v>
      </c>
      <c r="H1805" t="inlineStr">
        <is>
          <t>Manages backend software components with core algorithm implementations. Complexity is O(N).</t>
        </is>
      </c>
      <c r="I1805" t="n">
        <v>0.0224</v>
      </c>
      <c r="J1805" t="n">
        <v>0.2</v>
      </c>
      <c r="K1805" t="n">
        <v>0.1205</v>
      </c>
      <c r="L1805" t="inlineStr">
        <is>
          <t>This code implements core algorithms for backend software components, focusing on efficient data processing and manipulation tasks. It handles various input scenarios and provides clear output results, ensuring high performance and reliability.</t>
        </is>
      </c>
      <c r="M1805" t="n">
        <v>0.0155</v>
      </c>
      <c r="N1805" t="n">
        <v>0.2</v>
      </c>
      <c r="O1805" t="n">
        <v>0.3577</v>
      </c>
    </row>
    <row r="1806">
      <c r="A1806" t="inlineStr">
        <is>
          <t>sponge</t>
        </is>
      </c>
      <c r="B1806" t="inlineStr">
        <is>
          <t>src/main/java/org/spongepowered/api/state/BooleanStateProperty.java</t>
        </is>
      </c>
      <c r="C1806">
        <f>HYPERLINK("https://github.com/SpongePowered/SpongeAPI/blob/master/src/main/java/org/spongepowered/api/state/BooleanStateProperty.java")</f>
        <v/>
      </c>
      <c r="D1806" t="inlineStr">
        <is>
          <t>The provided code is a Java implementation of core algorithms with a time complexity of O(N). It includes comments explaining its purpose and functionality, as well as details about its license and usage. The code size is 1000 lines long.</t>
        </is>
      </c>
      <c r="E1806" t="n">
        <v>0.0055</v>
      </c>
      <c r="F1806" t="n">
        <v>0.1633</v>
      </c>
      <c r="G1806" t="n">
        <v>0.1339</v>
      </c>
      <c r="H1806" t="inlineStr">
        <is>
          <t>Manages backend software components with complex algorithm implementations.</t>
        </is>
      </c>
      <c r="I1806" t="n">
        <v>0.0278</v>
      </c>
      <c r="J1806" t="n">
        <v>0.25</v>
      </c>
      <c r="K1806" t="n">
        <v>0.0625</v>
      </c>
      <c r="L1806" t="inlineStr">
        <is>
          <t>This file is part of SpongeAPI, which provides backend software components for a game server. It includes implementations of core algorithms that handle various functionalities such as data processing, event handling, and resource management. The code complexity is moderate at O(N), and existing comments provide context about the implementation of these algorithms. The initial commit message indicates that this is the first version of the codebase. The total size</t>
        </is>
      </c>
      <c r="M1806" t="n">
        <v>0.0037</v>
      </c>
      <c r="N1806" t="n">
        <v>0.1538</v>
      </c>
      <c r="O1806" t="n">
        <v>0.2128</v>
      </c>
    </row>
    <row r="1807">
      <c r="A1807" t="inlineStr">
        <is>
          <t>sponge</t>
        </is>
      </c>
      <c r="B1807" t="inlineStr">
        <is>
          <t>src/main/java/org/spongepowered/api/state/State.java</t>
        </is>
      </c>
      <c r="C1807">
        <f>HYPERLINK("https://github.com/SpongePowered/SpongeAPI/blob/master/src/main/java/org/spongepowered/api/state/State.java")</f>
        <v/>
      </c>
      <c r="D1807" t="inlineStr">
        <is>
          <t>The provided code is a backend software component with complexity O(N). It implements core algorithms and includes comments explaining its implementation. The code size is 1000 lines.</t>
        </is>
      </c>
      <c r="E1807" t="n">
        <v>0.0176</v>
      </c>
      <c r="F1807" t="n">
        <v>0.2222</v>
      </c>
      <c r="G1807" t="n">
        <v>0.3188</v>
      </c>
      <c r="H1807" t="inlineStr">
        <is>
          <t>The code implements core algorithms for a backend system. Complexity is O(N), indicating linear time complexity with respect to input size N. Comments describe the implementation of these algorithms.</t>
        </is>
      </c>
      <c r="I1807" t="n">
        <v>0.0137</v>
      </c>
      <c r="J1807" t="n">
        <v>0.1053</v>
      </c>
      <c r="K1807" t="n">
        <v>0.1856</v>
      </c>
      <c r="L1807" t="inlineStr">
        <is>
          <t>This code provides the implementation of core algorithms for a backend software component using Java, adhering to the MIT license. It includes comments explaining the implementation details and has been committed as the initial version of the codebase. The complexity of the algorithm is O(N), indicating linear time performance, which is suitable for handling typical input sizes within the context of the project's requirements.</t>
        </is>
      </c>
      <c r="M1807" t="n">
        <v>0.004</v>
      </c>
      <c r="N1807" t="n">
        <v>0.1081</v>
      </c>
      <c r="O1807" t="n">
        <v>0.2206</v>
      </c>
    </row>
    <row r="1808">
      <c r="A1808" t="inlineStr">
        <is>
          <t>sponge</t>
        </is>
      </c>
      <c r="B1808" t="inlineStr">
        <is>
          <t>src/main/java/org/spongepowered/api/state/EnumStateProperty.java</t>
        </is>
      </c>
      <c r="C1808">
        <f>HYPERLINK("https://github.com/SpongePowered/SpongeAPI/blob/master/src/main/java/org/spongepowered/api/state/EnumStateProperty.java")</f>
        <v/>
      </c>
      <c r="D1808" t="inlineStr">
        <is>
          <t>The provided code is a Java class that implements core algorithms with a time complexity of O(N). It includes comments explaining its purpose, implementation details, and usage. The code size is 1000 lines.</t>
        </is>
      </c>
      <c r="E1808" t="n">
        <v>0.0132</v>
      </c>
      <c r="F1808" t="n">
        <v>0.1429</v>
      </c>
      <c r="G1808" t="n">
        <v>0.2434</v>
      </c>
      <c r="H1808" t="inlineStr">
        <is>
          <t>This repository contains backend software components with complexity O(N), implementing core algorithms. It includes comments explaining the implementation details. The code size is 1000 lines.</t>
        </is>
      </c>
      <c r="I1808" t="n">
        <v>0.01</v>
      </c>
      <c r="J1808" t="n">
        <v>0.2353</v>
      </c>
      <c r="K1808" t="n">
        <v>0.2062</v>
      </c>
      <c r="L1808" t="inlineStr">
        <is>
          <t>This file is part of the Sponge API project, which provides backend software components for various applications. It includes initial implementation of core algorithms, ensuring efficient performance with a time complexity of O(N). The code size is approximately 1000 lines, and existing comments provide context about the algorithm's implementation.</t>
        </is>
      </c>
      <c r="M1808" t="n">
        <v>0.0053</v>
      </c>
      <c r="N1808" t="n">
        <v>0.1695</v>
      </c>
      <c r="O1808" t="n">
        <v>0.2479</v>
      </c>
    </row>
    <row r="1809">
      <c r="A1809" t="inlineStr">
        <is>
          <t>sponge</t>
        </is>
      </c>
      <c r="B1809" t="inlineStr">
        <is>
          <t>src/main/java/org/spongepowered/api/state/package-info.java</t>
        </is>
      </c>
      <c r="C1809">
        <f>HYPERLINK("https://github.com/SpongePowered/SpongeAPI/blob/master/src/main/java/org/spongepowered/api/state/package-info.java")</f>
        <v/>
      </c>
      <c r="D1809" t="inlineStr">
        <is>
          <t>The provided code is a backend software component with complexity O(N). It implements core algorithms and includes comments explaining its implementation. The total size of the code is 1000 lines.</t>
        </is>
      </c>
      <c r="E1809" t="n">
        <v>0.0157</v>
      </c>
      <c r="F1809" t="n">
        <v>0.2051</v>
      </c>
      <c r="G1809" t="n">
        <v>0.3094</v>
      </c>
      <c r="H1809" t="inlineStr">
        <is>
          <t>Manages backend software components with complex algorithm implementations.</t>
        </is>
      </c>
      <c r="I1809" t="n">
        <v>0.0278</v>
      </c>
      <c r="J1809" t="n">
        <v>0.25</v>
      </c>
      <c r="K1809" t="n">
        <v>0.0625</v>
      </c>
      <c r="L1809" t="inlineStr">
        <is>
          <t>This code implements core algorithms for backend software components using Java, adhering to the MIT license. It processes data efficiently with a time complexity of O(N), ensuring optimal performance while maintaining clarity and maintainability through well-documented comments and initial implementation.</t>
        </is>
      </c>
      <c r="M1809" t="n">
        <v>0.0123</v>
      </c>
      <c r="N1809" t="n">
        <v>0.16</v>
      </c>
      <c r="O1809" t="n">
        <v>0.3807</v>
      </c>
    </row>
    <row r="1810">
      <c r="A1810" t="inlineStr">
        <is>
          <t>sponge</t>
        </is>
      </c>
      <c r="B1810" t="inlineStr">
        <is>
          <t>src/main/java/org/spongepowered/api/state/StateMatcher.java</t>
        </is>
      </c>
      <c r="C1810">
        <f>HYPERLINK("https://github.com/SpongePowered/SpongeAPI/blob/master/src/main/java/org/spongepowered/api/state/StateMatcher.java")</f>
        <v/>
      </c>
      <c r="D1810" t="inlineStr">
        <is>
          <t>The provided code is a backend software component that implements core algorithms with a time complexity of O(N). It includes comments explaining its implementation and structure, as well as metadata about its license, copyright holders, and size.</t>
        </is>
      </c>
      <c r="E1810" t="n">
        <v>0.0126</v>
      </c>
      <c r="F1810" t="n">
        <v>0.1739</v>
      </c>
      <c r="G1810" t="n">
        <v>0.2896</v>
      </c>
      <c r="H1810" t="inlineStr">
        <is>
          <t>Manages backend software components with core algorithm implementations. Complexity is O(N).</t>
        </is>
      </c>
      <c r="I1810" t="n">
        <v>0.0224</v>
      </c>
      <c r="J1810" t="n">
        <v>0.2</v>
      </c>
      <c r="K1810" t="n">
        <v>0.1205</v>
      </c>
      <c r="L1810" t="inlineStr">
        <is>
          <t>This file is part of the SpongeAPI project, which provides backend software components. It includes initial implementation of core algorithms, focusing on efficient data processing and manipulation tasks. The code complexity is moderate, with a size of approximately 1000 lines, and existing comments provide context for the implementation of these algorithms.</t>
        </is>
      </c>
      <c r="M1810" t="n">
        <v>0.0051</v>
      </c>
      <c r="N1810" t="n">
        <v>0.1695</v>
      </c>
      <c r="O1810" t="n">
        <v>0.2439</v>
      </c>
    </row>
    <row r="1811">
      <c r="A1811" t="inlineStr">
        <is>
          <t>sponge</t>
        </is>
      </c>
      <c r="B1811" t="inlineStr">
        <is>
          <t>src/main/java/org/spongepowered/api/state/IntegerStateProperty.java</t>
        </is>
      </c>
      <c r="C1811">
        <f>HYPERLINK("https://github.com/SpongePowered/SpongeAPI/blob/master/src/main/java/org/spongepowered/api/state/IntegerStateProperty.java")</f>
        <v/>
      </c>
      <c r="D1811" t="inlineStr">
        <is>
          <t>The provided code is a Java class that implements core algorithms with a time complexity of O(N). It includes comments explaining its implementation and structure. The code size is 1000 lines.</t>
        </is>
      </c>
      <c r="E1811" t="n">
        <v>0.0141</v>
      </c>
      <c r="F1811" t="n">
        <v>0.15</v>
      </c>
      <c r="G1811" t="n">
        <v>0.2481</v>
      </c>
      <c r="H1811" t="inlineStr">
        <is>
          <t>Manages backend software components with complex algorithm implementations.</t>
        </is>
      </c>
      <c r="I1811" t="n">
        <v>0.0278</v>
      </c>
      <c r="J1811" t="n">
        <v>0.25</v>
      </c>
      <c r="K1811" t="n">
        <v>0.0625</v>
      </c>
      <c r="L1811" t="inlineStr">
        <is>
          <t>This code implements core algorithms for backend software components, handling input/output efficiently with a time complexity of O(N). It includes comments explaining implementation details and has been committed as part of an initial codebase. The total size of the codebase is 1000 lines.</t>
        </is>
      </c>
      <c r="M1811" t="n">
        <v>0.0114</v>
      </c>
      <c r="N1811" t="n">
        <v>0.1509</v>
      </c>
      <c r="O1811" t="n">
        <v>0.3708</v>
      </c>
    </row>
    <row r="1812">
      <c r="A1812" t="inlineStr">
        <is>
          <t>sponge</t>
        </is>
      </c>
      <c r="B1812" t="inlineStr">
        <is>
          <t>src/main/java/org/spongepowered/api/state/BooleanStateProperties.java</t>
        </is>
      </c>
      <c r="C1812">
        <f>HYPERLINK("https://github.com/SpongePowered/SpongeAPI/blob/master/src/main/java/org/spongepowered/api/state/BooleanStateProperties.java")</f>
        <v/>
      </c>
      <c r="D1812" t="inlineStr">
        <is>
          <t>The provided code is a backend software component that implements core algorithms with a time complexity of O(N). It includes comments explaining its implementation and structure. The code size is 1000 lines long.</t>
        </is>
      </c>
      <c r="E1812" t="n">
        <v>0.0142</v>
      </c>
      <c r="F1812" t="n">
        <v>0.1905</v>
      </c>
      <c r="G1812" t="n">
        <v>0.3006</v>
      </c>
      <c r="H1812" t="inlineStr">
        <is>
          <t>Manages backend software components with complex algorithm implementations.</t>
        </is>
      </c>
      <c r="I1812" t="n">
        <v>0.0278</v>
      </c>
      <c r="J1812" t="n">
        <v>0.25</v>
      </c>
      <c r="K1812" t="n">
        <v>0.0625</v>
      </c>
      <c r="L1812" t="inlineStr">
        <is>
          <t>This code implements core algorithms for backend software components, focusing on efficient data processing and manipulation tasks. It processes large datasets using an O(N) complexity approach, leveraging existing comments and commit messages from an initial codebase commit. The code size is approximately 1000 lines, reflecting its importance as part of the overall system architecture.</t>
        </is>
      </c>
      <c r="M1812" t="n">
        <v>0.008999999999999999</v>
      </c>
      <c r="N1812" t="n">
        <v>0.127</v>
      </c>
      <c r="O1812" t="n">
        <v>0.3384</v>
      </c>
    </row>
    <row r="1813">
      <c r="A1813" t="inlineStr">
        <is>
          <t>sponge</t>
        </is>
      </c>
      <c r="B1813" t="inlineStr">
        <is>
          <t>src/main/java/org/spongepowered/api/command/package-info.java</t>
        </is>
      </c>
      <c r="C1813">
        <f>HYPERLINK("https://github.com/SpongePowered/SpongeAPI/blob/master/src/main/java/org/spongepowered/api/command/package-info.java")</f>
        <v/>
      </c>
      <c r="D1813" t="inlineStr">
        <is>
          <t>The provided code is a Java implementation of core algorithms with a time complexity of O(N). It includes comments explaining its purpose and functionality, as well as details about its license, copyright holders, and usage permissions. The README provides information about the repository's contents, complexity, and commits. The code size is 1000 lines.</t>
        </is>
      </c>
      <c r="E1813" t="n">
        <v>0.0041</v>
      </c>
      <c r="F1813" t="n">
        <v>0.127</v>
      </c>
      <c r="G1813" t="n">
        <v>0.12</v>
      </c>
      <c r="H1813" t="inlineStr">
        <is>
          <t>The code implements core algorithms for backend software components. Complexity is O(N), indicating linear time complexity with respect to input size N. Comments describe the implementation details.</t>
        </is>
      </c>
      <c r="I1813" t="n">
        <v>0.0163</v>
      </c>
      <c r="J1813" t="n">
        <v>0.1111</v>
      </c>
      <c r="K1813" t="n">
        <v>0.2581</v>
      </c>
      <c r="L1813"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1813" t="n">
        <v>0.0123</v>
      </c>
      <c r="N1813" t="n">
        <v>0.1633</v>
      </c>
      <c r="O1813" t="n">
        <v>0.3807</v>
      </c>
    </row>
    <row r="1814">
      <c r="A1814" t="inlineStr">
        <is>
          <t>sponge</t>
        </is>
      </c>
      <c r="B1814" t="inlineStr">
        <is>
          <t>src/main/java/org/spongepowered/api/command/CommandCause.java</t>
        </is>
      </c>
      <c r="C1814">
        <f>HYPERLINK("https://github.com/SpongePowered/SpongeAPI/blob/master/src/main/java/org/spongepowered/api/command/CommandCause.java")</f>
        <v/>
      </c>
      <c r="D1814" t="inlineStr">
        <is>
          <t>The provided code is a snippet from a Java project that implements core algorithms with a time complexity of O(N). It includes comments explaining its purpose, implementation details, and usage. The code does not contain any specific algorithmic logic but rather serves as a template for implementing such algorithms.</t>
        </is>
      </c>
      <c r="E1814" t="n">
        <v>0.008800000000000001</v>
      </c>
      <c r="F1814" t="n">
        <v>0.1379</v>
      </c>
      <c r="G1814" t="n">
        <v>0.2112</v>
      </c>
      <c r="H1814" t="inlineStr">
        <is>
          <t>Manages backend software components with complexity O(N).</t>
        </is>
      </c>
      <c r="I1814" t="n">
        <v>0.0286</v>
      </c>
      <c r="J1814" t="n">
        <v>0.125</v>
      </c>
      <c r="K1814" t="n">
        <v>0.0633</v>
      </c>
      <c r="L1814" t="inlineStr">
        <is>
          <t>This code implements core algorithms for backend software components using a time complexity of O(N). It includes comments explaining implementation details and has been committed as the initial codebase version. The total size of the codebase is 1000 lines.</t>
        </is>
      </c>
      <c r="M1814" t="n">
        <v>0.0126</v>
      </c>
      <c r="N1814" t="n">
        <v>0.1667</v>
      </c>
      <c r="O1814" t="n">
        <v>0.3841</v>
      </c>
    </row>
    <row r="1815">
      <c r="A1815" t="inlineStr">
        <is>
          <t>sponge</t>
        </is>
      </c>
      <c r="B1815" t="inlineStr">
        <is>
          <t>src/main/java/org/spongepowered/api/command/CommandResult.java</t>
        </is>
      </c>
      <c r="C1815">
        <f>HYPERLINK("https://github.com/SpongePowered/SpongeAPI/blob/master/src/main/java/org/spongepowered/api/command/CommandResult.java")</f>
        <v/>
      </c>
      <c r="D1815" t="inlineStr">
        <is>
          <t>The provided code is a backend software component with a complexity of O(N). It implements core algorithms and includes comments explaining its implementation. The code size is 1000 lines long.</t>
        </is>
      </c>
      <c r="E1815" t="n">
        <v>0.0157</v>
      </c>
      <c r="F1815" t="n">
        <v>0.2051</v>
      </c>
      <c r="G1815" t="n">
        <v>0.3094</v>
      </c>
      <c r="H1815" t="inlineStr">
        <is>
          <t>Manages backend software components with complex algorithm implementations.</t>
        </is>
      </c>
      <c r="I1815" t="n">
        <v>0.0278</v>
      </c>
      <c r="J1815" t="n">
        <v>0.25</v>
      </c>
      <c r="K1815" t="n">
        <v>0.0625</v>
      </c>
      <c r="L1815" t="inlineStr">
        <is>
          <t>This file is part of SpongeAPI, which provides backend software components. It includes initial implementation of core algorithms, adhering to a time complexity of O(N). The code size is 1000 lines, and existing comments indicate that it implements these algorithms.</t>
        </is>
      </c>
      <c r="M1815" t="n">
        <v>0.0069</v>
      </c>
      <c r="N1815" t="n">
        <v>0.2041</v>
      </c>
      <c r="O1815" t="n">
        <v>0.2679</v>
      </c>
    </row>
    <row r="1816">
      <c r="A1816" t="inlineStr">
        <is>
          <t>sponge</t>
        </is>
      </c>
      <c r="B1816" t="inlineStr">
        <is>
          <t>src/main/java/org/spongepowered/api/command/CommandCompletion.java</t>
        </is>
      </c>
      <c r="C1816">
        <f>HYPERLINK("https://github.com/SpongePowered/SpongeAPI/blob/master/src/main/java/org/spongepowered/api/command/CommandCompletion.java")</f>
        <v/>
      </c>
      <c r="D1816" t="inlineStr">
        <is>
          <t>The provided code is a backend software component with complexity O(N). It implements core algorithms and includes comments explaining its implementation. The code size is 1000 lines.</t>
        </is>
      </c>
      <c r="E1816" t="n">
        <v>0.0176</v>
      </c>
      <c r="F1816" t="n">
        <v>0.2222</v>
      </c>
      <c r="G1816" t="n">
        <v>0.3188</v>
      </c>
      <c r="H1816" t="inlineStr">
        <is>
          <t>Manages backend software components with complex algorithm implementations.</t>
        </is>
      </c>
      <c r="I1816" t="n">
        <v>0.0278</v>
      </c>
      <c r="J1816" t="n">
        <v>0.25</v>
      </c>
      <c r="K1816" t="n">
        <v>0.0625</v>
      </c>
      <c r="L1816" t="inlineStr">
        <is>
          <t>This code implements backend software components for a platform that processes data using complex algorithms efficiently. It handles various inputs and outputs through its core functionalities, ensuring high performance and scalability.</t>
        </is>
      </c>
      <c r="M1816" t="n">
        <v>0.008999999999999999</v>
      </c>
      <c r="N1816" t="n">
        <v>0.2564</v>
      </c>
      <c r="O1816" t="n">
        <v>0.2913</v>
      </c>
    </row>
    <row r="1817">
      <c r="A1817" t="inlineStr">
        <is>
          <t>sponge</t>
        </is>
      </c>
      <c r="B1817" t="inlineStr">
        <is>
          <t>src/main/java/org/spongepowered/api/command/Command.java</t>
        </is>
      </c>
      <c r="C1817">
        <f>HYPERLINK("https://github.com/SpongePowered/SpongeAPI/blob/master/src/main/java/org/spongepowered/api/command/Command.java")</f>
        <v/>
      </c>
      <c r="D1817" t="inlineStr">
        <is>
          <t>The provided code is a Java implementation of core algorithms with a time complexity of O(N). It includes comments explaining its purpose and usage, as well as details about its license and structure. The README provides information about the repository's contents and complexity level.</t>
        </is>
      </c>
      <c r="E1817" t="n">
        <v>0.005</v>
      </c>
      <c r="F1817" t="n">
        <v>0.1111</v>
      </c>
      <c r="G1817" t="n">
        <v>0.1293</v>
      </c>
      <c r="H1817" t="inlineStr">
        <is>
          <t>The code implements core algorithms for a backend system. It has a complexity of O(N), indicating linear time complexity with respect to input size N. The README provides information about the repository's purpose as containing backend software components.</t>
        </is>
      </c>
      <c r="I1817" t="n">
        <v>0.0114</v>
      </c>
      <c r="J1817" t="n">
        <v>0.0833</v>
      </c>
      <c r="K1817" t="n">
        <v>0.2323</v>
      </c>
      <c r="L1817" t="inlineStr">
        <is>
          <t>This code implements core algorithms for backend software components, focusing on efficient data processing and manipulation. It has a time complexity of O(N), making it suitable for large datasets. The implementation includes comments that describe the core functionalities, ensuring clarity and maintainability.</t>
        </is>
      </c>
      <c r="M1817" t="n">
        <v>0.0117</v>
      </c>
      <c r="N1817" t="n">
        <v>0.2353</v>
      </c>
      <c r="O1817" t="n">
        <v>0.2193</v>
      </c>
    </row>
    <row r="1818">
      <c r="A1818" t="inlineStr">
        <is>
          <t>sponge</t>
        </is>
      </c>
      <c r="B1818" t="inlineStr">
        <is>
          <t>src/main/java/org/spongepowered/api/command/CommandExecutor.java</t>
        </is>
      </c>
      <c r="C1818">
        <f>HYPERLINK("https://github.com/SpongePowered/SpongeAPI/blob/master/src/main/java/org/spongepowered/api/command/CommandExecutor.java")</f>
        <v/>
      </c>
      <c r="D1818" t="inlineStr">
        <is>
          <t>The provided code is a Java implementation of core algorithms with a time complexity of O(N). It includes comments explaining its purpose and functionality, as well as details about its license and usage. The README provides information about the repository's contents and structure.</t>
        </is>
      </c>
      <c r="E1818" t="n">
        <v>0.0051</v>
      </c>
      <c r="F1818" t="n">
        <v>0.1509</v>
      </c>
      <c r="G1818" t="n">
        <v>0.1304</v>
      </c>
      <c r="H1818" t="inlineStr">
        <is>
          <t>Manages backend software components with complex algorithm implementations.</t>
        </is>
      </c>
      <c r="I1818" t="n">
        <v>0.0278</v>
      </c>
      <c r="J1818" t="n">
        <v>0.25</v>
      </c>
      <c r="K1818" t="n">
        <v>0.0625</v>
      </c>
      <c r="L1818" t="inlineStr">
        <is>
          <t>This code provides a basic framework for a backend software component that processes data using core algorithms. It includes comments explaining implementation details and is designed to handle input data efficiently, ensuring optimal performance as indicated by a time complexity of O(N).</t>
        </is>
      </c>
      <c r="M1818" t="n">
        <v>0.0062</v>
      </c>
      <c r="N1818" t="n">
        <v>0.1569</v>
      </c>
      <c r="O1818" t="n">
        <v>0.2632</v>
      </c>
    </row>
    <row r="1819">
      <c r="A1819" t="inlineStr">
        <is>
          <t>sponge</t>
        </is>
      </c>
      <c r="B1819" t="inlineStr">
        <is>
          <t>src/main/java/org/spongepowered/api/command/manager/package-info.java</t>
        </is>
      </c>
      <c r="C1819">
        <f>HYPERLINK("https://github.com/SpongePowered/SpongeAPI/blob/master/src/main/java/org/spongepowered/api/command/manager/package-info.java")</f>
        <v/>
      </c>
      <c r="D1819" t="inlineStr">
        <is>
          <t>The provided code is a backend software component with a time complexity of O(N). It implements core algorithms and includes comments explaining its implementation. The code size is 1000 lines long.</t>
        </is>
      </c>
      <c r="E1819" t="n">
        <v>0.0152</v>
      </c>
      <c r="F1819" t="n">
        <v>0.2</v>
      </c>
      <c r="G1819" t="n">
        <v>0.3064</v>
      </c>
      <c r="H1819" t="inlineStr">
        <is>
          <t>Manages backend software components with complex algorithm implementations.</t>
        </is>
      </c>
      <c r="I1819" t="n">
        <v>0.0278</v>
      </c>
      <c r="J1819" t="n">
        <v>0.25</v>
      </c>
      <c r="K1819" t="n">
        <v>0.0625</v>
      </c>
      <c r="L1819" t="inlineStr">
        <is>
          <t>This code implements core algorithms for a backend software component, focusing on efficient data processing and manipulation. It processes large datasets using an O(N) complexity approach, leveraging existing comments and implementation details from previous commits. The code size is approximately 1000 lines, reflecting its importance as part of the overall system architecture.</t>
        </is>
      </c>
      <c r="M1819" t="n">
        <v>0.0094</v>
      </c>
      <c r="N1819" t="n">
        <v>0.1311</v>
      </c>
      <c r="O1819" t="n">
        <v>0.3439</v>
      </c>
    </row>
    <row r="1820">
      <c r="A1820" t="inlineStr">
        <is>
          <t>sponge</t>
        </is>
      </c>
      <c r="B1820" t="inlineStr">
        <is>
          <t>src/main/java/org/spongepowered/api/command/manager/CommandFailedRegistrationException.java</t>
        </is>
      </c>
      <c r="C1820">
        <f>HYPERLINK("https://github.com/SpongePowered/SpongeAPI/blob/master/src/main/java/org/spongepowered/api/command/manager/CommandFailedRegistrationException.java")</f>
        <v/>
      </c>
      <c r="D1820" t="inlineStr">
        <is>
          <t>The provided code is a Java class that implements core algorithms with a time complexity of O(N). It includes comments explaining its purpose, implementation details, and usage. The code size is 1000 lines long.</t>
        </is>
      </c>
      <c r="E1820" t="n">
        <v>0.0128</v>
      </c>
      <c r="F1820" t="n">
        <v>0.1395</v>
      </c>
      <c r="G1820" t="n">
        <v>0.2411</v>
      </c>
      <c r="H1820" t="inlineStr">
        <is>
          <t>This repository contains backend software components with complexity O(N). It implements core algorithms and includes comments explaining the implementation. The total size of the codebase is 1000 lines.</t>
        </is>
      </c>
      <c r="I1820" t="n">
        <v>0.0179</v>
      </c>
      <c r="J1820" t="n">
        <v>0.2703</v>
      </c>
      <c r="K1820" t="n">
        <v>0.372</v>
      </c>
      <c r="L1820" t="inlineStr">
        <is>
          <t>This code implements core algorithms for backend software components, focusing on efficient data processing and manipulation. It processes large datasets using an O(N) complexity algorithm, leveraging comments and existing implementations to ensure clarity and maintainability.</t>
        </is>
      </c>
      <c r="M1820" t="n">
        <v>0.0141</v>
      </c>
      <c r="N1820" t="n">
        <v>0.1818</v>
      </c>
      <c r="O1820" t="n">
        <v>0.3985</v>
      </c>
    </row>
    <row r="1821">
      <c r="A1821" t="inlineStr">
        <is>
          <t>sponge</t>
        </is>
      </c>
      <c r="B1821" t="inlineStr">
        <is>
          <t>src/main/java/org/spongepowered/api/command/manager/CommandMapping.java</t>
        </is>
      </c>
      <c r="C1821">
        <f>HYPERLINK("https://github.com/SpongePowered/SpongeAPI/blob/master/src/main/java/org/spongepowered/api/command/manager/CommandMapping.java")</f>
        <v/>
      </c>
      <c r="D1821" t="inlineStr">
        <is>
          <t>The provided code is a Java implementation of core algorithms with a time complexity of O(N). It includes comments explaining its purpose and usage, as well as details about its license and structure. The README provides information about the repository's contents and complexity level.</t>
        </is>
      </c>
      <c r="E1821" t="n">
        <v>0.005</v>
      </c>
      <c r="F1821" t="n">
        <v>0.1111</v>
      </c>
      <c r="G1821" t="n">
        <v>0.1293</v>
      </c>
      <c r="H1821" t="inlineStr">
        <is>
          <t>This repository contains backend software components with complexity O(N). It includes implementation of core algorithms and comments explaining their functionality. The total size of the codebase is 1000 lines.</t>
        </is>
      </c>
      <c r="I1821" t="n">
        <v>0.0092</v>
      </c>
      <c r="J1821" t="n">
        <v>0.2632</v>
      </c>
      <c r="K1821" t="n">
        <v>0.2475</v>
      </c>
      <c r="L1821" t="inlineStr">
        <is>
          <t>This code implements core algorithms for backend software components using Java, adhering to the MIT license. It processes data efficiently with a time complexity of O(N), ensuring optimal performance. The implementation includes comments that provide context and clarify the core functionalities.</t>
        </is>
      </c>
      <c r="M1821" t="n">
        <v>0.012</v>
      </c>
      <c r="N1821" t="n">
        <v>0.2</v>
      </c>
      <c r="O1821" t="n">
        <v>0.2655</v>
      </c>
    </row>
    <row r="1822">
      <c r="A1822" t="inlineStr">
        <is>
          <t>sponge</t>
        </is>
      </c>
      <c r="B1822" t="inlineStr">
        <is>
          <t>src/main/java/org/spongepowered/api/command/manager/CommandManager.java</t>
        </is>
      </c>
      <c r="C1822">
        <f>HYPERLINK("https://github.com/SpongePowered/SpongeAPI/blob/master/src/main/java/org/spongepowered/api/command/manager/CommandManager.java")</f>
        <v/>
      </c>
      <c r="D1822" t="inlineStr">
        <is>
          <t>The provided code is a Java class that implements core algorithms with a time complexity of O(N). It includes comments explaining its implementation and structure, as well as metadata about its license, copyright holders, and usage terms. The README provides information about the repository's purpose, complexity, and contents.</t>
        </is>
      </c>
      <c r="E1822" t="n">
        <v>0.008999999999999999</v>
      </c>
      <c r="F1822" t="n">
        <v>0.1034</v>
      </c>
      <c r="G1822" t="n">
        <v>0.213</v>
      </c>
      <c r="H1822" t="inlineStr">
        <is>
          <t>The code implements core algorithms for a backend system. Complexity is O(N), indicating linear time complexity with respect to input size N. Comments describe the implementation details.</t>
        </is>
      </c>
      <c r="I1822" t="n">
        <v>0.0148</v>
      </c>
      <c r="J1822" t="n">
        <v>0.1111</v>
      </c>
      <c r="K1822" t="n">
        <v>0.1894</v>
      </c>
      <c r="L1822" t="inlineStr">
        <is>
          <t>This code implements core algorithms for backend software components using a complexity of O(N), focusing on efficient data processing and manipulation. It includes comments explaining implementation details and adheres to best practices for code readability and maintainability.</t>
        </is>
      </c>
      <c r="M1822" t="n">
        <v>0.0133</v>
      </c>
      <c r="N1822" t="n">
        <v>0.1739</v>
      </c>
      <c r="O1822" t="n">
        <v>0.3912</v>
      </c>
    </row>
    <row r="1823">
      <c r="A1823" t="inlineStr">
        <is>
          <t>sponge</t>
        </is>
      </c>
      <c r="B1823" t="inlineStr">
        <is>
          <t>src/main/java/org/spongepowered/api/command/selector/SelectorSortAlgorithm.java</t>
        </is>
      </c>
      <c r="C1823">
        <f>HYPERLINK("https://github.com/SpongePowered/SpongeAPI/blob/master/src/main/java/org/spongepowered/api/command/selector/SelectorSortAlgorithm.java")</f>
        <v/>
      </c>
      <c r="D1823" t="inlineStr">
        <is>
          <t>The provided code is a Java implementation of core algorithms with a time complexity of O(N). It includes comments explaining its purpose and structure, as well as details about its license and usage. The README provides information about the repository's contents and complexity level.</t>
        </is>
      </c>
      <c r="E1823" t="n">
        <v>0.005</v>
      </c>
      <c r="F1823" t="n">
        <v>0.1111</v>
      </c>
      <c r="G1823" t="n">
        <v>0.1293</v>
      </c>
      <c r="H1823" t="inlineStr">
        <is>
          <t>Manages backend software components with complex algorithm implementations.</t>
        </is>
      </c>
      <c r="I1823" t="n">
        <v>0.0278</v>
      </c>
      <c r="J1823" t="n">
        <v>0.25</v>
      </c>
      <c r="K1823" t="n">
        <v>0.0625</v>
      </c>
      <c r="L1823" t="inlineStr">
        <is>
          <t>This code implements core algorithms for a backend software component, handling input data efficiently with a time complexity of O(N). It includes comments explaining implementation details and adheres to best practices for code readability and maintainability.</t>
        </is>
      </c>
      <c r="M1823" t="n">
        <v>0.0137</v>
      </c>
      <c r="N1823" t="n">
        <v>0.1778</v>
      </c>
      <c r="O1823" t="n">
        <v>0.3444</v>
      </c>
    </row>
    <row r="1824">
      <c r="A1824" t="inlineStr">
        <is>
          <t>sponge</t>
        </is>
      </c>
      <c r="B1824" t="inlineStr">
        <is>
          <t>src/main/java/org/spongepowered/api/command/selector/package-info.java</t>
        </is>
      </c>
      <c r="C1824">
        <f>HYPERLINK("https://github.com/SpongePowered/SpongeAPI/blob/master/src/main/java/org/spongepowered/api/command/selector/package-info.java")</f>
        <v/>
      </c>
      <c r="D1824" t="inlineStr">
        <is>
          <t>The provided code is a Java implementation of core algorithms with a time complexity of O(N). It includes comments explaining its purpose and structure, as well as a README file detailing its contents and usage. The code size is 1000 lines.</t>
        </is>
      </c>
      <c r="E1824" t="n">
        <v>0.0054</v>
      </c>
      <c r="F1824" t="n">
        <v>0.12</v>
      </c>
      <c r="G1824" t="n">
        <v>0.1327</v>
      </c>
      <c r="H1824" t="inlineStr">
        <is>
          <t>This repository contains backend software components with complexity O(N). It includes implementations of core algorithms. The code size is 1000 lines.</t>
        </is>
      </c>
      <c r="I1824" t="n">
        <v>0.012</v>
      </c>
      <c r="J1824" t="n">
        <v>0.2667</v>
      </c>
      <c r="K1824" t="n">
        <v>0.2151</v>
      </c>
      <c r="L1824" t="inlineStr">
        <is>
          <t>This code implements core algorithms for backend software components, handling input/output operations efficiently within a complexity of O(N). It includes comments explaining implementation details and adheres to best practices for code readability and maintainability.</t>
        </is>
      </c>
      <c r="M1824" t="n">
        <v>0.0146</v>
      </c>
      <c r="N1824" t="n">
        <v>0.1818</v>
      </c>
      <c r="O1824" t="n">
        <v>0.3509</v>
      </c>
    </row>
    <row r="1825">
      <c r="A1825" t="inlineStr">
        <is>
          <t>sponge</t>
        </is>
      </c>
      <c r="B1825" t="inlineStr">
        <is>
          <t>src/main/java/org/spongepowered/api/command/selector/SelectorSortAlgorithms.java</t>
        </is>
      </c>
      <c r="C1825">
        <f>HYPERLINK("https://github.com/SpongePowered/SpongeAPI/blob/master/src/main/java/org/spongepowered/api/command/selector/SelectorSortAlgorithms.java")</f>
        <v/>
      </c>
      <c r="D1825" t="inlineStr">
        <is>
          <t>The provided code is a Java implementation of core algorithms with a time complexity of O(N). It includes comments explaining its purpose, complexity analysis, and commits detailing the initial development process. The README provides information about the repository's contents and structure.</t>
        </is>
      </c>
      <c r="E1825" t="n">
        <v>0.0054</v>
      </c>
      <c r="F1825" t="n">
        <v>0.1176</v>
      </c>
      <c r="G1825" t="n">
        <v>0.1327</v>
      </c>
      <c r="H1825" t="inlineStr">
        <is>
          <t>This repository contains backend software components with complexity O(N), implementing core algorithms. It includes comments explaining the implementation and has been committed initially. The total size of the codebase is 1000 lines.</t>
        </is>
      </c>
      <c r="I1825" t="n">
        <v>0.0083</v>
      </c>
      <c r="J1825" t="n">
        <v>0.2439</v>
      </c>
      <c r="K1825" t="n">
        <v>0.2404</v>
      </c>
      <c r="L1825" t="inlineStr">
        <is>
          <t>This code implements core algorithms for a backend software component, focusing on efficient data processing and manipulation tasks. It processes large datasets using an O(N) complexity algorithm, ensuring optimal performance while maintaining clarity through well-documented comments and initial implementation details.</t>
        </is>
      </c>
      <c r="M1825" t="n">
        <v>0.0123</v>
      </c>
      <c r="N1825" t="n">
        <v>0.16</v>
      </c>
      <c r="O1825" t="n">
        <v>0.3807</v>
      </c>
    </row>
    <row r="1826">
      <c r="A1826" t="inlineStr">
        <is>
          <t>sponge</t>
        </is>
      </c>
      <c r="B1826" t="inlineStr">
        <is>
          <t>src/main/java/org/spongepowered/api/command/selector/Selector.java</t>
        </is>
      </c>
      <c r="C1826">
        <f>HYPERLINK("https://github.com/SpongePowered/SpongeAPI/blob/master/src/main/java/org/spongepowered/api/command/selector/Selector.java")</f>
        <v/>
      </c>
      <c r="D1826" t="inlineStr">
        <is>
          <t>The provided code is a backend software component that implements core algorithms with a time complexity of O(N). It includes comments explaining its implementation and structure. The code size is 1000 lines.</t>
        </is>
      </c>
      <c r="E1826" t="n">
        <v>0.0147</v>
      </c>
      <c r="F1826" t="n">
        <v>0.1951</v>
      </c>
      <c r="G1826" t="n">
        <v>0.3035</v>
      </c>
      <c r="H1826" t="inlineStr">
        <is>
          <t>Manages backend software components with complex algorithm implementations.</t>
        </is>
      </c>
      <c r="I1826" t="n">
        <v>0.0278</v>
      </c>
      <c r="J1826" t="n">
        <v>0.25</v>
      </c>
      <c r="K1826" t="n">
        <v>0.0625</v>
      </c>
      <c r="L1826" t="inlineStr">
        <is>
          <t>This code implements core algorithms for backend software components, handling input data efficiently with a time complexity of O(N). It includes comments explaining implementation details and adheres to best practices for code readability and maintainability.</t>
        </is>
      </c>
      <c r="M1826" t="n">
        <v>0.0141</v>
      </c>
      <c r="N1826" t="n">
        <v>0.1818</v>
      </c>
      <c r="O1826" t="n">
        <v>0.3477</v>
      </c>
    </row>
    <row r="1827">
      <c r="A1827" t="inlineStr">
        <is>
          <t>sponge</t>
        </is>
      </c>
      <c r="B1827" t="inlineStr">
        <is>
          <t>src/main/java/org/spongepowered/api/command/selector/SelectorTypes.java</t>
        </is>
      </c>
      <c r="C1827">
        <f>HYPERLINK("https://github.com/SpongePowered/SpongeAPI/blob/master/src/main/java/org/spongepowered/api/command/selector/SelectorTypes.java")</f>
        <v/>
      </c>
      <c r="D1827" t="inlineStr">
        <is>
          <t>The provided code is a backend software component that implements core algorithms with a time complexity of O(N). It includes comments explaining its implementation and structure. The code size is 1000 lines long.</t>
        </is>
      </c>
      <c r="E1827" t="n">
        <v>0.0142</v>
      </c>
      <c r="F1827" t="n">
        <v>0.1905</v>
      </c>
      <c r="G1827" t="n">
        <v>0.3006</v>
      </c>
      <c r="H1827" t="inlineStr">
        <is>
          <t>This repository contains backend software components with complexity O(N), implementing core algorithms. It includes comments explaining the implementation and has been committed initially. The total size of the codebase is 1000 lines.</t>
        </is>
      </c>
      <c r="I1827" t="n">
        <v>0.0083</v>
      </c>
      <c r="J1827" t="n">
        <v>0.2439</v>
      </c>
      <c r="K1827" t="n">
        <v>0.2404</v>
      </c>
      <c r="L1827" t="inlineStr">
        <is>
          <t>This code implements core algorithms for a backend software component, focusing on efficient data processing and manipulation tasks. It uses a time complexity of O(N), indicating linear performance relative to input size, and includes comments that provide implementation details. The codebase has been initialized with initial commits and is designed to handle various types of data efficiently within the context of a larger system.</t>
        </is>
      </c>
      <c r="M1827" t="n">
        <v>0.0076</v>
      </c>
      <c r="N1827" t="n">
        <v>0.1096</v>
      </c>
      <c r="O1827" t="n">
        <v>0.3135</v>
      </c>
    </row>
    <row r="1828">
      <c r="A1828" t="inlineStr">
        <is>
          <t>sponge</t>
        </is>
      </c>
      <c r="B1828" t="inlineStr">
        <is>
          <t>src/main/java/org/spongepowered/api/command/selector/SelectorType.java</t>
        </is>
      </c>
      <c r="C1828">
        <f>HYPERLINK("https://github.com/SpongePowered/SpongeAPI/blob/master/src/main/java/org/spongepowered/api/command/selector/SelectorType.java")</f>
        <v/>
      </c>
      <c r="D1828" t="inlineStr">
        <is>
          <t>The provided code is a Java implementation of core algorithms with a time complexity of O(N). It includes comments explaining its purpose and usage, as well as a README file detailing its contents and structure. The code size is 1000 lines.</t>
        </is>
      </c>
      <c r="E1828" t="n">
        <v>0.0054</v>
      </c>
      <c r="F1828" t="n">
        <v>0.12</v>
      </c>
      <c r="G1828" t="n">
        <v>0.1327</v>
      </c>
      <c r="H1828" t="inlineStr">
        <is>
          <t>Manages backend software components with complexity O(N).</t>
        </is>
      </c>
      <c r="I1828" t="n">
        <v>0.0286</v>
      </c>
      <c r="J1828" t="n">
        <v>0.125</v>
      </c>
      <c r="K1828" t="n">
        <v>0.0633</v>
      </c>
      <c r="L1828" t="inlineStr">
        <is>
          <t>This code implements core algorithms for backend software components, focusing on efficient data processing and manipulation tasks. It has a time complexity of O(N), making it suitable for handling large datasets. The implementation includes comments that describe the core functionalities, ensuring clarity and ease of maintenance.</t>
        </is>
      </c>
      <c r="M1828" t="n">
        <v>0.0106</v>
      </c>
      <c r="N1828" t="n">
        <v>0.2182</v>
      </c>
      <c r="O1828" t="n">
        <v>0.2119</v>
      </c>
    </row>
    <row r="1829">
      <c r="A1829" t="inlineStr">
        <is>
          <t>sponge</t>
        </is>
      </c>
      <c r="B1829" t="inlineStr">
        <is>
          <t>src/main/java/org/spongepowered/api/command/registrar/CommandRegistrarType.java</t>
        </is>
      </c>
      <c r="C1829">
        <f>HYPERLINK("https://github.com/SpongePowered/SpongeAPI/blob/master/src/main/java/org/spongepowered/api/command/registrar/CommandRegistrarType.java")</f>
        <v/>
      </c>
      <c r="D1829" t="inlineStr">
        <is>
          <t>The provided code is a Java implementation of core algorithms with a time complexity of O(N). It includes comments explaining its purpose and functionality, as well as details about its license and usage. The README provides information about the repository's contents and structure.</t>
        </is>
      </c>
      <c r="E1829" t="n">
        <v>0.0051</v>
      </c>
      <c r="F1829" t="n">
        <v>0.1509</v>
      </c>
      <c r="G1829" t="n">
        <v>0.1304</v>
      </c>
      <c r="H1829" t="inlineStr">
        <is>
          <t>The code implements core algorithms for a backend system. Complexity is O(N), indicating linear time complexity with respect to input size N. Comments describe the implementation details, while commits track the initial creation of the codebase. The total code size is 1000 lines.</t>
        </is>
      </c>
      <c r="I1829" t="n">
        <v>0.0091</v>
      </c>
      <c r="J1829" t="n">
        <v>0.0769</v>
      </c>
      <c r="K1829" t="n">
        <v>0.163</v>
      </c>
      <c r="L1829" t="inlineStr">
        <is>
          <t>This code implements core algorithms for a backend software component using a time complexity of O(N). It includes comments explaining implementation details and has been committed as part of the initial codebase. The total size of the codebase is 1000 lines.</t>
        </is>
      </c>
      <c r="M1829" t="n">
        <v>0.012</v>
      </c>
      <c r="N1829" t="n">
        <v>0.16</v>
      </c>
      <c r="O1829" t="n">
        <v>0.3773</v>
      </c>
    </row>
    <row r="1830">
      <c r="A1830" t="inlineStr">
        <is>
          <t>sponge</t>
        </is>
      </c>
      <c r="B1830" t="inlineStr">
        <is>
          <t>src/main/java/org/spongepowered/api/command/registrar/package-info.java</t>
        </is>
      </c>
      <c r="C1830">
        <f>HYPERLINK("https://github.com/SpongePowered/SpongeAPI/blob/master/src/main/java/org/spongepowered/api/command/registrar/package-info.java")</f>
        <v/>
      </c>
      <c r="D1830" t="inlineStr">
        <is>
          <t>The provided code is a Java implementation of core algorithms with a time complexity of O(N). It includes comments explaining its purpose and usage, as well as details about its license and ownership. The README provides information about the repository's contents and structure.</t>
        </is>
      </c>
      <c r="E1830" t="n">
        <v>0.0051</v>
      </c>
      <c r="F1830" t="n">
        <v>0.1132</v>
      </c>
      <c r="G1830" t="n">
        <v>0.1304</v>
      </c>
      <c r="H1830" t="inlineStr">
        <is>
          <t>Manages backend software components with complex algorithm implementations.</t>
        </is>
      </c>
      <c r="I1830" t="n">
        <v>0.0278</v>
      </c>
      <c r="J1830" t="n">
        <v>0.25</v>
      </c>
      <c r="K1830" t="n">
        <v>0.0625</v>
      </c>
      <c r="L1830"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1830" t="n">
        <v>0.0123</v>
      </c>
      <c r="N1830" t="n">
        <v>0.1633</v>
      </c>
      <c r="O1830" t="n">
        <v>0.3807</v>
      </c>
    </row>
    <row r="1831">
      <c r="A1831" t="inlineStr">
        <is>
          <t>sponge</t>
        </is>
      </c>
      <c r="B1831" t="inlineStr">
        <is>
          <t>src/main/java/org/spongepowered/api/command/registrar/CommandRegistrar.java</t>
        </is>
      </c>
      <c r="C1831">
        <f>HYPERLINK("https://github.com/SpongePowered/SpongeAPI/blob/master/src/main/java/org/spongepowered/api/command/registrar/CommandRegistrar.java")</f>
        <v/>
      </c>
      <c r="D1831" t="inlineStr">
        <is>
          <t>The provided code is a Java class that implements core algorithms with a time complexity of O(N). It includes comments explaining its purpose and implementation details. The code size is 1000 lines long.</t>
        </is>
      </c>
      <c r="E1831" t="n">
        <v>0.0132</v>
      </c>
      <c r="F1831" t="n">
        <v>0.1429</v>
      </c>
      <c r="G1831" t="n">
        <v>0.2434</v>
      </c>
      <c r="H1831" t="inlineStr">
        <is>
          <t>This repository contains backend software components with complexity O(N), implementing core algorithms. It includes comments explaining the implementation and has been committed initially. The total size of the codebase is 1000 lines.</t>
        </is>
      </c>
      <c r="I1831" t="n">
        <v>0.0083</v>
      </c>
      <c r="J1831" t="n">
        <v>0.2439</v>
      </c>
      <c r="K1831" t="n">
        <v>0.2404</v>
      </c>
      <c r="L1831" t="inlineStr">
        <is>
          <t>This code provides a comprehensive implementation of core algorithms for backend software components using Java, adhering to the MIT license. It includes comments explaining the implementation details and follows best practices for code readability and maintainability. The complexity of the code is O(N), indicating linear time complexity, which is suitable for handling typical input sizes within the context of backend systems.</t>
        </is>
      </c>
      <c r="M1831" t="n">
        <v>0.0042</v>
      </c>
      <c r="N1831" t="n">
        <v>0.1143</v>
      </c>
      <c r="O1831" t="n">
        <v>0.2256</v>
      </c>
    </row>
    <row r="1832">
      <c r="A1832" t="inlineStr">
        <is>
          <t>sponge</t>
        </is>
      </c>
      <c r="B1832" t="inlineStr">
        <is>
          <t>src/main/java/org/spongepowered/api/command/registrar/tree/package-info.java</t>
        </is>
      </c>
      <c r="C1832">
        <f>HYPERLINK("https://github.com/SpongePowered/SpongeAPI/blob/master/src/main/java/org/spongepowered/api/command/registrar/tree/package-info.java")</f>
        <v/>
      </c>
      <c r="D1832" t="inlineStr">
        <is>
          <t>The provided code is a Java class that implements core algorithms with a time complexity of O(N). It includes comments explaining its purpose, implementation details, and usage. The code size is 1000 lines.</t>
        </is>
      </c>
      <c r="E1832" t="n">
        <v>0.0132</v>
      </c>
      <c r="F1832" t="n">
        <v>0.1429</v>
      </c>
      <c r="G1832" t="n">
        <v>0.2434</v>
      </c>
      <c r="H1832" t="inlineStr">
        <is>
          <t>This repository contains backend software components with complexity O(N). It includes implementation of core algorithms and has been initialized with a single commit. The total size of the codebase is 1000 lines.</t>
        </is>
      </c>
      <c r="I1832" t="n">
        <v>0.0083</v>
      </c>
      <c r="J1832" t="n">
        <v>0.2439</v>
      </c>
      <c r="K1832" t="n">
        <v>0.2404</v>
      </c>
      <c r="L1832" t="inlineStr">
        <is>
          <t>This file is part of the Sponge API, which provides backend software components for various applications. It includes implementations of core algorithms that handle data processing tasks efficiently, such as sorting and searching. The code complexity is moderate at O(N), and existing comments provide context about the implementation of these algorithms. The initial commit message indicates the creation of the codebase.</t>
        </is>
      </c>
      <c r="M1832" t="n">
        <v>0.0042</v>
      </c>
      <c r="N1832" t="n">
        <v>0.1429</v>
      </c>
      <c r="O1832" t="n">
        <v>0.2256</v>
      </c>
    </row>
    <row r="1833">
      <c r="A1833" t="inlineStr">
        <is>
          <t>sponge</t>
        </is>
      </c>
      <c r="B1833" t="inlineStr">
        <is>
          <t>src/main/java/org/spongepowered/api/command/registrar/tree/CommandTreeNodeTypes.java</t>
        </is>
      </c>
      <c r="C1833">
        <f>HYPERLINK("https://github.com/SpongePowered/SpongeAPI/blob/master/src/main/java/org/spongepowered/api/command/registrar/tree/CommandTreeNodeTypes.java")</f>
        <v/>
      </c>
      <c r="D1833" t="inlineStr">
        <is>
          <t>The provided code is a Java implementation of core algorithms with a time complexity of O(N). It includes comments explaining its purpose, complexity analysis, and commits history. The code size is 1000 lines.</t>
        </is>
      </c>
      <c r="E1833" t="n">
        <v>0.0067</v>
      </c>
      <c r="F1833" t="n">
        <v>0.1429</v>
      </c>
      <c r="G1833" t="n">
        <v>0.1429</v>
      </c>
      <c r="H1833" t="inlineStr">
        <is>
          <t>This repository contains backend software components with complexity O(N). It implements core algorithms and includes comments for clarity. The total size of the codebase is 1000 lines.</t>
        </is>
      </c>
      <c r="I1833" t="n">
        <v>0.0186</v>
      </c>
      <c r="J1833" t="n">
        <v>0.2778</v>
      </c>
      <c r="K1833" t="n">
        <v>0.3758</v>
      </c>
      <c r="L1833" t="inlineStr">
        <is>
          <t>This code implements core algorithms for backend software components using a complexity of O(N). It includes initial implementation comments and no specific context about existing commits or README details. The total size of the codebase is 1000 lines.</t>
        </is>
      </c>
      <c r="M1833" t="n">
        <v>0.013</v>
      </c>
      <c r="N1833" t="n">
        <v>0.1702</v>
      </c>
      <c r="O1833" t="n">
        <v>0.3876</v>
      </c>
    </row>
    <row r="1834">
      <c r="A1834" t="inlineStr">
        <is>
          <t>sponge</t>
        </is>
      </c>
      <c r="B1834" t="inlineStr">
        <is>
          <t>src/main/java/org/spongepowered/api/command/registrar/tree/CommandTreeNodeType.java</t>
        </is>
      </c>
      <c r="C1834">
        <f>HYPERLINK("https://github.com/SpongePowered/SpongeAPI/blob/master/src/main/java/org/spongepowered/api/command/registrar/tree/CommandTreeNodeType.java")</f>
        <v/>
      </c>
      <c r="D1834" t="inlineStr">
        <is>
          <t>The provided code is a Java implementation of core algorithms with a time complexity of O(N). It includes comments explaining its purpose, complexity, and structure. The code does not contain any repeated sections.</t>
        </is>
      </c>
      <c r="E1834" t="n">
        <v>0.0067</v>
      </c>
      <c r="F1834" t="n">
        <v>0.1429</v>
      </c>
      <c r="G1834" t="n">
        <v>0.1429</v>
      </c>
      <c r="H1834" t="inlineStr">
        <is>
          <t>The code implements core algorithms for a backend system. Complexity is O(N), indicating linear time complexity with respect to input size N. Comments describe the implementation of these algorithms.</t>
        </is>
      </c>
      <c r="I1834" t="n">
        <v>0.0137</v>
      </c>
      <c r="J1834" t="n">
        <v>0.1053</v>
      </c>
      <c r="K1834" t="n">
        <v>0.1856</v>
      </c>
      <c r="L1834" t="inlineStr">
        <is>
          <t>This file is part of SpongeAPI, which provides backend software components for various applications. It includes implementations of core algorithms that handle data processing and manipulation efficiently, with a time complexity of O(N). The code size is 1000 lines, and existing comments provide context about the implementation of these algorithms.</t>
        </is>
      </c>
      <c r="M1834" t="n">
        <v>0.0052</v>
      </c>
      <c r="N1834" t="n">
        <v>0.1695</v>
      </c>
      <c r="O1834" t="n">
        <v>0.2459</v>
      </c>
    </row>
    <row r="1835">
      <c r="A1835" t="inlineStr">
        <is>
          <t>sponge</t>
        </is>
      </c>
      <c r="B1835" t="inlineStr">
        <is>
          <t>src/main/java/org/spongepowered/api/command/registrar/tree/CommandCompletionProvider.java</t>
        </is>
      </c>
      <c r="C1835">
        <f>HYPERLINK("https://github.com/SpongePowered/SpongeAPI/blob/master/src/main/java/org/spongepowered/api/command/registrar/tree/CommandCompletionProvider.java")</f>
        <v/>
      </c>
      <c r="D1835" t="inlineStr">
        <is>
          <t>The provided code is a Java implementation of core algorithms with a time complexity of O(N). It includes comments explaining its purpose and structure, as well as details about its license and usage. The code size is 1000 lines.</t>
        </is>
      </c>
      <c r="E1835" t="n">
        <v>0.0056</v>
      </c>
      <c r="F1835" t="n">
        <v>0.125</v>
      </c>
      <c r="G1835" t="n">
        <v>0.1351</v>
      </c>
      <c r="H1835" t="inlineStr">
        <is>
          <t>This repository contains backend software components with complexity O(N). It implements core algorithms and has been initialized with the first commit. The total size of the codebase is 1000 lines.</t>
        </is>
      </c>
      <c r="I1835" t="n">
        <v>0.0166</v>
      </c>
      <c r="J1835" t="n">
        <v>0.2564</v>
      </c>
      <c r="K1835" t="n">
        <v>0.3647</v>
      </c>
      <c r="L1835" t="inlineStr">
        <is>
          <t>This code implements core algorithms for backend software components, focusing on efficient data processing and manipulation tasks. It has a time complexity of \(O(N)\), making it suitable for large-scale applications. The implementation includes comments that describe the core functionalities, ensuring clarity and ease of maintenance.</t>
        </is>
      </c>
      <c r="M1835" t="n">
        <v>0.0109</v>
      </c>
      <c r="N1835" t="n">
        <v>0.2182</v>
      </c>
      <c r="O1835" t="n">
        <v>0.2137</v>
      </c>
    </row>
    <row r="1836">
      <c r="A1836" t="inlineStr">
        <is>
          <t>sponge</t>
        </is>
      </c>
      <c r="B1836" t="inlineStr">
        <is>
          <t>src/main/java/org/spongepowered/api/command/registrar/tree/CommandCompletionProviders.java</t>
        </is>
      </c>
      <c r="C1836">
        <f>HYPERLINK("https://github.com/SpongePowered/SpongeAPI/blob/master/src/main/java/org/spongepowered/api/command/registrar/tree/CommandCompletionProviders.java")</f>
        <v/>
      </c>
      <c r="D1836" t="inlineStr">
        <is>
          <t>The provided code is a Java implementation of core algorithms with a time complexity of O(N). It includes comments explaining its purpose and structure, as well as details about its license and usage. The code size is 1000 lines.</t>
        </is>
      </c>
      <c r="E1836" t="n">
        <v>0.0056</v>
      </c>
      <c r="F1836" t="n">
        <v>0.125</v>
      </c>
      <c r="G1836" t="n">
        <v>0.1351</v>
      </c>
      <c r="H1836" t="inlineStr">
        <is>
          <t>The repository contains backend software components with complexity O(N), implementing core algorithms. It includes comments explaining the implementation and has been committed initially. The total size of the codebase is 1000 lines.</t>
        </is>
      </c>
      <c r="I1836" t="n">
        <v>0.0077</v>
      </c>
      <c r="J1836" t="n">
        <v>0.1951</v>
      </c>
      <c r="K1836" t="n">
        <v>0.1923</v>
      </c>
      <c r="L1836" t="inlineStr">
        <is>
          <t>This code implements core algorithms for a backend software component, handling input data efficiently with a time complexity of O(N). It includes comments explaining implementation details and is part of a larger project that focuses on providing robust backend services.</t>
        </is>
      </c>
      <c r="M1836" t="n">
        <v>0.0123</v>
      </c>
      <c r="N1836" t="n">
        <v>0.1633</v>
      </c>
      <c r="O1836" t="n">
        <v>0.3807</v>
      </c>
    </row>
    <row r="1837">
      <c r="A1837" t="inlineStr">
        <is>
          <t>sponge</t>
        </is>
      </c>
      <c r="B1837" t="inlineStr">
        <is>
          <t>src/main/java/org/spongepowered/api/command/registrar/tree/CommandTreeNode.java</t>
        </is>
      </c>
      <c r="C1837">
        <f>HYPERLINK("https://github.com/SpongePowered/SpongeAPI/blob/master/src/main/java/org/spongepowered/api/command/registrar/tree/CommandTreeNode.java")</f>
        <v/>
      </c>
      <c r="D1837" t="inlineStr">
        <is>
          <t>The provided code is a Java class that implements core algorithms with a time complexity of O(N). It includes comments explaining its implementation and structure. The code size is 1000 lines long, making it suitable for complex algorithmic tasks.</t>
        </is>
      </c>
      <c r="E1837" t="n">
        <v>0.0111</v>
      </c>
      <c r="F1837" t="n">
        <v>0.125</v>
      </c>
      <c r="G1837" t="n">
        <v>0.2302</v>
      </c>
      <c r="H1837" t="inlineStr">
        <is>
          <t>This repository contains backend software components with complexity O(N), implementing core algorithms. It includes comments explaining the implementation details. The total size of the codebase is 1000 lines.</t>
        </is>
      </c>
      <c r="I1837" t="n">
        <v>0.008800000000000001</v>
      </c>
      <c r="J1837" t="n">
        <v>0.2162</v>
      </c>
      <c r="K1837" t="n">
        <v>0.2</v>
      </c>
      <c r="L1837" t="inlineStr">
        <is>
          <t>This code implements core algorithms for backend software components using a complexity of O(N). It includes initial implementation comments and no specific commit messages. The total size of the codebase is 1000 lines.</t>
        </is>
      </c>
      <c r="M1837" t="n">
        <v>0.015</v>
      </c>
      <c r="N1837" t="n">
        <v>0.1905</v>
      </c>
      <c r="O1837" t="n">
        <v>0.4061</v>
      </c>
    </row>
    <row r="1838">
      <c r="A1838" t="inlineStr">
        <is>
          <t>sponge</t>
        </is>
      </c>
      <c r="B1838" t="inlineStr">
        <is>
          <t>src/main/java/org/spongepowered/api/command/parameter/package-info.java</t>
        </is>
      </c>
      <c r="C1838">
        <f>HYPERLINK("https://github.com/SpongePowered/SpongeAPI/blob/master/src/main/java/org/spongepowered/api/command/parameter/package-info.java")</f>
        <v/>
      </c>
      <c r="D1838" t="inlineStr">
        <is>
          <t>The provided code is a backend software component that implements core algorithms with a time complexity of O(N). It includes comments explaining its implementation and structure. The code size is 1000 lines long.</t>
        </is>
      </c>
      <c r="E1838" t="n">
        <v>0.0142</v>
      </c>
      <c r="F1838" t="n">
        <v>0.1905</v>
      </c>
      <c r="G1838" t="n">
        <v>0.3006</v>
      </c>
      <c r="H1838" t="inlineStr">
        <is>
          <t>Manages backend software components with complex algorithm implementations.</t>
        </is>
      </c>
      <c r="I1838" t="n">
        <v>0.0278</v>
      </c>
      <c r="J1838" t="n">
        <v>0.25</v>
      </c>
      <c r="K1838" t="n">
        <v>0.0625</v>
      </c>
      <c r="L1838" t="inlineStr">
        <is>
          <t>This code implements core algorithms for backend software components, focusing on efficient data processing and manipulation. It processes large datasets using an O(N) complexity algorithm, leveraging existing comments and commit messages to guide implementation. The code size is 1000 lines, reflecting its importance as part of the overall system architecture.</t>
        </is>
      </c>
      <c r="M1838" t="n">
        <v>0.0098</v>
      </c>
      <c r="N1838" t="n">
        <v>0.1356</v>
      </c>
      <c r="O1838" t="n">
        <v>0.3495</v>
      </c>
    </row>
    <row r="1839">
      <c r="A1839" t="inlineStr">
        <is>
          <t>sponge</t>
        </is>
      </c>
      <c r="B1839" t="inlineStr">
        <is>
          <t>src/main/java/org/spongepowered/api/command/parameter/Parameter.java</t>
        </is>
      </c>
      <c r="C1839">
        <f>HYPERLINK("https://github.com/SpongePowered/SpongeAPI/blob/master/src/main/java/org/spongepowered/api/command/parameter/Parameter.java")</f>
        <v/>
      </c>
      <c r="D1839" t="inlineStr">
        <is>
          <t>The provided code is a Java implementation of core algorithms with a time complexity of O(N). It includes comments explaining its purpose and functionality, as well as details about its license, contributors, and usage instructions. The README provides information about the repository's contents and structure.</t>
        </is>
      </c>
      <c r="E1839" t="n">
        <v>0.0049</v>
      </c>
      <c r="F1839" t="n">
        <v>0.1455</v>
      </c>
      <c r="G1839" t="n">
        <v>0.1282</v>
      </c>
      <c r="H1839" t="inlineStr">
        <is>
          <t>The repository contains backend software components with complexity O(N), implementing core algorithms. It includes comments explaining the implementation details.</t>
        </is>
      </c>
      <c r="I1839" t="n">
        <v>0.0121</v>
      </c>
      <c r="J1839" t="n">
        <v>0.2143</v>
      </c>
      <c r="K1839" t="n">
        <v>0.1648</v>
      </c>
      <c r="L1839" t="inlineStr">
        <is>
          <t>This code implements core algorithms for backend software components, focusing on efficient data processing and manipulation. It processes large datasets using an O(N) complexity algorithm, ensuring optimal performance while maintaining clarity and maintainability through well-documented comments and initial implementation.</t>
        </is>
      </c>
      <c r="M1839" t="n">
        <v>0.0126</v>
      </c>
      <c r="N1839" t="n">
        <v>0.1633</v>
      </c>
      <c r="O1839" t="n">
        <v>0.3841</v>
      </c>
    </row>
    <row r="1840">
      <c r="A1840" t="inlineStr">
        <is>
          <t>sponge</t>
        </is>
      </c>
      <c r="B1840" t="inlineStr">
        <is>
          <t>src/main/java/org/spongepowered/api/command/parameter/CommonParameters.java</t>
        </is>
      </c>
      <c r="C1840">
        <f>HYPERLINK("https://github.com/SpongePowered/SpongeAPI/blob/master/src/main/java/org/spongepowered/api/command/parameter/CommonParameters.java")</f>
        <v/>
      </c>
      <c r="D1840" t="inlineStr">
        <is>
          <t>The provided code is a Java class that implements core algorithms with a time complexity of O(N). It includes comments explaining its purpose, implementation details, and usage. The code size is 1000 lines long.</t>
        </is>
      </c>
      <c r="E1840" t="n">
        <v>0.0128</v>
      </c>
      <c r="F1840" t="n">
        <v>0.1395</v>
      </c>
      <c r="G1840" t="n">
        <v>0.2411</v>
      </c>
      <c r="H1840" t="inlineStr">
        <is>
          <t>Manages backend software components with complexity O(N).</t>
        </is>
      </c>
      <c r="I1840" t="n">
        <v>0.0286</v>
      </c>
      <c r="J1840" t="n">
        <v>0.125</v>
      </c>
      <c r="K1840" t="n">
        <v>0.0633</v>
      </c>
      <c r="L1840" t="inlineStr">
        <is>
          <t>This code implements core algorithms for backend software components using a complexity of O(N). It includes comments explaining implementation details and has been committed as part of an initial codebase. The total size of the codebase is 1000 lines.</t>
        </is>
      </c>
      <c r="M1840" t="n">
        <v>0.0126</v>
      </c>
      <c r="N1840" t="n">
        <v>0.1667</v>
      </c>
      <c r="O1840" t="n">
        <v>0.3841</v>
      </c>
    </row>
    <row r="1841">
      <c r="A1841" t="inlineStr">
        <is>
          <t>sponge</t>
        </is>
      </c>
      <c r="B1841" t="inlineStr">
        <is>
          <t>src/main/java/org/spongepowered/api/command/parameter/ArgumentReader.java</t>
        </is>
      </c>
      <c r="C1841">
        <f>HYPERLINK("https://github.com/SpongePowered/SpongeAPI/blob/master/src/main/java/org/spongepowered/api/command/parameter/ArgumentReader.java")</f>
        <v/>
      </c>
      <c r="D1841" t="inlineStr">
        <is>
          <t>The provided code is a backend software component that implements core algorithms with a time complexity of O(N). It includes comments explaining its implementation and structure. The code size is 1000 lines long.</t>
        </is>
      </c>
      <c r="E1841" t="n">
        <v>0.0142</v>
      </c>
      <c r="F1841" t="n">
        <v>0.1905</v>
      </c>
      <c r="G1841" t="n">
        <v>0.3006</v>
      </c>
      <c r="H1841" t="inlineStr">
        <is>
          <t>Manages backend software components with complex algorithm implementations.</t>
        </is>
      </c>
      <c r="I1841" t="n">
        <v>0.0278</v>
      </c>
      <c r="J1841" t="n">
        <v>0.25</v>
      </c>
      <c r="K1841" t="n">
        <v>0.0625</v>
      </c>
      <c r="L1841" t="inlineStr">
        <is>
          <t>This code implements core algorithms for backend software components, focusing on efficient data processing and manipulation. It handles various input scenarios and provides robust output based on predefined rules and constraints. The implementation complexity is O(N), indicating linear time performance relative to the size of the input data.</t>
        </is>
      </c>
      <c r="M1841" t="n">
        <v>0.0102</v>
      </c>
      <c r="N1841" t="n">
        <v>0.1404</v>
      </c>
      <c r="O1841" t="n">
        <v>0.31</v>
      </c>
    </row>
    <row r="1842">
      <c r="A1842" t="inlineStr">
        <is>
          <t>sponge</t>
        </is>
      </c>
      <c r="B1842" t="inlineStr">
        <is>
          <t>src/main/java/org/spongepowered/api/command/parameter/CommandContext.java</t>
        </is>
      </c>
      <c r="C1842">
        <f>HYPERLINK("https://github.com/SpongePowered/SpongeAPI/blob/master/src/main/java/org/spongepowered/api/command/parameter/CommandContext.java")</f>
        <v/>
      </c>
      <c r="D1842" t="inlineStr">
        <is>
          <t>The provided code is a Java implementation of core algorithms with a time complexity of O(N). It includes comments explaining its purpose and usage, as well as details about its license and structure. The code size is 1000 lines long.</t>
        </is>
      </c>
      <c r="E1842" t="n">
        <v>0.0055</v>
      </c>
      <c r="F1842" t="n">
        <v>0.1224</v>
      </c>
      <c r="G1842" t="n">
        <v>0.1339</v>
      </c>
      <c r="H1842" t="inlineStr">
        <is>
          <t>The code implements core algorithms for a backend system. Complexity is O(N), indicating linear time complexity with respect to input size N. Comments describe the implementation details.</t>
        </is>
      </c>
      <c r="I1842" t="n">
        <v>0.0148</v>
      </c>
      <c r="J1842" t="n">
        <v>0.1111</v>
      </c>
      <c r="K1842" t="n">
        <v>0.1894</v>
      </c>
      <c r="L1842" t="inlineStr">
        <is>
          <t>This code implements core algorithms for backend software components, focusing on efficient data processing and manipulation tasks. It processes large datasets using an O(N) complexity algorithm, ensuring optimal performance while maintaining high levels of code clarity and maintainability.</t>
        </is>
      </c>
      <c r="M1842" t="n">
        <v>0.013</v>
      </c>
      <c r="N1842" t="n">
        <v>0.1702</v>
      </c>
      <c r="O1842" t="n">
        <v>0.3876</v>
      </c>
    </row>
    <row r="1843">
      <c r="A1843" t="inlineStr">
        <is>
          <t>sponge</t>
        </is>
      </c>
      <c r="B1843" t="inlineStr">
        <is>
          <t>src/main/java/org/spongepowered/api/command/parameter/managed/ValueParser.java</t>
        </is>
      </c>
      <c r="C1843">
        <f>HYPERLINK("https://github.com/SpongePowered/SpongeAPI/blob/master/src/main/java/org/spongepowered/api/command/parameter/managed/ValueParser.java")</f>
        <v/>
      </c>
      <c r="D1843" t="inlineStr">
        <is>
          <t>The provided code is a backend software component that implements core algorithms with a time complexity of O(N). It includes comments explaining its implementation and structure. The code size is 1000 lines.</t>
        </is>
      </c>
      <c r="E1843" t="n">
        <v>0.0147</v>
      </c>
      <c r="F1843" t="n">
        <v>0.1951</v>
      </c>
      <c r="G1843" t="n">
        <v>0.3035</v>
      </c>
      <c r="H1843" t="inlineStr">
        <is>
          <t>Manages backend software components with complexity O(N).</t>
        </is>
      </c>
      <c r="I1843" t="n">
        <v>0.0286</v>
      </c>
      <c r="J1843" t="n">
        <v>0.125</v>
      </c>
      <c r="K1843" t="n">
        <v>0.0633</v>
      </c>
      <c r="L1843" t="inlineStr">
        <is>
          <t>This file is part of SpongeAPI, which provides backend software components for various applications. It includes implementations of core algorithms that handle data processing and manipulation tasks efficiently. The code complexity is moderate, with a size of approximately 1000 lines, and it has been implemented with comments explaining its functionality.</t>
        </is>
      </c>
      <c r="M1843" t="n">
        <v>0.0052</v>
      </c>
      <c r="N1843" t="n">
        <v>0.1724</v>
      </c>
      <c r="O1843" t="n">
        <v>0.2459</v>
      </c>
    </row>
    <row r="1844">
      <c r="A1844" t="inlineStr">
        <is>
          <t>sponge</t>
        </is>
      </c>
      <c r="B1844" t="inlineStr">
        <is>
          <t>src/main/java/org/spongepowered/api/command/parameter/managed/Flag.java</t>
        </is>
      </c>
      <c r="C1844">
        <f>HYPERLINK("https://github.com/SpongePowered/SpongeAPI/blob/master/src/main/java/org/spongepowered/api/command/parameter/managed/Flag.java")</f>
        <v/>
      </c>
      <c r="D1844" t="inlineStr">
        <is>
          <t>The provided code is a Java class that implements core algorithms with a time complexity of O(N). It includes comments explaining its purpose, implementation details, and usage. The code size is 1000 lines.</t>
        </is>
      </c>
      <c r="E1844" t="n">
        <v>0.0132</v>
      </c>
      <c r="F1844" t="n">
        <v>0.1429</v>
      </c>
      <c r="G1844" t="n">
        <v>0.2434</v>
      </c>
      <c r="H1844" t="inlineStr">
        <is>
          <t>Manages backend software components with complexity O(N).</t>
        </is>
      </c>
      <c r="I1844" t="n">
        <v>0.0286</v>
      </c>
      <c r="J1844" t="n">
        <v>0.125</v>
      </c>
      <c r="K1844" t="n">
        <v>0.0633</v>
      </c>
      <c r="L1844" t="inlineStr">
        <is>
          <t>This code implements backend software components for a project, focusing on core algorithm implementations that handle various functionalities within the system. It has a time complexity of O(N), indicating linear performance relative to input size, and includes comments explaining the implementation details. The code base was initially committed, making it suitable for further development and maintenance.</t>
        </is>
      </c>
      <c r="M1844" t="n">
        <v>0.0049</v>
      </c>
      <c r="N1844" t="n">
        <v>0.1538</v>
      </c>
      <c r="O1844" t="n">
        <v>0.2344</v>
      </c>
    </row>
    <row r="1845">
      <c r="A1845" t="inlineStr">
        <is>
          <t>sponge</t>
        </is>
      </c>
      <c r="B1845" t="inlineStr">
        <is>
          <t>src/main/java/org/spongepowered/api/command/parameter/managed/package-info.java</t>
        </is>
      </c>
      <c r="C1845">
        <f>HYPERLINK("https://github.com/SpongePowered/SpongeAPI/blob/master/src/main/java/org/spongepowered/api/command/parameter/managed/package-info.java")</f>
        <v/>
      </c>
      <c r="D1845" t="inlineStr">
        <is>
          <t>The provided code is a snippet from a README file that describes a repository containing backend software components with a complexity of O(N). It includes comments explaining the implementation of core algorithms and mentions initial codebase commits. The total size of the code is 1000 lines.</t>
        </is>
      </c>
      <c r="E1845" t="n">
        <v>0.0053</v>
      </c>
      <c r="F1845" t="n">
        <v>0.1455</v>
      </c>
      <c r="G1845" t="n">
        <v>0.1695</v>
      </c>
      <c r="H1845" t="inlineStr">
        <is>
          <t>Manages backend software components with complex algorithm implementations.</t>
        </is>
      </c>
      <c r="I1845" t="n">
        <v>0.0278</v>
      </c>
      <c r="J1845" t="n">
        <v>0.25</v>
      </c>
      <c r="K1845" t="n">
        <v>0.0625</v>
      </c>
      <c r="L1845" t="inlineStr">
        <is>
          <t>This file contains backend software components that implement core algorithms for processing data efficiently. It has a time complexity of \(O(N)\), which indicates linear performance relative to input size. The implementation includes comments explaining the core functionalities, making it easier for developers to understand and maintain. The code base was initially committed as part of the initial development phase.</t>
        </is>
      </c>
      <c r="M1845" t="n">
        <v>0.0044</v>
      </c>
      <c r="N1845" t="n">
        <v>0.1765</v>
      </c>
      <c r="O1845" t="n">
        <v>0.229</v>
      </c>
    </row>
    <row r="1846">
      <c r="A1846" t="inlineStr">
        <is>
          <t>sponge</t>
        </is>
      </c>
      <c r="B1846" t="inlineStr">
        <is>
          <t>src/main/java/org/spongepowered/api/command/parameter/managed/ValueCompleter.java</t>
        </is>
      </c>
      <c r="C1846">
        <f>HYPERLINK("https://github.com/SpongePowered/SpongeAPI/blob/master/src/main/java/org/spongepowered/api/command/parameter/managed/ValueCompleter.java")</f>
        <v/>
      </c>
      <c r="D1846" t="inlineStr">
        <is>
          <t>The provided code is a backend software component with a complexity of O(N). It includes comments explaining its implementation of core algorithms and has 1000 lines of code. The README indicates that it contains backend software components and provides information about initial commits and code size.</t>
        </is>
      </c>
      <c r="E1846" t="n">
        <v>0.0053</v>
      </c>
      <c r="F1846" t="n">
        <v>0.1455</v>
      </c>
      <c r="G1846" t="n">
        <v>0.1695</v>
      </c>
      <c r="H1846" t="inlineStr">
        <is>
          <t>Manages backend software components with complexity O(N).</t>
        </is>
      </c>
      <c r="I1846" t="n">
        <v>0.0286</v>
      </c>
      <c r="J1846" t="n">
        <v>0.125</v>
      </c>
      <c r="K1846" t="n">
        <v>0.0633</v>
      </c>
      <c r="L1846" t="inlineStr">
        <is>
          <t>This code implements core algorithms for backend software components, focusing on efficient data processing and manipulation tasks. It uses a time complexity of O(N), ensuring optimal performance for large datasets. The implementation includes comments that provide context and clarity, making it easier to understand and maintain.</t>
        </is>
      </c>
      <c r="M1846" t="n">
        <v>0.0106</v>
      </c>
      <c r="N1846" t="n">
        <v>0.1455</v>
      </c>
      <c r="O1846" t="n">
        <v>0.3613</v>
      </c>
    </row>
    <row r="1847">
      <c r="A1847" t="inlineStr">
        <is>
          <t>sponge</t>
        </is>
      </c>
      <c r="B1847" t="inlineStr">
        <is>
          <t>src/main/java/org/spongepowered/api/command/parameter/managed/ValueParameterModifier.java</t>
        </is>
      </c>
      <c r="C1847">
        <f>HYPERLINK("https://github.com/SpongePowered/SpongeAPI/blob/master/src/main/java/org/spongepowered/api/command/parameter/managed/ValueParameterModifier.java")</f>
        <v/>
      </c>
      <c r="D1847" t="inlineStr">
        <is>
          <t>The provided code is a Java class that implements core algorithms with a time complexity of O(N). It includes comments explaining its implementation and structure. The code size is 1000 lines long.</t>
        </is>
      </c>
      <c r="E1847" t="n">
        <v>0.0137</v>
      </c>
      <c r="F1847" t="n">
        <v>0.1463</v>
      </c>
      <c r="G1847" t="n">
        <v>0.2457</v>
      </c>
      <c r="H1847" t="inlineStr">
        <is>
          <t>This repository contains backend software components with complexity O(N), implementing core algorithms. It includes comments explaining the implementation and has been committed initially. The total size of the codebase is 1000 lines.</t>
        </is>
      </c>
      <c r="I1847" t="n">
        <v>0.0083</v>
      </c>
      <c r="J1847" t="n">
        <v>0.2439</v>
      </c>
      <c r="K1847" t="n">
        <v>0.2404</v>
      </c>
      <c r="L1847" t="inlineStr">
        <is>
          <t>This code implements core algorithms for a backend software component, focusing on efficient data processing and manipulation. It processes large datasets using an algorithm with a time complexity of \(O(N)\), leveraging existing comments to guide implementation. The code size is 1000 lines, reflecting its importance as part of the overall system architecture.</t>
        </is>
      </c>
      <c r="M1847" t="n">
        <v>0.0094</v>
      </c>
      <c r="N1847" t="n">
        <v>0.1311</v>
      </c>
      <c r="O1847" t="n">
        <v>0.3439</v>
      </c>
    </row>
    <row r="1848">
      <c r="A1848" t="inlineStr">
        <is>
          <t>sponge</t>
        </is>
      </c>
      <c r="B1848" t="inlineStr">
        <is>
          <t>src/main/java/org/spongepowered/api/command/parameter/managed/ValueParameter.java</t>
        </is>
      </c>
      <c r="C1848">
        <f>HYPERLINK("https://github.com/SpongePowered/SpongeAPI/blob/master/src/main/java/org/spongepowered/api/command/parameter/managed/ValueParameter.java")</f>
        <v/>
      </c>
      <c r="D1848" t="inlineStr">
        <is>
          <t>The provided code is a Java class that implements core algorithms with a time complexity of O(N). It includes comments explaining its implementation and structure. The code does not contain any specific functionality beyond its algorithmic nature.</t>
        </is>
      </c>
      <c r="E1848" t="n">
        <v>0.0126</v>
      </c>
      <c r="F1848" t="n">
        <v>0.1304</v>
      </c>
      <c r="G1848" t="n">
        <v>0.2896</v>
      </c>
      <c r="H1848" t="inlineStr">
        <is>
          <t>The repository contains backend software components with complexity O(N), implementing core algorithms. It includes comments explaining the implementation.</t>
        </is>
      </c>
      <c r="I1848" t="n">
        <v>0.0128</v>
      </c>
      <c r="J1848" t="n">
        <v>0.2222</v>
      </c>
      <c r="K1848" t="n">
        <v>0.284</v>
      </c>
      <c r="L1848" t="inlineStr">
        <is>
          <t>This code implements core algorithms for a backend software component, focusing on efficient data processing and manipulation. It handles various input scenarios and provides robust output based on predefined rules and constraints.</t>
        </is>
      </c>
      <c r="M1848" t="n">
        <v>0.0155</v>
      </c>
      <c r="N1848" t="n">
        <v>0.2</v>
      </c>
      <c r="O1848" t="n">
        <v>0.3577</v>
      </c>
    </row>
    <row r="1849">
      <c r="A1849" t="inlineStr">
        <is>
          <t>sponge</t>
        </is>
      </c>
      <c r="B1849" t="inlineStr">
        <is>
          <t>src/main/java/org/spongepowered/api/command/parameter/managed/ValueUsage.java</t>
        </is>
      </c>
      <c r="C1849">
        <f>HYPERLINK("https://github.com/SpongePowered/SpongeAPI/blob/master/src/main/java/org/spongepowered/api/command/parameter/managed/ValueUsage.java")</f>
        <v/>
      </c>
      <c r="D1849" t="inlineStr">
        <is>
          <t>The provided code is a Java implementation of core algorithms with a time complexity of O(N). It includes comments explaining its purpose and usage, as well as information about its license and repository structure. The code size is 1000 lines.</t>
        </is>
      </c>
      <c r="E1849" t="n">
        <v>0.0055</v>
      </c>
      <c r="F1849" t="n">
        <v>0.1224</v>
      </c>
      <c r="G1849" t="n">
        <v>0.1339</v>
      </c>
      <c r="H1849" t="inlineStr">
        <is>
          <t>Manages backend software components with complex algorithm implementations.</t>
        </is>
      </c>
      <c r="I1849" t="n">
        <v>0.0278</v>
      </c>
      <c r="J1849" t="n">
        <v>0.25</v>
      </c>
      <c r="K1849" t="n">
        <v>0.0625</v>
      </c>
      <c r="L1849" t="inlineStr">
        <is>
          <t>This file contains backend software components that implement core algorithms for processing data efficiently. It has a time complexity of \(O(N)\), making it suitable for large datasets. The implementation includes comments explaining the core functionalities, and the code size is approximately 1000 lines.</t>
        </is>
      </c>
      <c r="M1849" t="n">
        <v>0.0061</v>
      </c>
      <c r="N1849" t="n">
        <v>0.2308</v>
      </c>
      <c r="O1849" t="n">
        <v>0.2174</v>
      </c>
    </row>
    <row r="1850">
      <c r="A1850" t="inlineStr">
        <is>
          <t>sponge</t>
        </is>
      </c>
      <c r="B1850" t="inlineStr">
        <is>
          <t>src/main/java/org/spongepowered/api/command/parameter/managed/operator/package-info.java</t>
        </is>
      </c>
      <c r="C1850">
        <f>HYPERLINK("https://github.com/SpongePowered/SpongeAPI/blob/master/src/main/java/org/spongepowered/api/command/parameter/managed/operator/package-info.java")</f>
        <v/>
      </c>
      <c r="D1850" t="inlineStr">
        <is>
          <t>The provided code is a backend software component that implements core algorithms with a time complexity of O(N). It includes comments explaining its implementation and structure, as well as initial commits for the codebase. The total size of the code is 1000 lines.</t>
        </is>
      </c>
      <c r="E1850" t="n">
        <v>0.0108</v>
      </c>
      <c r="F1850" t="n">
        <v>0.1538</v>
      </c>
      <c r="G1850" t="n">
        <v>0.2745</v>
      </c>
      <c r="H1850" t="inlineStr">
        <is>
          <t>The code implements core algorithms for a backend system. Complexity is O(N), indicating linear time complexity with respect to input size N. Comments describe the implementation details.</t>
        </is>
      </c>
      <c r="I1850" t="n">
        <v>0.0148</v>
      </c>
      <c r="J1850" t="n">
        <v>0.1111</v>
      </c>
      <c r="K1850" t="n">
        <v>0.1894</v>
      </c>
      <c r="L1850" t="inlineStr">
        <is>
          <t>This code provides a basic framework for implementing core algorithms within a backend software component using Java, adhering to the MIT license. It includes comments explaining implementation details and is designed to handle input/output operations efficiently, ensuring optimal performance as indicated by a time complexity of \(O(N)\).</t>
        </is>
      </c>
      <c r="M1850" t="n">
        <v>0.0055</v>
      </c>
      <c r="N1850" t="n">
        <v>0.1404</v>
      </c>
      <c r="O1850" t="n">
        <v>0.2521</v>
      </c>
    </row>
    <row r="1851">
      <c r="A1851" t="inlineStr">
        <is>
          <t>sponge</t>
        </is>
      </c>
      <c r="B1851" t="inlineStr">
        <is>
          <t>src/main/java/org/spongepowered/api/command/parameter/managed/operator/Operator.java</t>
        </is>
      </c>
      <c r="C1851">
        <f>HYPERLINK("https://github.com/SpongePowered/SpongeAPI/blob/master/src/main/java/org/spongepowered/api/command/parameter/managed/operator/Operator.java")</f>
        <v/>
      </c>
      <c r="D1851" t="inlineStr">
        <is>
          <t>The provided code is a backend software component that implements core algorithms with a time complexity of O(N). It includes comments explaining its implementation and structure, as well as metadata such as copyright information and license details. The code size is 1000 lines long.</t>
        </is>
      </c>
      <c r="E1851" t="n">
        <v>0.0105</v>
      </c>
      <c r="F1851" t="n">
        <v>0.1509</v>
      </c>
      <c r="G1851" t="n">
        <v>0.2721</v>
      </c>
      <c r="H1851" t="inlineStr">
        <is>
          <t>The repository contains backend software components with complexity O(N), implementing core algorithms. It includes comments explaining the implementation and has been committed initially. The total size of the codebase is 1000 lines.</t>
        </is>
      </c>
      <c r="I1851" t="n">
        <v>0.0077</v>
      </c>
      <c r="J1851" t="n">
        <v>0.1951</v>
      </c>
      <c r="K1851" t="n">
        <v>0.1923</v>
      </c>
      <c r="L1851" t="inlineStr">
        <is>
          <t>This code implements core algorithms for a backend software component, handling input data efficiently with a time complexity of O(N). It includes comments explaining implementation details and adheres to best practices for code readability and maintainability.</t>
        </is>
      </c>
      <c r="M1851" t="n">
        <v>0.0137</v>
      </c>
      <c r="N1851" t="n">
        <v>0.1778</v>
      </c>
      <c r="O1851" t="n">
        <v>0.3444</v>
      </c>
    </row>
    <row r="1852">
      <c r="A1852" t="inlineStr">
        <is>
          <t>sponge</t>
        </is>
      </c>
      <c r="B1852" t="inlineStr">
        <is>
          <t>src/main/java/org/spongepowered/api/command/parameter/managed/operator/Operators.java</t>
        </is>
      </c>
      <c r="C1852">
        <f>HYPERLINK("https://github.com/SpongePowered/SpongeAPI/blob/master/src/main/java/org/spongepowered/api/command/parameter/managed/operator/Operators.java")</f>
        <v/>
      </c>
      <c r="D1852" t="inlineStr">
        <is>
          <t>The provided code is a Java implementation of core algorithms with a time complexity of O(N). It includes comments explaining its purpose and functionality. The code size is 1000 lines long.</t>
        </is>
      </c>
      <c r="E1852" t="n">
        <v>0.0072</v>
      </c>
      <c r="F1852" t="n">
        <v>0.15</v>
      </c>
      <c r="G1852" t="n">
        <v>0.1456</v>
      </c>
      <c r="H1852" t="inlineStr">
        <is>
          <t>Manages backend software components with complex algorithm implementations.</t>
        </is>
      </c>
      <c r="I1852" t="n">
        <v>0.0278</v>
      </c>
      <c r="J1852" t="n">
        <v>0.25</v>
      </c>
      <c r="K1852" t="n">
        <v>0.0625</v>
      </c>
      <c r="L1852"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1852" t="n">
        <v>0.0123</v>
      </c>
      <c r="N1852" t="n">
        <v>0.1633</v>
      </c>
      <c r="O1852" t="n">
        <v>0.3807</v>
      </c>
    </row>
    <row r="1853">
      <c r="A1853" t="inlineStr">
        <is>
          <t>sponge</t>
        </is>
      </c>
      <c r="B1853" t="inlineStr">
        <is>
          <t>src/main/java/org/spongepowered/api/command/parameter/managed/standard/ResourceKeyedValueParameters.java</t>
        </is>
      </c>
      <c r="C1853">
        <f>HYPERLINK("https://github.com/SpongePowered/SpongeAPI/blob/master/src/main/java/org/spongepowered/api/command/parameter/managed/standard/ResourceKeyedValueParameters.java")</f>
        <v/>
      </c>
      <c r="D1853" t="inlineStr">
        <is>
          <t>The provided code is a Java class that implements core algorithms with a time complexity of O(N). It includes comments explaining its purpose, implementation details, and usage. The code size is 1000 lines long, making it suitable for complex algorithmic tasks.</t>
        </is>
      </c>
      <c r="E1853" t="n">
        <v>0.0105</v>
      </c>
      <c r="F1853" t="n">
        <v>0.12</v>
      </c>
      <c r="G1853" t="n">
        <v>0.2262</v>
      </c>
      <c r="H1853" t="inlineStr">
        <is>
          <t>The code implements core algorithms for a backend system. It has a time complexity of O(N), indicating linear performance with respect to input size.</t>
        </is>
      </c>
      <c r="I1853" t="n">
        <v>0.0167</v>
      </c>
      <c r="J1853" t="n">
        <v>0.1212</v>
      </c>
      <c r="K1853" t="n">
        <v>0.1953</v>
      </c>
      <c r="L1853" t="inlineStr">
        <is>
          <t>This code implements core algorithms for backend software components, handling input data efficiently with a time complexity of O(N). It includes comments explaining implementation details and was initially committed as part of the initial codebase. The total size of the codebase is approximately 1000 lines.</t>
        </is>
      </c>
      <c r="M1853" t="n">
        <v>0.0109</v>
      </c>
      <c r="N1853" t="n">
        <v>0.1481</v>
      </c>
      <c r="O1853" t="n">
        <v>0.3644</v>
      </c>
    </row>
    <row r="1854">
      <c r="A1854" t="inlineStr">
        <is>
          <t>sponge</t>
        </is>
      </c>
      <c r="B1854" t="inlineStr">
        <is>
          <t>src/main/java/org/spongepowered/api/command/parameter/managed/standard/package-info.java</t>
        </is>
      </c>
      <c r="C1854">
        <f>HYPERLINK("https://github.com/SpongePowered/SpongeAPI/blob/master/src/main/java/org/spongepowered/api/command/parameter/managed/standard/package-info.java")</f>
        <v/>
      </c>
      <c r="D1854" t="inlineStr">
        <is>
          <t>The provided code is a Java class that implements core algorithms with a time complexity of O(N). It includes comments explaining its purpose and implementation details. The code size is 1000 lines long.</t>
        </is>
      </c>
      <c r="E1854" t="n">
        <v>0.0132</v>
      </c>
      <c r="F1854" t="n">
        <v>0.1429</v>
      </c>
      <c r="G1854" t="n">
        <v>0.2434</v>
      </c>
      <c r="H1854" t="inlineStr">
        <is>
          <t>The repository contains backend software components with complexity O(N), implementing core algorithms. It includes comments explaining the implementation.</t>
        </is>
      </c>
      <c r="I1854" t="n">
        <v>0.0128</v>
      </c>
      <c r="J1854" t="n">
        <v>0.2222</v>
      </c>
      <c r="K1854" t="n">
        <v>0.284</v>
      </c>
      <c r="L1854" t="inlineStr">
        <is>
          <t>This code implements core algorithms for backend software components, focusing on efficient data processing and manipulation tasks. It handles various input scenarios and provides robust output results, ensuring high performance and scalability.</t>
        </is>
      </c>
      <c r="M1854" t="n">
        <v>0.0155</v>
      </c>
      <c r="N1854" t="n">
        <v>0.2</v>
      </c>
      <c r="O1854" t="n">
        <v>0.3577</v>
      </c>
    </row>
    <row r="1855">
      <c r="A1855" t="inlineStr">
        <is>
          <t>sponge</t>
        </is>
      </c>
      <c r="B1855" t="inlineStr">
        <is>
          <t>src/main/java/org/spongepowered/api/command/parameter/managed/standard/VariableValueParameters.java</t>
        </is>
      </c>
      <c r="C1855">
        <f>HYPERLINK("https://github.com/SpongePowered/SpongeAPI/blob/master/src/main/java/org/spongepowered/api/command/parameter/managed/standard/VariableValueParameters.java")</f>
        <v/>
      </c>
      <c r="D1855" t="inlineStr">
        <is>
          <t>The provided code is a Java implementation of core algorithms with a time complexity of O(N). It includes comments explaining its purpose and usage, as well as details about its structure and dependencies. The README provides information about the project's repository, complexity, and commits. The total size of the code is 1000 lines.</t>
        </is>
      </c>
      <c r="E1855" t="n">
        <v>0.0041</v>
      </c>
      <c r="F1855" t="n">
        <v>0.09520000000000001</v>
      </c>
      <c r="G1855" t="n">
        <v>0.12</v>
      </c>
      <c r="H1855" t="inlineStr">
        <is>
          <t>Manages backend software components with complexity O(N).</t>
        </is>
      </c>
      <c r="I1855" t="n">
        <v>0.0286</v>
      </c>
      <c r="J1855" t="n">
        <v>0.125</v>
      </c>
      <c r="K1855" t="n">
        <v>0.0633</v>
      </c>
      <c r="L1855" t="inlineStr">
        <is>
          <t>This file is part of the Sponge API, which provides backend software components for various applications. It includes implementations of core algorithms that handle data processing tasks efficiently, with a time complexity of O(N). The code size is 1000 lines, and existing comments provide context about the implementation of these algorithms.</t>
        </is>
      </c>
      <c r="M1855" t="n">
        <v>0.0051</v>
      </c>
      <c r="N1855" t="n">
        <v>0.1667</v>
      </c>
      <c r="O1855" t="n">
        <v>0.2439</v>
      </c>
    </row>
    <row r="1856">
      <c r="A1856" t="inlineStr">
        <is>
          <t>sponge</t>
        </is>
      </c>
      <c r="B1856" t="inlineStr">
        <is>
          <t>src/main/java/org/spongepowered/api/command/parameter/managed/standard/ResourceKeyedValueParameter.java</t>
        </is>
      </c>
      <c r="C1856">
        <f>HYPERLINK("https://github.com/SpongePowered/SpongeAPI/blob/master/src/main/java/org/spongepowered/api/command/parameter/managed/standard/ResourceKeyedValueParameter.java")</f>
        <v/>
      </c>
      <c r="D1856" t="inlineStr">
        <is>
          <t>The provided code is a Java implementation of core algorithms with a time complexity of O(N). It includes comments explaining its purpose and usage, as well as initial commits for version control. The code size is 1000 lines.</t>
        </is>
      </c>
      <c r="E1856" t="n">
        <v>0.0058</v>
      </c>
      <c r="F1856" t="n">
        <v>0.1277</v>
      </c>
      <c r="G1856" t="n">
        <v>0.1364</v>
      </c>
      <c r="H1856" t="inlineStr">
        <is>
          <t>Manages backend software components with complex algorithm implementations.</t>
        </is>
      </c>
      <c r="I1856" t="n">
        <v>0.0278</v>
      </c>
      <c r="J1856" t="n">
        <v>0.25</v>
      </c>
      <c r="K1856" t="n">
        <v>0.0625</v>
      </c>
      <c r="L1856" t="inlineStr">
        <is>
          <t>This code implements core algorithms for a backend software component, focusing on efficient data processing and manipulation tasks. It processes large datasets using an O(N) complexity algorithm, leveraging existing comments and commit messages to guide implementation. The code size is approximately 1000 lines, reflecting its comprehensive nature in handling complex business logic.</t>
        </is>
      </c>
      <c r="M1856" t="n">
        <v>0.0098</v>
      </c>
      <c r="N1856" t="n">
        <v>0.1639</v>
      </c>
      <c r="O1856" t="n">
        <v>0.3868</v>
      </c>
    </row>
    <row r="1857">
      <c r="A1857" t="inlineStr">
        <is>
          <t>sponge</t>
        </is>
      </c>
      <c r="B1857" t="inlineStr">
        <is>
          <t>src/main/java/org/spongepowered/api/command/parameter/managed/clientcompletion/package-info.java</t>
        </is>
      </c>
      <c r="C1857">
        <f>HYPERLINK("https://github.com/SpongePowered/SpongeAPI/blob/master/src/main/java/org/spongepowered/api/command/parameter/managed/clientcompletion/package-info.java")</f>
        <v/>
      </c>
      <c r="D1857" t="inlineStr">
        <is>
          <t>The provided code is a backend software component that implements core algorithms with a time complexity of O(N). It includes comments explaining its implementation and structure, as well as initial commits for version control. The total size of the code is 1000 lines.</t>
        </is>
      </c>
      <c r="E1857" t="n">
        <v>0.0108</v>
      </c>
      <c r="F1857" t="n">
        <v>0.1538</v>
      </c>
      <c r="G1857" t="n">
        <v>0.2745</v>
      </c>
      <c r="H1857" t="inlineStr">
        <is>
          <t>This repository contains backend software components with complexity O(N), implementing core algorithms. It includes comments explaining the implementation and has been committed initially. The total size of the codebase is 1000 lines.</t>
        </is>
      </c>
      <c r="I1857" t="n">
        <v>0.0083</v>
      </c>
      <c r="J1857" t="n">
        <v>0.2439</v>
      </c>
      <c r="K1857" t="n">
        <v>0.2404</v>
      </c>
      <c r="L1857" t="inlineStr">
        <is>
          <t>This file is part of SpongeAPI, which provides backend software components for various applications. It includes implementations of core algorithms that handle data processing tasks efficiently, ensuring optimal performance with a time complexity of O(N). The code size is approximately 1000 lines, making it suitable for integration into larger projects while maintaining clarity and maintainability.</t>
        </is>
      </c>
      <c r="M1857" t="n">
        <v>0.0047</v>
      </c>
      <c r="N1857" t="n">
        <v>0.1562</v>
      </c>
      <c r="O1857" t="n">
        <v>0.2362</v>
      </c>
    </row>
    <row r="1858">
      <c r="A1858" t="inlineStr">
        <is>
          <t>sponge</t>
        </is>
      </c>
      <c r="B1858" t="inlineStr">
        <is>
          <t>src/main/java/org/spongepowered/api/command/parameter/managed/clientcompletion/ClientCompletionTypes.java</t>
        </is>
      </c>
      <c r="C1858">
        <f>HYPERLINK("https://github.com/SpongePowered/SpongeAPI/blob/master/src/main/java/org/spongepowered/api/command/parameter/managed/clientcompletion/ClientCompletionTypes.java")</f>
        <v/>
      </c>
      <c r="D1858" t="inlineStr">
        <is>
          <t>The provided code is a Java class that implements core algorithms with a time complexity of O(N). It includes comments explaining its implementation and structure. The README provides information about the repository's purpose, complexity, comments, commits, and size.</t>
        </is>
      </c>
      <c r="E1858" t="n">
        <v>0.0114</v>
      </c>
      <c r="F1858" t="n">
        <v>0.125</v>
      </c>
      <c r="G1858" t="n">
        <v>0.2323</v>
      </c>
      <c r="H1858" t="inlineStr">
        <is>
          <t>Manages backend software components with complex algorithm implementations.</t>
        </is>
      </c>
      <c r="I1858" t="n">
        <v>0.0278</v>
      </c>
      <c r="J1858" t="n">
        <v>0.25</v>
      </c>
      <c r="K1858" t="n">
        <v>0.0625</v>
      </c>
      <c r="L1858"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1858" t="n">
        <v>0.0123</v>
      </c>
      <c r="N1858" t="n">
        <v>0.1633</v>
      </c>
      <c r="O1858" t="n">
        <v>0.3807</v>
      </c>
    </row>
    <row r="1859">
      <c r="A1859" t="inlineStr">
        <is>
          <t>sponge</t>
        </is>
      </c>
      <c r="B1859" t="inlineStr">
        <is>
          <t>src/main/java/org/spongepowered/api/command/parameter/managed/clientcompletion/ClientCompletionType.java</t>
        </is>
      </c>
      <c r="C1859">
        <f>HYPERLINK("https://github.com/SpongePowered/SpongeAPI/blob/master/src/main/java/org/spongepowered/api/command/parameter/managed/clientcompletion/ClientCompletionType.java")</f>
        <v/>
      </c>
      <c r="D1859" t="inlineStr">
        <is>
          <t>The provided code is a Java class that implements core algorithms with a time complexity of O(N). It includes comments explaining its purpose, implementation details, and usage. The code size is 1000 lines.</t>
        </is>
      </c>
      <c r="E1859" t="n">
        <v>0.0132</v>
      </c>
      <c r="F1859" t="n">
        <v>0.1429</v>
      </c>
      <c r="G1859" t="n">
        <v>0.2434</v>
      </c>
      <c r="H1859" t="inlineStr">
        <is>
          <t>Manages backend software components with complexity O(N).</t>
        </is>
      </c>
      <c r="I1859" t="n">
        <v>0.0286</v>
      </c>
      <c r="J1859" t="n">
        <v>0.125</v>
      </c>
      <c r="K1859" t="n">
        <v>0.0633</v>
      </c>
      <c r="L1859" t="inlineStr">
        <is>
          <t>This code implements core algorithms for backend software components using Java, adhering to the MIT license. It processes data efficiently with a time complexity of \(O(N)\), ensuring optimal performance. The implementation includes comments that provide context and clarity, making it easy to understand and maintain.</t>
        </is>
      </c>
      <c r="M1859" t="n">
        <v>0.0109</v>
      </c>
      <c r="N1859" t="n">
        <v>0.1481</v>
      </c>
      <c r="O1859" t="n">
        <v>0.3644</v>
      </c>
    </row>
    <row r="1860">
      <c r="A1860" t="inlineStr">
        <is>
          <t>sponge</t>
        </is>
      </c>
      <c r="B1860" t="inlineStr">
        <is>
          <t>src/main/java/org/spongepowered/api/command/exception/package-info.java</t>
        </is>
      </c>
      <c r="C1860">
        <f>HYPERLINK("https://github.com/SpongePowered/SpongeAPI/blob/master/src/main/java/org/spongepowered/api/command/exception/package-info.java")</f>
        <v/>
      </c>
      <c r="D1860" t="inlineStr">
        <is>
          <t>The provided code is a Java class that implements core algorithms with a time complexity of O(N). It includes comments explaining its purpose, implementation details, and usage. The code size is 1000 lines.</t>
        </is>
      </c>
      <c r="E1860" t="n">
        <v>0.0132</v>
      </c>
      <c r="F1860" t="n">
        <v>0.1429</v>
      </c>
      <c r="G1860" t="n">
        <v>0.2434</v>
      </c>
      <c r="H1860" t="inlineStr">
        <is>
          <t>The repository contains backend software components with complexity O(N), implementing core algorithms. It includes comments explaining the implementation and has been committed initially. The total size of the codebase is 1000 lines.</t>
        </is>
      </c>
      <c r="I1860" t="n">
        <v>0.0077</v>
      </c>
      <c r="J1860" t="n">
        <v>0.1951</v>
      </c>
      <c r="K1860" t="n">
        <v>0.1923</v>
      </c>
      <c r="L1860" t="inlineStr">
        <is>
          <t>This file contains backend software components that implement core algorithms for processing data efficiently, with a time complexity of O(N). It includes comments explaining implementation details and was initially committed as part of the initial codebase. The total size of the codebase is approximately 1000 lines.</t>
        </is>
      </c>
      <c r="M1860" t="n">
        <v>0.0057</v>
      </c>
      <c r="N1860" t="n">
        <v>0.1818</v>
      </c>
      <c r="O1860" t="n">
        <v>0.2542</v>
      </c>
    </row>
    <row r="1861">
      <c r="A1861" t="inlineStr">
        <is>
          <t>sponge</t>
        </is>
      </c>
      <c r="B1861" t="inlineStr">
        <is>
          <t>src/main/java/org/spongepowered/api/command/exception/CommandException.java</t>
        </is>
      </c>
      <c r="C1861">
        <f>HYPERLINK("https://github.com/SpongePowered/SpongeAPI/blob/master/src/main/java/org/spongepowered/api/command/exception/CommandException.java")</f>
        <v/>
      </c>
      <c r="D1861" t="inlineStr">
        <is>
          <t>The provided code is a Java implementation of core algorithms with a time complexity of O(N). It includes comments explaining its purpose and structure, as well as information about its license, copyright holders, and usage permissions. The README provides details on the repository's contents and structure.</t>
        </is>
      </c>
      <c r="E1861" t="n">
        <v>0.0048</v>
      </c>
      <c r="F1861" t="n">
        <v>0.1071</v>
      </c>
      <c r="G1861" t="n">
        <v>0.1271</v>
      </c>
      <c r="H1861" t="inlineStr">
        <is>
          <t>Manages backend software components with complex algorithm implementations.</t>
        </is>
      </c>
      <c r="I1861" t="n">
        <v>0.0278</v>
      </c>
      <c r="J1861" t="n">
        <v>0.25</v>
      </c>
      <c r="K1861" t="n">
        <v>0.0625</v>
      </c>
      <c r="L1861" t="inlineStr">
        <is>
          <t>This code implements core algorithms for backend software components, handling input/output operations efficiently with a time complexity of O(N). It includes comments explaining implementation details and adheres to best practices for code readability and maintainability.</t>
        </is>
      </c>
      <c r="M1861" t="n">
        <v>0.0141</v>
      </c>
      <c r="N1861" t="n">
        <v>0.1778</v>
      </c>
      <c r="O1861" t="n">
        <v>0.3477</v>
      </c>
    </row>
    <row r="1862">
      <c r="A1862" t="inlineStr">
        <is>
          <t>sponge</t>
        </is>
      </c>
      <c r="B1862" t="inlineStr">
        <is>
          <t>src/main/java/org/spongepowered/api/command/exception/InvocationCommandException.java</t>
        </is>
      </c>
      <c r="C1862">
        <f>HYPERLINK("https://github.com/SpongePowered/SpongeAPI/blob/master/src/main/java/org/spongepowered/api/command/exception/InvocationCommandException.java")</f>
        <v/>
      </c>
      <c r="D1862" t="inlineStr">
        <is>
          <t>The provided code is a Java class that implements core algorithms with a time complexity of O(N). It includes comments explaining its purpose and implementation details, as well as metadata about the repository's structure, complexity, and size.</t>
        </is>
      </c>
      <c r="E1862" t="n">
        <v>0.0117</v>
      </c>
      <c r="F1862" t="n">
        <v>0.1277</v>
      </c>
      <c r="G1862" t="n">
        <v>0.2345</v>
      </c>
      <c r="H1862" t="inlineStr">
        <is>
          <t>Manages backend software components with complex algorithm implementations.</t>
        </is>
      </c>
      <c r="I1862" t="n">
        <v>0.0278</v>
      </c>
      <c r="J1862" t="n">
        <v>0.25</v>
      </c>
      <c r="K1862" t="n">
        <v>0.0625</v>
      </c>
      <c r="L1862" t="inlineStr">
        <is>
          <t>This code implements core algorithms for backend software components, focusing on efficient data processing and manipulation. It has a time complexity of O(N), making it suitable for large datasets. The implementation includes comments that provide context and explain the core functionalities.</t>
        </is>
      </c>
      <c r="M1862" t="n">
        <v>0.012</v>
      </c>
      <c r="N1862" t="n">
        <v>0.2</v>
      </c>
      <c r="O1862" t="n">
        <v>0.2212</v>
      </c>
    </row>
    <row r="1863">
      <c r="A1863" t="inlineStr">
        <is>
          <t>sponge</t>
        </is>
      </c>
      <c r="B1863" t="inlineStr">
        <is>
          <t>src/main/java/org/spongepowered/api/command/exception/CommandPermissionException.java</t>
        </is>
      </c>
      <c r="C1863">
        <f>HYPERLINK("https://github.com/SpongePowered/SpongeAPI/blob/master/src/main/java/org/spongepowered/api/command/exception/CommandPermissionException.java")</f>
        <v/>
      </c>
      <c r="D1863" t="inlineStr">
        <is>
          <t>The provided code is a backend software component that implements core algorithms with a time complexity of O(N). It includes comments explaining its implementation and structure, as well as details about its complexity and size.</t>
        </is>
      </c>
      <c r="E1863" t="n">
        <v>0.0134</v>
      </c>
      <c r="F1863" t="n">
        <v>0.1818</v>
      </c>
      <c r="G1863" t="n">
        <v>0.295</v>
      </c>
      <c r="H1863" t="inlineStr">
        <is>
          <t>Manages backend software components with core algorithm implementations. Complexity is O(N).</t>
        </is>
      </c>
      <c r="I1863" t="n">
        <v>0.0224</v>
      </c>
      <c r="J1863" t="n">
        <v>0.2</v>
      </c>
      <c r="K1863" t="n">
        <v>0.1205</v>
      </c>
      <c r="L1863" t="inlineStr">
        <is>
          <t>This code implements core algorithms for backend software components, focusing on efficient data processing and manipulation. It processes large datasets using an O(N) complexity algorithm, ensuring optimal performance while maintaining clarity through well-documented comments and initial implementation commits.</t>
        </is>
      </c>
      <c r="M1863" t="n">
        <v>0.013</v>
      </c>
      <c r="N1863" t="n">
        <v>0.1667</v>
      </c>
      <c r="O1863" t="n">
        <v>0.3876</v>
      </c>
    </row>
    <row r="1864">
      <c r="A1864" t="inlineStr">
        <is>
          <t>sponge</t>
        </is>
      </c>
      <c r="B1864" t="inlineStr">
        <is>
          <t>src/main/java/org/spongepowered/api/command/exception/CommandNotFoundException.java</t>
        </is>
      </c>
      <c r="C1864">
        <f>HYPERLINK("https://github.com/SpongePowered/SpongeAPI/blob/master/src/main/java/org/spongepowered/api/command/exception/CommandNotFoundException.java")</f>
        <v/>
      </c>
      <c r="D1864" t="inlineStr">
        <is>
          <t>The provided code is a Java class that implements core algorithms with a time complexity of O(N). It includes comments explaining its implementation and structure, as well as metadata about its license, copyright holders, and usage permissions. The README provides information about the repository's purpose and contents.</t>
        </is>
      </c>
      <c r="E1864" t="n">
        <v>0.0091</v>
      </c>
      <c r="F1864" t="n">
        <v>0.1053</v>
      </c>
      <c r="G1864" t="n">
        <v>0.2148</v>
      </c>
      <c r="H1864" t="inlineStr">
        <is>
          <t>The code implements core algorithms for a backend system. It has a time complexity of O(N), where N represents the size of the input data. The implementation includes comments explaining its purpose and structure. The code base was initialized with a single commit.</t>
        </is>
      </c>
      <c r="I1864" t="n">
        <v>0.01</v>
      </c>
      <c r="J1864" t="n">
        <v>0.1154</v>
      </c>
      <c r="K1864" t="n">
        <v>0.2222</v>
      </c>
      <c r="L1864" t="inlineStr">
        <is>
          <t>This code implements core algorithms for backend software components, focusing on efficient data processing and manipulation. It handles various inputs and outputs according to specified requirements, ensuring optimal performance and scalability.</t>
        </is>
      </c>
      <c r="M1864" t="n">
        <v>0.016</v>
      </c>
      <c r="N1864" t="n">
        <v>0.2051</v>
      </c>
      <c r="O1864" t="n">
        <v>0.3612</v>
      </c>
    </row>
    <row r="1865">
      <c r="A1865" t="inlineStr">
        <is>
          <t>sponge</t>
        </is>
      </c>
      <c r="B1865" t="inlineStr">
        <is>
          <t>src/main/java/org/spongepowered/api/command/exception/ArgumentParseException.java</t>
        </is>
      </c>
      <c r="C1865">
        <f>HYPERLINK("https://github.com/SpongePowered/SpongeAPI/blob/master/src/main/java/org/spongepowered/api/command/exception/ArgumentParseException.java")</f>
        <v/>
      </c>
      <c r="D1865" t="inlineStr">
        <is>
          <t>The provided code is a backend software component that implements core algorithms with a time complexity of O(N). It includes comments explaining its implementation and structure, as well as details about its complexity and size.</t>
        </is>
      </c>
      <c r="E1865" t="n">
        <v>0.0134</v>
      </c>
      <c r="F1865" t="n">
        <v>0.1818</v>
      </c>
      <c r="G1865" t="n">
        <v>0.295</v>
      </c>
      <c r="H1865" t="inlineStr">
        <is>
          <t>Manages backend software components with core algorithm implementations. Complexity is O(N).</t>
        </is>
      </c>
      <c r="I1865" t="n">
        <v>0.0224</v>
      </c>
      <c r="J1865" t="n">
        <v>0.2</v>
      </c>
      <c r="K1865" t="n">
        <v>0.1205</v>
      </c>
      <c r="L1865" t="inlineStr">
        <is>
          <t>This file contains backend software components that implement core algorithms for processing data efficiently using a time complexity of O(N). It includes initial codebase commits and comments indicating implementation of these algorithms. The total size of the codebase is 1000 lines.</t>
        </is>
      </c>
      <c r="M1865" t="n">
        <v>0.0064</v>
      </c>
      <c r="N1865" t="n">
        <v>0.2</v>
      </c>
      <c r="O1865" t="n">
        <v>0.2655</v>
      </c>
    </row>
    <row r="1866">
      <c r="A1866" t="inlineStr">
        <is>
          <t>sponge</t>
        </is>
      </c>
      <c r="B1866" t="inlineStr">
        <is>
          <t>src/main/java/org/spongepowered/api/client/LocalServer.java</t>
        </is>
      </c>
      <c r="C1866">
        <f>HYPERLINK("https://github.com/SpongePowered/SpongeAPI/blob/master/src/main/java/org/spongepowered/api/client/LocalServer.java")</f>
        <v/>
      </c>
      <c r="D1866" t="inlineStr">
        <is>
          <t>The provided code is a backend software component that implements core algorithms with a time complexity of O(N). It includes comments explaining its implementation and structure. The repository contains initial code for backend operations.</t>
        </is>
      </c>
      <c r="E1866" t="n">
        <v>0.0138</v>
      </c>
      <c r="F1866" t="n">
        <v>0.186</v>
      </c>
      <c r="G1866" t="n">
        <v>0.2978</v>
      </c>
      <c r="H1866" t="inlineStr">
        <is>
          <t>Manages backend software components with complex algorithm implementations.</t>
        </is>
      </c>
      <c r="I1866" t="n">
        <v>0.0278</v>
      </c>
      <c r="J1866" t="n">
        <v>0.25</v>
      </c>
      <c r="K1866" t="n">
        <v>0.0625</v>
      </c>
      <c r="L1866" t="inlineStr">
        <is>
          <t>This code implements core algorithms for backend software components using a complexity of O(N). It includes initial implementation comments and no specific context about the project's structure or usage. The total size of the codebase is 1000 lines.</t>
        </is>
      </c>
      <c r="M1866" t="n">
        <v>0.013</v>
      </c>
      <c r="N1866" t="n">
        <v>0.1667</v>
      </c>
      <c r="O1866" t="n">
        <v>0.3876</v>
      </c>
    </row>
    <row r="1867">
      <c r="A1867" t="inlineStr">
        <is>
          <t>sponge</t>
        </is>
      </c>
      <c r="B1867" t="inlineStr">
        <is>
          <t>src/main/java/org/spongepowered/api/client/package-info.java</t>
        </is>
      </c>
      <c r="C1867">
        <f>HYPERLINK("https://github.com/SpongePowered/SpongeAPI/blob/master/src/main/java/org/spongepowered/api/client/package-info.java")</f>
        <v/>
      </c>
      <c r="D1867" t="inlineStr">
        <is>
          <t>The provided code is a Java implementation of core algorithms with a time complexity of O(N). It includes comments explaining its purpose, structure, and usage. The code does not contain any specific algorithmic details but serves as a template for implementing complex algorithms efficiently.</t>
        </is>
      </c>
      <c r="E1867" t="n">
        <v>0.005</v>
      </c>
      <c r="F1867" t="n">
        <v>0.1132</v>
      </c>
      <c r="G1867" t="n">
        <v>0.1293</v>
      </c>
      <c r="H1867" t="inlineStr">
        <is>
          <t>Manages backend software components with complexity O(N).</t>
        </is>
      </c>
      <c r="I1867" t="n">
        <v>0.0286</v>
      </c>
      <c r="J1867" t="n">
        <v>0.125</v>
      </c>
      <c r="K1867" t="n">
        <v>0.0633</v>
      </c>
      <c r="L1867" t="inlineStr">
        <is>
          <t>This file is part of SpongeAPI, which provides backend software components for various applications. It includes initial implementation of core algorithms, designed to handle complex data processing tasks efficiently. The code complexity is moderate at O(N), and existing comments provide context for the core functionalities.</t>
        </is>
      </c>
      <c r="M1867" t="n">
        <v>0.0058</v>
      </c>
      <c r="N1867" t="n">
        <v>0.1852</v>
      </c>
      <c r="O1867" t="n">
        <v>0.2564</v>
      </c>
    </row>
    <row r="1868">
      <c r="A1868" t="inlineStr">
        <is>
          <t>sponge</t>
        </is>
      </c>
      <c r="B1868" t="inlineStr">
        <is>
          <t>src/main/java/org/spongepowered/api/tag/Tag.java</t>
        </is>
      </c>
      <c r="C1868">
        <f>HYPERLINK("https://github.com/SpongePowered/SpongeAPI/blob/master/src/main/java/org/spongepowered/api/tag/Tag.java")</f>
        <v/>
      </c>
      <c r="D1868" t="inlineStr">
        <is>
          <t>The provided code is a Java class that implements core algorithms with a time complexity of O(N). It includes comments explaining its purpose and implementation details. The code size is 1000 lines.</t>
        </is>
      </c>
      <c r="E1868" t="n">
        <v>0.0137</v>
      </c>
      <c r="F1868" t="n">
        <v>0.1463</v>
      </c>
      <c r="G1868" t="n">
        <v>0.2457</v>
      </c>
      <c r="H1868" t="inlineStr">
        <is>
          <t>Manages backend software components with complexity O(N).</t>
        </is>
      </c>
      <c r="I1868" t="n">
        <v>0.0286</v>
      </c>
      <c r="J1868" t="n">
        <v>0.125</v>
      </c>
      <c r="K1868" t="n">
        <v>0.0633</v>
      </c>
      <c r="L1868" t="inlineStr">
        <is>
          <t>This code implements core algorithms for backend software components using a time complexity of O(N). It includes initial codebase commits and comments that describe the implementation of these algorithms. The total size of the codebase is 1000 lines.</t>
        </is>
      </c>
      <c r="M1868" t="n">
        <v>0.013</v>
      </c>
      <c r="N1868" t="n">
        <v>0.1702</v>
      </c>
      <c r="O1868" t="n">
        <v>0.3876</v>
      </c>
    </row>
    <row r="1869">
      <c r="A1869" t="inlineStr">
        <is>
          <t>sponge</t>
        </is>
      </c>
      <c r="B1869" t="inlineStr">
        <is>
          <t>src/main/java/org/spongepowered/api/tag/ItemTypeTags.java</t>
        </is>
      </c>
      <c r="C1869">
        <f>HYPERLINK("https://github.com/SpongePowered/SpongeAPI/blob/master/src/main/java/org/spongepowered/api/tag/ItemTypeTags.java")</f>
        <v/>
      </c>
      <c r="D1869" t="inlineStr">
        <is>
          <t>The provided code is a backend software component with complexity O(N), implementing core algorithms. It includes comments explaining its implementation and commits detailing initial development. The total size of the codebase is 1000 lines.</t>
        </is>
      </c>
      <c r="E1869" t="n">
        <v>0.0072</v>
      </c>
      <c r="F1869" t="n">
        <v>0.186</v>
      </c>
      <c r="G1869" t="n">
        <v>0.1887</v>
      </c>
      <c r="H1869" t="inlineStr">
        <is>
          <t>Manages backend software components with complex algorithm implementations.</t>
        </is>
      </c>
      <c r="I1869" t="n">
        <v>0.0278</v>
      </c>
      <c r="J1869" t="n">
        <v>0.25</v>
      </c>
      <c r="K1869" t="n">
        <v>0.0625</v>
      </c>
      <c r="L1869" t="inlineStr">
        <is>
          <t>This code implements core algorithms for a backend software component, focusing on efficient data processing and manipulation. It processes large datasets using an O(N) complexity algorithm, leveraging existing comments and commit messages to guide implementation. The code size is 1000 lines, reflecting its importance within the project's architecture.</t>
        </is>
      </c>
      <c r="M1869" t="n">
        <v>0.0102</v>
      </c>
      <c r="N1869" t="n">
        <v>0.1379</v>
      </c>
      <c r="O1869" t="n">
        <v>0.3553</v>
      </c>
    </row>
    <row r="1870">
      <c r="A1870" t="inlineStr">
        <is>
          <t>sponge</t>
        </is>
      </c>
      <c r="B1870" t="inlineStr">
        <is>
          <t>src/main/java/org/spongepowered/api/tag/EnchantmenTypeTags.java</t>
        </is>
      </c>
      <c r="C1870">
        <f>HYPERLINK("https://github.com/SpongePowered/SpongeAPI/blob/master/src/main/java/org/spongepowered/api/tag/EnchantmenTypeTags.java")</f>
        <v/>
      </c>
      <c r="D1870" t="inlineStr">
        <is>
          <t>The provided code is a Java implementation of core algorithms with a time complexity of O(N). It includes comments explaining its purpose and structure, as well as details about its license and usage. The README provides information about the repository's contents and complexity level.</t>
        </is>
      </c>
      <c r="E1870" t="n">
        <v>0.005</v>
      </c>
      <c r="F1870" t="n">
        <v>0.1111</v>
      </c>
      <c r="G1870" t="n">
        <v>0.1293</v>
      </c>
      <c r="H1870" t="inlineStr">
        <is>
          <t>This repository contains backend software components with complexity O(N). It implements core algorithms and includes comments explaining the implementation. The total size of the codebase is 1000 lines.</t>
        </is>
      </c>
      <c r="I1870" t="n">
        <v>0.0179</v>
      </c>
      <c r="J1870" t="n">
        <v>0.2703</v>
      </c>
      <c r="K1870" t="n">
        <v>0.372</v>
      </c>
      <c r="L1870" t="inlineStr">
        <is>
          <t>This code implements core algorithms for backend software components, focusing on efficient data processing and manipulation tasks. It uses a time complexity of O(N), making it suitable for handling large datasets. The implementation includes comments that provide context and explain the core functionalities, ensuring clarity and ease of maintenance.</t>
        </is>
      </c>
      <c r="M1870" t="n">
        <v>0.01</v>
      </c>
      <c r="N1870" t="n">
        <v>0.2069</v>
      </c>
      <c r="O1870" t="n">
        <v>0.2479</v>
      </c>
    </row>
    <row r="1871">
      <c r="A1871" t="inlineStr">
        <is>
          <t>sponge</t>
        </is>
      </c>
      <c r="B1871" t="inlineStr">
        <is>
          <t>src/main/java/org/spongepowered/api/tag/package-info.java</t>
        </is>
      </c>
      <c r="C1871">
        <f>HYPERLINK("https://github.com/SpongePowered/SpongeAPI/blob/master/src/main/java/org/spongepowered/api/tag/package-info.java")</f>
        <v/>
      </c>
      <c r="D1871" t="inlineStr">
        <is>
          <t>The provided code is a backend software component that implements core algorithms with a time complexity of O(N). It includes comments explaining its implementation and structure, as well as metadata about its license, ownership, and usage permissions. The README provides information about the repository's purpose and contents.</t>
        </is>
      </c>
      <c r="E1871" t="n">
        <v>0.0098</v>
      </c>
      <c r="F1871" t="n">
        <v>0.1404</v>
      </c>
      <c r="G1871" t="n">
        <v>0.2652</v>
      </c>
      <c r="H1871" t="inlineStr">
        <is>
          <t>Manages backend software components with complexity O(N).</t>
        </is>
      </c>
      <c r="I1871" t="n">
        <v>0.0286</v>
      </c>
      <c r="J1871" t="n">
        <v>0.125</v>
      </c>
      <c r="K1871" t="n">
        <v>0.0633</v>
      </c>
      <c r="L1871" t="inlineStr">
        <is>
          <t>This code implements core algorithms for a backend software component, handling input data efficiently with a time complexity of O(N). It includes comments explaining implementation details and has been committed as part of an initial codebase.</t>
        </is>
      </c>
      <c r="M1871" t="n">
        <v>0.0137</v>
      </c>
      <c r="N1871" t="n">
        <v>0.1778</v>
      </c>
      <c r="O1871" t="n">
        <v>0.3948</v>
      </c>
    </row>
    <row r="1872">
      <c r="A1872" t="inlineStr">
        <is>
          <t>sponge</t>
        </is>
      </c>
      <c r="B1872" t="inlineStr">
        <is>
          <t>src/main/java/org/spongepowered/api/tag/FluidTypeTags.java</t>
        </is>
      </c>
      <c r="C1872">
        <f>HYPERLINK("https://github.com/SpongePowered/SpongeAPI/blob/master/src/main/java/org/spongepowered/api/tag/FluidTypeTags.java")</f>
        <v/>
      </c>
      <c r="D1872" t="inlineStr">
        <is>
          <t>The provided code is a backend software component with a complexity of O(N). It includes comments explaining its implementation of core algorithms and has been committed once. The total size of the code is 1000 lines.</t>
        </is>
      </c>
      <c r="E1872" t="n">
        <v>0.0068</v>
      </c>
      <c r="F1872" t="n">
        <v>0.1778</v>
      </c>
      <c r="G1872" t="n">
        <v>0.1852</v>
      </c>
      <c r="H1872" t="inlineStr">
        <is>
          <t>Manages backend software components with complex algorithm implementations.</t>
        </is>
      </c>
      <c r="I1872" t="n">
        <v>0.0278</v>
      </c>
      <c r="J1872" t="n">
        <v>0.25</v>
      </c>
      <c r="K1872" t="n">
        <v>0.0625</v>
      </c>
      <c r="L1872" t="inlineStr">
        <is>
          <t>This code implements core algorithms for a backend software component, focusing on efficient data processing and manipulation. It processes large datasets using an O(N) complexity algorithm, ensuring optimal performance while maintaining clarity through well-documented comments and structured code organization.</t>
        </is>
      </c>
      <c r="M1872" t="n">
        <v>0.0126</v>
      </c>
      <c r="N1872" t="n">
        <v>0.1633</v>
      </c>
      <c r="O1872" t="n">
        <v>0.3841</v>
      </c>
    </row>
    <row r="1873">
      <c r="A1873" t="inlineStr">
        <is>
          <t>sponge</t>
        </is>
      </c>
      <c r="B1873" t="inlineStr">
        <is>
          <t>src/main/java/org/spongepowered/api/tag/DamageTypeTags.java</t>
        </is>
      </c>
      <c r="C1873">
        <f>HYPERLINK("https://github.com/SpongePowered/SpongeAPI/blob/master/src/main/java/org/spongepowered/api/tag/DamageTypeTags.java")</f>
        <v/>
      </c>
      <c r="D1873" t="inlineStr">
        <is>
          <t>The provided code is a backend software component that implements core algorithms with a time complexity of O(N). It includes comments explaining its implementation and structure. The code size is 1000 lines long.</t>
        </is>
      </c>
      <c r="E1873" t="n">
        <v>0.0142</v>
      </c>
      <c r="F1873" t="n">
        <v>0.1905</v>
      </c>
      <c r="G1873" t="n">
        <v>0.3006</v>
      </c>
      <c r="H1873" t="inlineStr">
        <is>
          <t>Manages backend software components with complexity O(N).</t>
        </is>
      </c>
      <c r="I1873" t="n">
        <v>0.0286</v>
      </c>
      <c r="J1873" t="n">
        <v>0.125</v>
      </c>
      <c r="K1873" t="n">
        <v>0.0633</v>
      </c>
      <c r="L1873" t="inlineStr">
        <is>
          <t>This file is part of the SpongeAPI project, which provides backend software components for various applications. It includes implementations of core algorithms that handle data processing tasks efficiently, ensuring optimal performance with a time complexity of O(N). The code size is approximately 1000 lines, and existing comments provide context about the implementation of these algorithms.</t>
        </is>
      </c>
      <c r="M1873" t="n">
        <v>0.0047</v>
      </c>
      <c r="N1873" t="n">
        <v>0.1562</v>
      </c>
      <c r="O1873" t="n">
        <v>0.2362</v>
      </c>
    </row>
    <row r="1874">
      <c r="A1874" t="inlineStr">
        <is>
          <t>sponge</t>
        </is>
      </c>
      <c r="B1874" t="inlineStr">
        <is>
          <t>src/main/java/org/spongepowered/api/tag/EntityTypeTags.java</t>
        </is>
      </c>
      <c r="C1874">
        <f>HYPERLINK("https://github.com/SpongePowered/SpongeAPI/blob/master/src/main/java/org/spongepowered/api/tag/EntityTypeTags.java")</f>
        <v/>
      </c>
      <c r="D1874" t="inlineStr">
        <is>
          <t>The provided code is a backend software component that implements core algorithms with a time complexity of O(N). It includes comments explaining its implementation and structure. The repository contains initial code for backend operations.</t>
        </is>
      </c>
      <c r="E1874" t="n">
        <v>0.0138</v>
      </c>
      <c r="F1874" t="n">
        <v>0.186</v>
      </c>
      <c r="G1874" t="n">
        <v>0.2978</v>
      </c>
      <c r="H1874" t="inlineStr">
        <is>
          <t>Manages backend software components with complex algorithm implementations.</t>
        </is>
      </c>
      <c r="I1874" t="n">
        <v>0.0278</v>
      </c>
      <c r="J1874" t="n">
        <v>0.25</v>
      </c>
      <c r="K1874" t="n">
        <v>0.0625</v>
      </c>
      <c r="L1874" t="inlineStr">
        <is>
          <t>This code implements core algorithms for a backend software component, focusing on efficient data processing and manipulation. It handles various input scenarios and provides clear output based on predefined rules. The implementation complexity is O(N), indicating linear time efficiency, which is crucial for performance optimization in large-scale applications.</t>
        </is>
      </c>
      <c r="M1874" t="n">
        <v>0.0102</v>
      </c>
      <c r="N1874" t="n">
        <v>0.1379</v>
      </c>
      <c r="O1874" t="n">
        <v>0.31</v>
      </c>
    </row>
    <row r="1875">
      <c r="A1875" t="inlineStr">
        <is>
          <t>sponge</t>
        </is>
      </c>
      <c r="B1875" t="inlineStr">
        <is>
          <t>src/main/java/org/spongepowered/api/tag/BiomeTags.java</t>
        </is>
      </c>
      <c r="C1875">
        <f>HYPERLINK("https://github.com/SpongePowered/SpongeAPI/blob/master/src/main/java/org/spongepowered/api/tag/BiomeTags.java")</f>
        <v/>
      </c>
      <c r="D1875" t="inlineStr">
        <is>
          <t>The provided code is a Java class that implements core algorithms with a time complexity of O(N). It includes comments explaining its purpose, implementation details, and usage. The code size is 1000 lines.</t>
        </is>
      </c>
      <c r="E1875" t="n">
        <v>0.0132</v>
      </c>
      <c r="F1875" t="n">
        <v>0.1429</v>
      </c>
      <c r="G1875" t="n">
        <v>0.2434</v>
      </c>
      <c r="H1875" t="inlineStr">
        <is>
          <t>Manages backend software components with complex algorithm implementations.</t>
        </is>
      </c>
      <c r="I1875" t="n">
        <v>0.0278</v>
      </c>
      <c r="J1875" t="n">
        <v>0.25</v>
      </c>
      <c r="K1875" t="n">
        <v>0.0625</v>
      </c>
      <c r="L1875" t="inlineStr">
        <is>
          <t>This code implements core algorithms for a backend software component using Java, adhering to the MIT license. It processes data efficiently with a time complexity of O(N), making it suitable for large datasets. The implementation includes comments that describe the core functionalities, ensuring clarity and ease of maintenance.</t>
        </is>
      </c>
      <c r="M1875" t="n">
        <v>0.0102</v>
      </c>
      <c r="N1875" t="n">
        <v>0.2105</v>
      </c>
      <c r="O1875" t="n">
        <v>0.25</v>
      </c>
    </row>
    <row r="1876">
      <c r="A1876" t="inlineStr">
        <is>
          <t>sponge</t>
        </is>
      </c>
      <c r="B1876" t="inlineStr">
        <is>
          <t>src/main/java/org/spongepowered/api/tag/TagTemplate.java</t>
        </is>
      </c>
      <c r="C1876">
        <f>HYPERLINK("https://github.com/SpongePowered/SpongeAPI/blob/master/src/main/java/org/spongepowered/api/tag/TagTemplate.java")</f>
        <v/>
      </c>
      <c r="D1876" t="inlineStr">
        <is>
          <t>The provided code is a Java implementation of core algorithms with a time complexity of O(N). It includes comments explaining its purpose and functionality, as well as information about its license, authors, and usage. The README provides details about the repository's contents, complexity analysis, and initial commit history.</t>
        </is>
      </c>
      <c r="E1876" t="n">
        <v>0.0045</v>
      </c>
      <c r="F1876" t="n">
        <v>0.1379</v>
      </c>
      <c r="G1876" t="n">
        <v>0.125</v>
      </c>
      <c r="H1876" t="inlineStr">
        <is>
          <t>Manages backend software components with complex algorithm implementations.</t>
        </is>
      </c>
      <c r="I1876" t="n">
        <v>0.0278</v>
      </c>
      <c r="J1876" t="n">
        <v>0.25</v>
      </c>
      <c r="K1876" t="n">
        <v>0.0625</v>
      </c>
      <c r="L1876" t="inlineStr">
        <is>
          <t>This code implements core algorithms for a backend software component, focusing on efficient data processing and manipulation tasks. It uses a time complexity of O(N), indicating linear performance relative to input size, and includes comments that provide context and implementation details.</t>
        </is>
      </c>
      <c r="M1876" t="n">
        <v>0.012</v>
      </c>
      <c r="N1876" t="n">
        <v>0.16</v>
      </c>
      <c r="O1876" t="n">
        <v>0.3773</v>
      </c>
    </row>
    <row r="1877">
      <c r="A1877" t="inlineStr">
        <is>
          <t>sponge</t>
        </is>
      </c>
      <c r="B1877" t="inlineStr">
        <is>
          <t>src/main/java/org/spongepowered/api/tag/Taggable.java</t>
        </is>
      </c>
      <c r="C1877">
        <f>HYPERLINK("https://github.com/SpongePowered/SpongeAPI/blob/master/src/main/java/org/spongepowered/api/tag/Taggable.java")</f>
        <v/>
      </c>
      <c r="D1877" t="inlineStr">
        <is>
          <t>The provided code is a Java class that implements core algorithms with a time complexity of O(N). It includes comments explaining its implementation and structure. The code size is 1000 lines long.</t>
        </is>
      </c>
      <c r="E1877" t="n">
        <v>0.0137</v>
      </c>
      <c r="F1877" t="n">
        <v>0.1463</v>
      </c>
      <c r="G1877" t="n">
        <v>0.2457</v>
      </c>
      <c r="H1877" t="inlineStr">
        <is>
          <t>Manages backend software components with complex algorithm implementations.</t>
        </is>
      </c>
      <c r="I1877" t="n">
        <v>0.0278</v>
      </c>
      <c r="J1877" t="n">
        <v>0.25</v>
      </c>
      <c r="K1877" t="n">
        <v>0.0625</v>
      </c>
      <c r="L1877" t="inlineStr">
        <is>
          <t>This code implements core algorithms for backend software components, focusing on efficient data processing and manipulation. It has a time complexity of O(N), making it suitable for handling large datasets. The implementation includes comments that provide context and clarity about the core functionalities.</t>
        </is>
      </c>
      <c r="M1877" t="n">
        <v>0.0114</v>
      </c>
      <c r="N1877" t="n">
        <v>0.1923</v>
      </c>
      <c r="O1877" t="n">
        <v>0.2174</v>
      </c>
    </row>
    <row r="1878">
      <c r="A1878" t="inlineStr">
        <is>
          <t>sponge</t>
        </is>
      </c>
      <c r="B1878" t="inlineStr">
        <is>
          <t>src/main/java/org/spongepowered/api/tag/BlockTypeTags.java</t>
        </is>
      </c>
      <c r="C1878">
        <f>HYPERLINK("https://github.com/SpongePowered/SpongeAPI/blob/master/src/main/java/org/spongepowered/api/tag/BlockTypeTags.java")</f>
        <v/>
      </c>
      <c r="D1878" t="inlineStr">
        <is>
          <t>The provided code is a backend software component that implements core algorithms with a time complexity of O(N). It includes comments explaining its implementation and structure. The code size is 1000 lines long.</t>
        </is>
      </c>
      <c r="E1878" t="n">
        <v>0.0142</v>
      </c>
      <c r="F1878" t="n">
        <v>0.1905</v>
      </c>
      <c r="G1878" t="n">
        <v>0.3006</v>
      </c>
      <c r="H1878" t="inlineStr">
        <is>
          <t>Manages backend software components with core algorithm implementations. Complexity is O(N).</t>
        </is>
      </c>
      <c r="I1878" t="n">
        <v>0.0224</v>
      </c>
      <c r="J1878" t="n">
        <v>0.2</v>
      </c>
      <c r="K1878" t="n">
        <v>0.1205</v>
      </c>
      <c r="L1878" t="inlineStr">
        <is>
          <t>This file contains backend software components that implement core algorithms, primarily focused on handling data processing tasks efficiently. It has a time complexity of O(N), making it suitable for large datasets. The code size is 1000 lines, which includes comments explaining implementation details.</t>
        </is>
      </c>
      <c r="M1878" t="n">
        <v>0.0056</v>
      </c>
      <c r="N1878" t="n">
        <v>0.1538</v>
      </c>
      <c r="O1878" t="n">
        <v>0.1739</v>
      </c>
    </row>
    <row r="1879">
      <c r="A1879" t="inlineStr">
        <is>
          <t>sponge</t>
        </is>
      </c>
      <c r="B1879" t="inlineStr">
        <is>
          <t>src/main/java/org/spongepowered/api/network/EngineConnectionSide.java</t>
        </is>
      </c>
      <c r="C1879">
        <f>HYPERLINK("https://github.com/SpongePowered/SpongeAPI/blob/master/src/main/java/org/spongepowered/api/network/EngineConnectionSide.java")</f>
        <v/>
      </c>
      <c r="D1879" t="inlineStr">
        <is>
          <t>The provided code is a snippet from a README file for a backend software component repository. It includes licensing information, permissions, and details about the complexity of the implementation, comments explaining the purpose, and basic statistics such as the number of commits and code size.</t>
        </is>
      </c>
      <c r="E1879" t="n">
        <v>0.0049</v>
      </c>
      <c r="F1879" t="n">
        <v>0.1132</v>
      </c>
      <c r="G1879" t="n">
        <v>0.08550000000000001</v>
      </c>
      <c r="H1879" t="inlineStr">
        <is>
          <t>Manages backend software components with core algorithm implementations. Complexity is O(N).</t>
        </is>
      </c>
      <c r="I1879" t="n">
        <v>0.0224</v>
      </c>
      <c r="J1879" t="n">
        <v>0.2</v>
      </c>
      <c r="K1879" t="n">
        <v>0.1205</v>
      </c>
      <c r="L1879" t="inlineStr">
        <is>
          <t>This code implements core algorithms for a backend software component, focusing on efficient data processing and manipulation tasks. It processes large datasets using an O(N) complexity approach, leveraging existing comments and commit messages from an initial codebase commit. The implementation includes essential functionalities required for the repository's primary purpose.</t>
        </is>
      </c>
      <c r="M1879" t="n">
        <v>0.01</v>
      </c>
      <c r="N1879" t="n">
        <v>0.1356</v>
      </c>
      <c r="O1879" t="n">
        <v>0.3524</v>
      </c>
    </row>
    <row r="1880">
      <c r="A1880" t="inlineStr">
        <is>
          <t>sponge</t>
        </is>
      </c>
      <c r="B1880" t="inlineStr">
        <is>
          <t>src/main/java/org/spongepowered/api/network/ServerConnectionState.java</t>
        </is>
      </c>
      <c r="C1880">
        <f>HYPERLINK("https://github.com/SpongePowered/SpongeAPI/blob/master/src/main/java/org/spongepowered/api/network/ServerConnectionState.java")</f>
        <v/>
      </c>
      <c r="D1880" t="inlineStr">
        <is>
          <t>The provided code is a Java implementation of core algorithms with a time complexity of O(N). It includes comments explaining its purpose and usage, as well as information about its license and ownership. The README provides details about the repository's contents and structure.</t>
        </is>
      </c>
      <c r="E1880" t="n">
        <v>0.0051</v>
      </c>
      <c r="F1880" t="n">
        <v>0.1132</v>
      </c>
      <c r="G1880" t="n">
        <v>0.1304</v>
      </c>
      <c r="H1880" t="inlineStr">
        <is>
          <t>This repository contains backend software components with complexity O(N). It implements core algorithms and has been initialized with an initial codebase commit. The total size of the codebase is 1000 lines.</t>
        </is>
      </c>
      <c r="I1880" t="n">
        <v>0.016</v>
      </c>
      <c r="J1880" t="n">
        <v>0.25</v>
      </c>
      <c r="K1880" t="n">
        <v>0.3612</v>
      </c>
      <c r="L1880" t="inlineStr">
        <is>
          <t>This code implements core algorithms for backend software components, handling input/output operations efficiently with a time complexity of O(N). It includes comments explaining implementation details and adheres to best practices for code readability and maintainability.</t>
        </is>
      </c>
      <c r="M1880" t="n">
        <v>0.0141</v>
      </c>
      <c r="N1880" t="n">
        <v>0.1778</v>
      </c>
      <c r="O1880" t="n">
        <v>0.3477</v>
      </c>
    </row>
    <row r="1881">
      <c r="A1881" t="inlineStr">
        <is>
          <t>sponge</t>
        </is>
      </c>
      <c r="B1881" t="inlineStr">
        <is>
          <t>src/main/java/org/spongepowered/api/network/EngineConnection.java</t>
        </is>
      </c>
      <c r="C1881">
        <f>HYPERLINK("https://github.com/SpongePowered/SpongeAPI/blob/master/src/main/java/org/spongepowered/api/network/EngineConnection.java")</f>
        <v/>
      </c>
      <c r="D1881" t="inlineStr">
        <is>
          <t>The provided code is a Java implementation of core algorithms with a time complexity of O(N). It includes comments explaining its purpose and structure, as well as a README detailing its contents and usage. The code size is 1000 lines.</t>
        </is>
      </c>
      <c r="E1881" t="n">
        <v>0.0055</v>
      </c>
      <c r="F1881" t="n">
        <v>0.1224</v>
      </c>
      <c r="G1881" t="n">
        <v>0.1339</v>
      </c>
      <c r="H1881" t="inlineStr">
        <is>
          <t>Manages backend software components with complexity O(N).</t>
        </is>
      </c>
      <c r="I1881" t="n">
        <v>0.0286</v>
      </c>
      <c r="J1881" t="n">
        <v>0.125</v>
      </c>
      <c r="K1881" t="n">
        <v>0.0633</v>
      </c>
      <c r="L1881" t="inlineStr">
        <is>
          <t>This code implements core algorithms for a backend software component, focusing on efficient data processing and manipulation. It has a time complexity of \(O(N)\), making it suitable for handling large datasets. The implementation includes comments that provide context and clarify the core functionalities.</t>
        </is>
      </c>
      <c r="M1881" t="n">
        <v>0.0114</v>
      </c>
      <c r="N1881" t="n">
        <v>0.1923</v>
      </c>
      <c r="O1881" t="n">
        <v>0.2174</v>
      </c>
    </row>
    <row r="1882">
      <c r="A1882" t="inlineStr">
        <is>
          <t>sponge</t>
        </is>
      </c>
      <c r="B1882" t="inlineStr">
        <is>
          <t>src/main/java/org/spongepowered/api/network/ClientConnectionState.java</t>
        </is>
      </c>
      <c r="C1882">
        <f>HYPERLINK("https://github.com/SpongePowered/SpongeAPI/blob/master/src/main/java/org/spongepowered/api/network/ClientConnectionState.java")</f>
        <v/>
      </c>
      <c r="D1882" t="inlineStr">
        <is>
          <t>The provided code is a Java implementation of core algorithms with a time complexity of O(N). It includes comments explaining its purpose and functionality, as well as details about its license and usage. The README provides information about the repository's contents and structure.</t>
        </is>
      </c>
      <c r="E1882" t="n">
        <v>0.0051</v>
      </c>
      <c r="F1882" t="n">
        <v>0.1509</v>
      </c>
      <c r="G1882" t="n">
        <v>0.1304</v>
      </c>
      <c r="H1882" t="inlineStr">
        <is>
          <t>This repository contains backend software components with complexity O(N), implementing core algorithms. It includes comments explaining the implementation and has been committed as the initial codebase. The total size of the code is 1000 lines.</t>
        </is>
      </c>
      <c r="I1882" t="n">
        <v>0.0075</v>
      </c>
      <c r="J1882" t="n">
        <v>0.2273</v>
      </c>
      <c r="K1882" t="n">
        <v>0.2336</v>
      </c>
      <c r="L1882" t="inlineStr">
        <is>
          <t>This code implements core algorithms for backend software components, handling input data efficiently with a time complexity of O(N). It includes comments explaining implementation details and was initially committed as part of the initial codebase. The total size of the codebase is 1000 lines.</t>
        </is>
      </c>
      <c r="M1882" t="n">
        <v>0.0111</v>
      </c>
      <c r="N1882" t="n">
        <v>0.1509</v>
      </c>
      <c r="O1882" t="n">
        <v>0.3676</v>
      </c>
    </row>
    <row r="1883">
      <c r="A1883" t="inlineStr">
        <is>
          <t>sponge</t>
        </is>
      </c>
      <c r="B1883" t="inlineStr">
        <is>
          <t>src/main/java/org/spongepowered/api/network/package-info.java</t>
        </is>
      </c>
      <c r="C1883">
        <f>HYPERLINK("https://github.com/SpongePowered/SpongeAPI/blob/master/src/main/java/org/spongepowered/api/network/package-info.java")</f>
        <v/>
      </c>
      <c r="D1883" t="inlineStr">
        <is>
          <t>The provided code is a Java class that implements core algorithms with a time complexity of O(N). It includes comments explaining its implementation and structure, as well as metadata about its license, authors, and usage. The README provides information about the repository's purpose, complexity, and contents.</t>
        </is>
      </c>
      <c r="E1883" t="n">
        <v>0.0094</v>
      </c>
      <c r="F1883" t="n">
        <v>0.1071</v>
      </c>
      <c r="G1883" t="n">
        <v>0.2166</v>
      </c>
      <c r="H1883" t="inlineStr">
        <is>
          <t>Manages backend software components with complex algorithm implementations.</t>
        </is>
      </c>
      <c r="I1883" t="n">
        <v>0.0278</v>
      </c>
      <c r="J1883" t="n">
        <v>0.25</v>
      </c>
      <c r="K1883" t="n">
        <v>0.0625</v>
      </c>
      <c r="L1883" t="inlineStr">
        <is>
          <t>This code implements core algorithms for backend software components using a complexity of O(N), leveraging existing comments and initial implementation. It serves as the foundational structure for further development within the repository.</t>
        </is>
      </c>
      <c r="M1883" t="n">
        <v>0.0155</v>
      </c>
      <c r="N1883" t="n">
        <v>0.1951</v>
      </c>
      <c r="O1883" t="n">
        <v>0.41</v>
      </c>
    </row>
    <row r="1884">
      <c r="A1884" t="inlineStr">
        <is>
          <t>sponge</t>
        </is>
      </c>
      <c r="B1884" t="inlineStr">
        <is>
          <t>src/main/java/org/spongepowered/api/network/RemoteConnection.java</t>
        </is>
      </c>
      <c r="C1884">
        <f>HYPERLINK("https://github.com/SpongePowered/SpongeAPI/blob/master/src/main/java/org/spongepowered/api/network/RemoteConnection.java")</f>
        <v/>
      </c>
      <c r="D1884" t="inlineStr">
        <is>
          <t>The provided code is a backend software component that implements core algorithms with a time complexity of O(N). It includes comments explaining its implementation and structure, as well as details about its complexity and size.</t>
        </is>
      </c>
      <c r="E1884" t="n">
        <v>0.0134</v>
      </c>
      <c r="F1884" t="n">
        <v>0.1818</v>
      </c>
      <c r="G1884" t="n">
        <v>0.295</v>
      </c>
      <c r="H1884" t="inlineStr">
        <is>
          <t>Manages backend software components with complexity O(N).</t>
        </is>
      </c>
      <c r="I1884" t="n">
        <v>0.0286</v>
      </c>
      <c r="J1884" t="n">
        <v>0.125</v>
      </c>
      <c r="K1884" t="n">
        <v>0.0633</v>
      </c>
      <c r="L1884" t="inlineStr">
        <is>
          <t>This code implements core algorithms for a backend software component, focusing on efficient data processing and manipulation. It processes large datasets using an O(N) complexity algorithm, ensuring optimal performance while maintaining clarity through well-documented comments and initial implementation details.</t>
        </is>
      </c>
      <c r="M1884" t="n">
        <v>0.0126</v>
      </c>
      <c r="N1884" t="n">
        <v>0.1633</v>
      </c>
      <c r="O1884" t="n">
        <v>0.3841</v>
      </c>
    </row>
    <row r="1885">
      <c r="A1885" t="inlineStr">
        <is>
          <t>sponge</t>
        </is>
      </c>
      <c r="B1885" t="inlineStr">
        <is>
          <t>src/main/java/org/spongepowered/api/network/EngineConnectionStates.java</t>
        </is>
      </c>
      <c r="C1885">
        <f>HYPERLINK("https://github.com/SpongePowered/SpongeAPI/blob/master/src/main/java/org/spongepowered/api/network/EngineConnectionStates.java")</f>
        <v/>
      </c>
      <c r="D1885" t="inlineStr">
        <is>
          <t>The provided code is a Java implementation of core algorithms with a time complexity of O(N). It includes comments explaining its purpose and structure, as well as information about its license, copyright holders, and usage permissions. The README provides details on the repository's contents, such as its complexity level, size, and initial commit history.</t>
        </is>
      </c>
      <c r="E1885" t="n">
        <v>0.004</v>
      </c>
      <c r="F1885" t="n">
        <v>0.09379999999999999</v>
      </c>
      <c r="G1885" t="n">
        <v>0.119</v>
      </c>
      <c r="H1885" t="inlineStr">
        <is>
          <t>Manages backend software components with complexity O(N).</t>
        </is>
      </c>
      <c r="I1885" t="n">
        <v>0.0286</v>
      </c>
      <c r="J1885" t="n">
        <v>0.125</v>
      </c>
      <c r="K1885" t="n">
        <v>0.0633</v>
      </c>
      <c r="L1885" t="inlineStr">
        <is>
          <t>This file is part of the SpongeAPI project, which provides backend software components for various applications. It includes implementations of core algorithms that manage data structures efficiently, ensuring optimal performance with a time complexity of O(N). The code size is 1000 lines, and existing comments provide context about the implementation of these algorithms.</t>
        </is>
      </c>
      <c r="M1885" t="n">
        <v>0.0049</v>
      </c>
      <c r="N1885" t="n">
        <v>0.1613</v>
      </c>
      <c r="O1885" t="n">
        <v>0.24</v>
      </c>
    </row>
    <row r="1886">
      <c r="A1886" t="inlineStr">
        <is>
          <t>sponge</t>
        </is>
      </c>
      <c r="B1886" t="inlineStr">
        <is>
          <t>src/main/java/org/spongepowered/api/network/ClientSideConnection.java</t>
        </is>
      </c>
      <c r="C1886">
        <f>HYPERLINK("https://github.com/SpongePowered/SpongeAPI/blob/master/src/main/java/org/spongepowered/api/network/ClientSideConnection.java")</f>
        <v/>
      </c>
      <c r="D1886" t="inlineStr">
        <is>
          <t>The provided code is a snippet from a Java class that implements core algorithms with a time complexity of O(N). It includes comments explaining its purpose, implementation details, and usage. The code does not contain actual algorithmic logic but serves as a template for implementing such algorithms.</t>
        </is>
      </c>
      <c r="E1886" t="n">
        <v>0.0091</v>
      </c>
      <c r="F1886" t="n">
        <v>0.1429</v>
      </c>
      <c r="G1886" t="n">
        <v>0.2148</v>
      </c>
      <c r="H1886" t="inlineStr">
        <is>
          <t>Manages backend software components with complex algorithm implementations.</t>
        </is>
      </c>
      <c r="I1886" t="n">
        <v>0.0278</v>
      </c>
      <c r="J1886" t="n">
        <v>0.25</v>
      </c>
      <c r="K1886" t="n">
        <v>0.0625</v>
      </c>
      <c r="L1886" t="inlineStr">
        <is>
          <t>This code implements backend software components for a project, focusing on core algorithm implementations that handle various functionalities related to data processing and management. It uses a time complexity of \(O(N)\), indicating linear performance relative to input size. The implementation includes comments explaining the core algorithms used, which were added as part of the initial codebase commit. The total code size is approximately 1000 lines,</t>
        </is>
      </c>
      <c r="M1886" t="n">
        <v>0.0042</v>
      </c>
      <c r="N1886" t="n">
        <v>0.1351</v>
      </c>
      <c r="O1886" t="n">
        <v>0.219</v>
      </c>
    </row>
    <row r="1887">
      <c r="A1887" t="inlineStr">
        <is>
          <t>sponge</t>
        </is>
      </c>
      <c r="B1887" t="inlineStr">
        <is>
          <t>src/main/java/org/spongepowered/api/network/ServerSideConnection.java</t>
        </is>
      </c>
      <c r="C1887">
        <f>HYPERLINK("https://github.com/SpongePowered/SpongeAPI/blob/master/src/main/java/org/spongepowered/api/network/ServerSideConnection.java")</f>
        <v/>
      </c>
      <c r="D1887" t="inlineStr">
        <is>
          <t>The provided code is a Java implementation of core algorithms with a time complexity of O(N). It includes comments explaining its purpose, structure, and usage. The code does not contain any specific algorithmic details but rather serves as a template for implementing complex algorithms efficiently.</t>
        </is>
      </c>
      <c r="E1887" t="n">
        <v>0.0049</v>
      </c>
      <c r="F1887" t="n">
        <v>0.1111</v>
      </c>
      <c r="G1887" t="n">
        <v>0.1282</v>
      </c>
      <c r="H1887" t="inlineStr">
        <is>
          <t>This repository contains backend software components implementing core algorithms. Complexity is O(N). Comments describe the implementation details. Initial codebase commit. Code size is 1000 lines.</t>
        </is>
      </c>
      <c r="I1887" t="n">
        <v>0.01</v>
      </c>
      <c r="J1887" t="n">
        <v>0.2353</v>
      </c>
      <c r="K1887" t="n">
        <v>0.2062</v>
      </c>
      <c r="L1887" t="inlineStr">
        <is>
          <t>This code implements core algorithms for backend software components, focusing on efficient data processing and manipulation. It has a time complexity of \(O(N)\), making it suitable for large-scale applications. The implementation includes comments that provide context and clarity, enhancing code readability and maintainability.</t>
        </is>
      </c>
      <c r="M1887" t="n">
        <v>0.0114</v>
      </c>
      <c r="N1887" t="n">
        <v>0.1509</v>
      </c>
      <c r="O1887" t="n">
        <v>0.3235</v>
      </c>
    </row>
    <row r="1888">
      <c r="A1888" t="inlineStr">
        <is>
          <t>sponge</t>
        </is>
      </c>
      <c r="B1888" t="inlineStr">
        <is>
          <t>src/main/java/org/spongepowered/api/network/RconConnection.java</t>
        </is>
      </c>
      <c r="C1888">
        <f>HYPERLINK("https://github.com/SpongePowered/SpongeAPI/blob/master/src/main/java/org/spongepowered/api/network/RconConnection.java")</f>
        <v/>
      </c>
      <c r="D1888" t="inlineStr">
        <is>
          <t>The provided code is a Java class that implements core algorithms with a time complexity of O(N). It includes comments explaining its purpose, implementation details, and usage. The code size is 1000 lines long, making it suitable for complex algorithmic tasks.</t>
        </is>
      </c>
      <c r="E1888" t="n">
        <v>0.0105</v>
      </c>
      <c r="F1888" t="n">
        <v>0.12</v>
      </c>
      <c r="G1888" t="n">
        <v>0.2262</v>
      </c>
      <c r="H1888" t="inlineStr">
        <is>
          <t>Manages backend software components with core algorithm implementations. Complexity is O(N).</t>
        </is>
      </c>
      <c r="I1888" t="n">
        <v>0.0224</v>
      </c>
      <c r="J1888" t="n">
        <v>0.2</v>
      </c>
      <c r="K1888" t="n">
        <v>0.1205</v>
      </c>
      <c r="L1888" t="inlineStr">
        <is>
          <t>This file is part of the SpongeAPI project, which provides backend software components for various applications. It includes initial implementation of core algorithms, ensuring efficient processing with a time complexity of O(N). The code size is 1000 lines, and existing comments provide context about the implementation's purpose and usage within the larger system.</t>
        </is>
      </c>
      <c r="M1888" t="n">
        <v>0.0049</v>
      </c>
      <c r="N1888" t="n">
        <v>0.1587</v>
      </c>
      <c r="O1888" t="n">
        <v>0.24</v>
      </c>
    </row>
    <row r="1889">
      <c r="A1889" t="inlineStr">
        <is>
          <t>sponge</t>
        </is>
      </c>
      <c r="B1889" t="inlineStr">
        <is>
          <t>src/main/java/org/spongepowered/api/network/EngineConnectionState.java</t>
        </is>
      </c>
      <c r="C1889">
        <f>HYPERLINK("https://github.com/SpongePowered/SpongeAPI/blob/master/src/main/java/org/spongepowered/api/network/EngineConnectionState.java")</f>
        <v/>
      </c>
      <c r="D1889" t="inlineStr">
        <is>
          <t>The provided code is a Java implementation of core algorithms with a time complexity of O(N). It includes comments explaining its purpose and functionality, as well as details about its license and usage. The code size is 1000 lines.</t>
        </is>
      </c>
      <c r="E1889" t="n">
        <v>0.0056</v>
      </c>
      <c r="F1889" t="n">
        <v>0.1667</v>
      </c>
      <c r="G1889" t="n">
        <v>0.1351</v>
      </c>
      <c r="H1889" t="inlineStr">
        <is>
          <t>Manages backend software components with complexity O(N).</t>
        </is>
      </c>
      <c r="I1889" t="n">
        <v>0.0286</v>
      </c>
      <c r="J1889" t="n">
        <v>0.125</v>
      </c>
      <c r="K1889" t="n">
        <v>0.0633</v>
      </c>
      <c r="L1889" t="inlineStr">
        <is>
          <t>This code implements core algorithms for backend software components, focusing on efficient data processing and manipulation. It uses a time complexity of \(O(N)\), ensuring optimal performance for large datasets. The implementation includes comments that describe the core functionalities, making it easier to understand and maintain.</t>
        </is>
      </c>
      <c r="M1889" t="n">
        <v>0.0109</v>
      </c>
      <c r="N1889" t="n">
        <v>0.2222</v>
      </c>
      <c r="O1889" t="n">
        <v>0.2564</v>
      </c>
    </row>
    <row r="1890">
      <c r="A1890" t="inlineStr">
        <is>
          <t>sponge</t>
        </is>
      </c>
      <c r="B1890" t="inlineStr">
        <is>
          <t>src/main/java/org/spongepowered/api/network/channel/ChannelBuf.java</t>
        </is>
      </c>
      <c r="C1890">
        <f>HYPERLINK("https://github.com/SpongePowered/SpongeAPI/blob/master/src/main/java/org/spongepowered/api/network/channel/ChannelBuf.java")</f>
        <v/>
      </c>
      <c r="D1890" t="inlineStr">
        <is>
          <t>The provided code is a backend software component with complexity O(N). It implements core algorithms and includes comments explaining its implementation. The total size of the code is 1000 lines.</t>
        </is>
      </c>
      <c r="E1890" t="n">
        <v>0.0157</v>
      </c>
      <c r="F1890" t="n">
        <v>0.2051</v>
      </c>
      <c r="G1890" t="n">
        <v>0.3094</v>
      </c>
      <c r="H1890" t="inlineStr">
        <is>
          <t>The code implements core algorithms for backend software components. It has a time complexity of O(N).</t>
        </is>
      </c>
      <c r="I1890" t="n">
        <v>0.0288</v>
      </c>
      <c r="J1890" t="n">
        <v>0.16</v>
      </c>
      <c r="K1890" t="n">
        <v>0.2904</v>
      </c>
      <c r="L1890" t="inlineStr">
        <is>
          <t>This file is part of SpongeAPI, which provides backend software components for various applications. It includes initial implementation of core algorithms, designed to handle complex data processing tasks efficiently with a time complexity of O(N). The code size is approximately 1000 lines, making it suitable for large-scale systems requiring robust performance.</t>
        </is>
      </c>
      <c r="M1890" t="n">
        <v>0.0047</v>
      </c>
      <c r="N1890" t="n">
        <v>0.1311</v>
      </c>
      <c r="O1890" t="n">
        <v>0.2033</v>
      </c>
    </row>
    <row r="1891">
      <c r="A1891" t="inlineStr">
        <is>
          <t>sponge</t>
        </is>
      </c>
      <c r="B1891" t="inlineStr">
        <is>
          <t>src/main/java/org/spongepowered/api/network/channel/ChannelNotSupportedException.java</t>
        </is>
      </c>
      <c r="C1891">
        <f>HYPERLINK("https://github.com/SpongePowered/SpongeAPI/blob/master/src/main/java/org/spongepowered/api/network/channel/ChannelNotSupportedException.java")</f>
        <v/>
      </c>
      <c r="D1891" t="inlineStr">
        <is>
          <t>The provided code is a backend software component that implements core algorithms with a time complexity of O(N). It includes comments explaining its implementation and structure. The code size is 1000 lines long.</t>
        </is>
      </c>
      <c r="E1891" t="n">
        <v>0.0142</v>
      </c>
      <c r="F1891" t="n">
        <v>0.1905</v>
      </c>
      <c r="G1891" t="n">
        <v>0.3006</v>
      </c>
      <c r="H1891" t="inlineStr">
        <is>
          <t>Manages backend software components with complexity O(N).</t>
        </is>
      </c>
      <c r="I1891" t="n">
        <v>0.0286</v>
      </c>
      <c r="J1891" t="n">
        <v>0.125</v>
      </c>
      <c r="K1891" t="n">
        <v>0.0633</v>
      </c>
      <c r="L1891" t="inlineStr">
        <is>
          <t>This code implements core algorithms for a backend software component using a time complexity of O(N). It includes comments explaining implementation details and has been committed as part of the initial codebase. The total size of the code is 1000 lines.</t>
        </is>
      </c>
      <c r="M1891" t="n">
        <v>0.012</v>
      </c>
      <c r="N1891" t="n">
        <v>0.16</v>
      </c>
      <c r="O1891" t="n">
        <v>0.3773</v>
      </c>
    </row>
    <row r="1892">
      <c r="A1892" t="inlineStr">
        <is>
          <t>sponge</t>
        </is>
      </c>
      <c r="B1892" t="inlineStr">
        <is>
          <t>src/main/java/org/spongepowered/api/network/channel/package-info.java</t>
        </is>
      </c>
      <c r="C1892">
        <f>HYPERLINK("https://github.com/SpongePowered/SpongeAPI/blob/master/src/main/java/org/spongepowered/api/network/channel/package-info.java")</f>
        <v/>
      </c>
      <c r="D1892" t="inlineStr">
        <is>
          <t>The provided code is a Java class that implements core algorithms with a time complexity of O(N). It includes comments explaining its implementation and structure, as well as details about its purpose and usage within a larger system.</t>
        </is>
      </c>
      <c r="E1892" t="n">
        <v>0.0114</v>
      </c>
      <c r="F1892" t="n">
        <v>0.1277</v>
      </c>
      <c r="G1892" t="n">
        <v>0.2323</v>
      </c>
      <c r="H1892" t="inlineStr">
        <is>
          <t>This repository contains backend software components with complexity O(N), implementing core algorithms. It includes comments explaining the implementation and has been committed initially. The total size of the codebase is 1000 lines.</t>
        </is>
      </c>
      <c r="I1892" t="n">
        <v>0.0083</v>
      </c>
      <c r="J1892" t="n">
        <v>0.2439</v>
      </c>
      <c r="K1892" t="n">
        <v>0.2404</v>
      </c>
      <c r="L1892" t="inlineStr">
        <is>
          <t>This code implements core algorithms for a backend software component, focusing on efficient data processing and manipulation. It processes large datasets using an O(N) complexity approach, ensuring optimal performance while maintaining clarity through well-documented comments and initial implementation details.</t>
        </is>
      </c>
      <c r="M1892" t="n">
        <v>0.0126</v>
      </c>
      <c r="N1892" t="n">
        <v>0.1633</v>
      </c>
      <c r="O1892" t="n">
        <v>0.3841</v>
      </c>
    </row>
    <row r="1893">
      <c r="A1893" t="inlineStr">
        <is>
          <t>sponge</t>
        </is>
      </c>
      <c r="B1893" t="inlineStr">
        <is>
          <t>src/main/java/org/spongepowered/api/network/channel/ChannelIOException.java</t>
        </is>
      </c>
      <c r="C1893">
        <f>HYPERLINK("https://github.com/SpongePowered/SpongeAPI/blob/master/src/main/java/org/spongepowered/api/network/channel/ChannelIOException.java")</f>
        <v/>
      </c>
      <c r="D1893" t="inlineStr">
        <is>
          <t>The provided code is a Java class that implements core algorithms with a time complexity of O(N). It includes comments explaining its implementation and structure, as well as details about its license, copyright holders, and usage permissions. The README provides information about the repository's purpose, complexity, and commits. The total size of the code is 1000 lines.</t>
        </is>
      </c>
      <c r="E1893" t="n">
        <v>0.0075</v>
      </c>
      <c r="F1893" t="n">
        <v>0.0896</v>
      </c>
      <c r="G1893" t="n">
        <v>0.1981</v>
      </c>
      <c r="H1893" t="inlineStr">
        <is>
          <t>Manages backend software components with complex algorithm implementations.</t>
        </is>
      </c>
      <c r="I1893" t="n">
        <v>0.0278</v>
      </c>
      <c r="J1893" t="n">
        <v>0.25</v>
      </c>
      <c r="K1893" t="n">
        <v>0.0625</v>
      </c>
      <c r="L1893" t="inlineStr">
        <is>
          <t>This code implements core algorithms for a backend software component, focusing on efficient data processing and manipulation. It handles various input scenarios and provides robust output based on predefined rules and constraints.</t>
        </is>
      </c>
      <c r="M1893" t="n">
        <v>0.0155</v>
      </c>
      <c r="N1893" t="n">
        <v>0.2</v>
      </c>
      <c r="O1893" t="n">
        <v>0.3577</v>
      </c>
    </row>
    <row r="1894">
      <c r="A1894" t="inlineStr">
        <is>
          <t>sponge</t>
        </is>
      </c>
      <c r="B1894" t="inlineStr">
        <is>
          <t>src/main/java/org/spongepowered/api/network/channel/ChannelManager.java</t>
        </is>
      </c>
      <c r="C1894">
        <f>HYPERLINK("https://github.com/SpongePowered/SpongeAPI/blob/master/src/main/java/org/spongepowered/api/network/channel/ChannelManager.java")</f>
        <v/>
      </c>
      <c r="D1894" t="inlineStr">
        <is>
          <t>The provided code is a backend software component that implements core algorithms with a time complexity of O(N). It includes comments explaining its implementation and structure. The code size is 1000 lines long.</t>
        </is>
      </c>
      <c r="E1894" t="n">
        <v>0.0142</v>
      </c>
      <c r="F1894" t="n">
        <v>0.1905</v>
      </c>
      <c r="G1894" t="n">
        <v>0.3006</v>
      </c>
      <c r="H1894" t="inlineStr">
        <is>
          <t>Manages backend software components with complexity O(N).</t>
        </is>
      </c>
      <c r="I1894" t="n">
        <v>0.0286</v>
      </c>
      <c r="J1894" t="n">
        <v>0.125</v>
      </c>
      <c r="K1894" t="n">
        <v>0.0633</v>
      </c>
      <c r="L1894" t="inlineStr">
        <is>
          <t>This code implements core algorithms for a backend software component, focusing on efficient data processing and manipulation. It processes large datasets using an O(N) complexity algorithm, leveraging existing comments and commit messages to document its implementation. The code size is approximately 1000 lines, reflecting its comprehensive nature in handling complex tasks within the system.</t>
        </is>
      </c>
      <c r="M1894" t="n">
        <v>0.008999999999999999</v>
      </c>
      <c r="N1894" t="n">
        <v>0.127</v>
      </c>
      <c r="O1894" t="n">
        <v>0.3384</v>
      </c>
    </row>
    <row r="1895">
      <c r="A1895" t="inlineStr">
        <is>
          <t>sponge</t>
        </is>
      </c>
      <c r="B1895" t="inlineStr">
        <is>
          <t>src/main/java/org/spongepowered/api/network/channel/TimeoutException.java</t>
        </is>
      </c>
      <c r="C1895">
        <f>HYPERLINK("https://github.com/SpongePowered/SpongeAPI/blob/master/src/main/java/org/spongepowered/api/network/channel/TimeoutException.java")</f>
        <v/>
      </c>
      <c r="D1895" t="inlineStr">
        <is>
          <t>The provided code is a Java implementation of core algorithms with a time complexity of O(N). It includes comments explaining its purpose, complexity, and usage. The code size is 1000 lines long, making it suitable for complex algorithmic tasks.</t>
        </is>
      </c>
      <c r="E1895" t="n">
        <v>0.0056</v>
      </c>
      <c r="F1895" t="n">
        <v>0.125</v>
      </c>
      <c r="G1895" t="n">
        <v>0.1351</v>
      </c>
      <c r="H1895" t="inlineStr">
        <is>
          <t>Manages backend software components with complexity O(N).</t>
        </is>
      </c>
      <c r="I1895" t="n">
        <v>0.0286</v>
      </c>
      <c r="J1895" t="n">
        <v>0.125</v>
      </c>
      <c r="K1895" t="n">
        <v>0.0633</v>
      </c>
      <c r="L1895" t="inlineStr">
        <is>
          <t>This code implements core algorithms for a backend software component, focusing on efficient data processing and manipulation. It processes large datasets using an O(N) complexity algorithm, ensuring optimal performance while maintaining clarity through well-documented comments and structured code organization.</t>
        </is>
      </c>
      <c r="M1895" t="n">
        <v>0.0126</v>
      </c>
      <c r="N1895" t="n">
        <v>0.1633</v>
      </c>
      <c r="O1895" t="n">
        <v>0.3841</v>
      </c>
    </row>
    <row r="1896">
      <c r="A1896" t="inlineStr">
        <is>
          <t>sponge</t>
        </is>
      </c>
      <c r="B1896" t="inlineStr">
        <is>
          <t>src/main/java/org/spongepowered/api/network/channel/ChannelExceptionHandler.java</t>
        </is>
      </c>
      <c r="C1896">
        <f>HYPERLINK("https://github.com/SpongePowered/SpongeAPI/blob/master/src/main/java/org/spongepowered/api/network/channel/ChannelExceptionHandler.java")</f>
        <v/>
      </c>
      <c r="D1896" t="inlineStr">
        <is>
          <t>The provided code is a backend software component that implements core algorithms with a time complexity of O(N). It includes comments explaining its implementation and structure. The code size is 1000 lines long.</t>
        </is>
      </c>
      <c r="E1896" t="n">
        <v>0.0142</v>
      </c>
      <c r="F1896" t="n">
        <v>0.1905</v>
      </c>
      <c r="G1896" t="n">
        <v>0.3006</v>
      </c>
      <c r="H1896" t="inlineStr">
        <is>
          <t>Manages backend software components with complexity O(N).</t>
        </is>
      </c>
      <c r="I1896" t="n">
        <v>0.0286</v>
      </c>
      <c r="J1896" t="n">
        <v>0.125</v>
      </c>
      <c r="K1896" t="n">
        <v>0.0633</v>
      </c>
      <c r="L1896" t="inlineStr">
        <is>
          <t>This code provides the implementation of core algorithms for a backend software component using Java, adhering to the MIT license. It includes comments explaining the implementation and has been committed as the initial version of the codebase. The complexity of the code is O(N), indicating linear time complexity, which suggests efficient handling of data processing tasks.</t>
        </is>
      </c>
      <c r="M1896" t="n">
        <v>0.0046</v>
      </c>
      <c r="N1896" t="n">
        <v>0.1231</v>
      </c>
      <c r="O1896" t="n">
        <v>0.2344</v>
      </c>
    </row>
    <row r="1897">
      <c r="A1897" t="inlineStr">
        <is>
          <t>sponge</t>
        </is>
      </c>
      <c r="B1897" t="inlineStr">
        <is>
          <t>src/main/java/org/spongepowered/api/network/channel/Channel.java</t>
        </is>
      </c>
      <c r="C1897">
        <f>HYPERLINK("https://github.com/SpongePowered/SpongeAPI/blob/master/src/main/java/org/spongepowered/api/network/channel/Channel.java")</f>
        <v/>
      </c>
      <c r="D1897" t="inlineStr">
        <is>
          <t>The provided code is a Java class that implements core algorithms with a time complexity of O(N). It includes comments explaining its implementation and structure, as well as details about its license and usage. The README provides information about the repository's purpose and contents.</t>
        </is>
      </c>
      <c r="E1897" t="n">
        <v>0.0098</v>
      </c>
      <c r="F1897" t="n">
        <v>0.1111</v>
      </c>
      <c r="G1897" t="n">
        <v>0.2203</v>
      </c>
      <c r="H1897" t="inlineStr">
        <is>
          <t>Manages backend software components with complexity O(N).</t>
        </is>
      </c>
      <c r="I1897" t="n">
        <v>0.0286</v>
      </c>
      <c r="J1897" t="n">
        <v>0.125</v>
      </c>
      <c r="K1897" t="n">
        <v>0.0633</v>
      </c>
      <c r="L1897" t="inlineStr">
        <is>
          <t>This code implements core algorithms for backend software components, focusing on efficient data processing and manipulation. It uses a time complexity of O(N), ensuring optimal performance for large datasets. The implementation includes comments that provide context and explain the core functionalities, making it easy to understand and maintain.</t>
        </is>
      </c>
      <c r="M1897" t="n">
        <v>0.0102</v>
      </c>
      <c r="N1897" t="n">
        <v>0.2105</v>
      </c>
      <c r="O1897" t="n">
        <v>0.25</v>
      </c>
    </row>
    <row r="1898">
      <c r="A1898" t="inlineStr">
        <is>
          <t>sponge</t>
        </is>
      </c>
      <c r="B1898" t="inlineStr">
        <is>
          <t>src/main/java/org/spongepowered/api/network/channel/ChannelException.java</t>
        </is>
      </c>
      <c r="C1898">
        <f>HYPERLINK("https://github.com/SpongePowered/SpongeAPI/blob/master/src/main/java/org/spongepowered/api/network/channel/ChannelException.java")</f>
        <v/>
      </c>
      <c r="D1898" t="inlineStr">
        <is>
          <t>The provided code is a snippet from a Java class that implements core algorithms with a time complexity of O(N). It includes comments explaining its purpose, implementation details, and usage. The code does not contain any specific algorithmic logic but serves as a template for implementing such algorithms.</t>
        </is>
      </c>
      <c r="E1898" t="n">
        <v>0.008999999999999999</v>
      </c>
      <c r="F1898" t="n">
        <v>0.1404</v>
      </c>
      <c r="G1898" t="n">
        <v>0.213</v>
      </c>
      <c r="H1898" t="inlineStr">
        <is>
          <t>Manages backend software components with complex algorithm implementations.</t>
        </is>
      </c>
      <c r="I1898" t="n">
        <v>0.0278</v>
      </c>
      <c r="J1898" t="n">
        <v>0.25</v>
      </c>
      <c r="K1898" t="n">
        <v>0.0625</v>
      </c>
      <c r="L1898" t="inlineStr">
        <is>
          <t>This code implements backend software components for a platform that uses the Sponge API framework. It includes initial commits and comments indicating implementation of core algorithms, though no specific details about those algorithms are provided. The code size is 1000 lines, suggesting significant complexity.</t>
        </is>
      </c>
      <c r="M1898" t="n">
        <v>0.0063</v>
      </c>
      <c r="N1898" t="n">
        <v>0.1538</v>
      </c>
      <c r="O1898" t="n">
        <v>0.2586</v>
      </c>
    </row>
    <row r="1899">
      <c r="A1899" t="inlineStr">
        <is>
          <t>sponge</t>
        </is>
      </c>
      <c r="B1899" t="inlineStr">
        <is>
          <t>src/main/java/org/spongepowered/api/network/channel/NoResponseException.java</t>
        </is>
      </c>
      <c r="C1899">
        <f>HYPERLINK("https://github.com/SpongePowered/SpongeAPI/blob/master/src/main/java/org/spongepowered/api/network/channel/NoResponseException.java")</f>
        <v/>
      </c>
      <c r="D1899" t="inlineStr">
        <is>
          <t>The provided code is a Java implementation of core algorithms with a time complexity of O(N). It includes comments explaining its purpose, complexity, and usage. The code does not contain any repeated content beyond what's necessary for clarity and understanding.</t>
        </is>
      </c>
      <c r="E1899" t="n">
        <v>0.0055</v>
      </c>
      <c r="F1899" t="n">
        <v>0.12</v>
      </c>
      <c r="G1899" t="n">
        <v>0.1339</v>
      </c>
      <c r="H1899" t="inlineStr">
        <is>
          <t>Manages backend software components with complex algorithm implementations.</t>
        </is>
      </c>
      <c r="I1899" t="n">
        <v>0.0278</v>
      </c>
      <c r="J1899" t="n">
        <v>0.25</v>
      </c>
      <c r="K1899" t="n">
        <v>0.0625</v>
      </c>
      <c r="L1899"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1899" t="n">
        <v>0.0123</v>
      </c>
      <c r="N1899" t="n">
        <v>0.1633</v>
      </c>
      <c r="O1899" t="n">
        <v>0.3807</v>
      </c>
    </row>
    <row r="1900">
      <c r="A1900" t="inlineStr">
        <is>
          <t>sponge</t>
        </is>
      </c>
      <c r="B1900" t="inlineStr">
        <is>
          <t>src/main/java/org/spongepowered/api/network/channel/packet/PacketRegistry.java</t>
        </is>
      </c>
      <c r="C1900">
        <f>HYPERLINK("https://github.com/SpongePowered/SpongeAPI/blob/master/src/main/java/org/spongepowered/api/network/channel/packet/PacketRegistry.java")</f>
        <v/>
      </c>
      <c r="D1900" t="inlineStr">
        <is>
          <t>The provided code is a backend software component that implements core algorithms with a time complexity of O(N). It includes comments explaining its implementation and structure, as well as details about its complexity and size.</t>
        </is>
      </c>
      <c r="E1900" t="n">
        <v>0.0134</v>
      </c>
      <c r="F1900" t="n">
        <v>0.1818</v>
      </c>
      <c r="G1900" t="n">
        <v>0.295</v>
      </c>
      <c r="H1900" t="inlineStr">
        <is>
          <t>Manages backend software components with complexity O(N).</t>
        </is>
      </c>
      <c r="I1900" t="n">
        <v>0.0286</v>
      </c>
      <c r="J1900" t="n">
        <v>0.125</v>
      </c>
      <c r="K1900" t="n">
        <v>0.0633</v>
      </c>
      <c r="L1900" t="inlineStr">
        <is>
          <t>This code implements core algorithms for backend software components, focusing on efficient data processing and manipulation. It handles various input types and provides clear output results, adhering to the specified complexity level and existing comments.</t>
        </is>
      </c>
      <c r="M1900" t="n">
        <v>0.0141</v>
      </c>
      <c r="N1900" t="n">
        <v>0.186</v>
      </c>
      <c r="O1900" t="n">
        <v>0.3477</v>
      </c>
    </row>
    <row r="1901">
      <c r="A1901" t="inlineStr">
        <is>
          <t>sponge</t>
        </is>
      </c>
      <c r="B1901" t="inlineStr">
        <is>
          <t>src/main/java/org/spongepowered/api/network/channel/packet/PacketChannel.java</t>
        </is>
      </c>
      <c r="C1901">
        <f>HYPERLINK("https://github.com/SpongePowered/SpongeAPI/blob/master/src/main/java/org/spongepowered/api/network/channel/packet/PacketChannel.java")</f>
        <v/>
      </c>
      <c r="D1901" t="inlineStr">
        <is>
          <t>The provided code is a Java implementation of core algorithms with a time complexity of O(N). It includes comments explaining its purpose and functionality, as well as a README detailing its usage and structure. The code size is 1000 lines long.</t>
        </is>
      </c>
      <c r="E1901" t="n">
        <v>0.0054</v>
      </c>
      <c r="F1901" t="n">
        <v>0.16</v>
      </c>
      <c r="G1901" t="n">
        <v>0.1327</v>
      </c>
      <c r="H1901" t="inlineStr">
        <is>
          <t>This repository contains backend software components with complexity O(N), implementing core algorithms. It includes comments explaining the implementation details. The total size of the codebase is 1000 lines.</t>
        </is>
      </c>
      <c r="I1901" t="n">
        <v>0.008800000000000001</v>
      </c>
      <c r="J1901" t="n">
        <v>0.2162</v>
      </c>
      <c r="K1901" t="n">
        <v>0.2</v>
      </c>
      <c r="L1901" t="inlineStr">
        <is>
          <t>This code implements core algorithms for backend software components, focusing on efficient data processing and manipulation tasks. It has a time complexity of \(O(N)\), making it suitable for large-scale applications. The implementation includes comments that provide context and explain the core functionalities.</t>
        </is>
      </c>
      <c r="M1901" t="n">
        <v>0.0117</v>
      </c>
      <c r="N1901" t="n">
        <v>0.1923</v>
      </c>
      <c r="O1901" t="n">
        <v>0.2193</v>
      </c>
    </row>
    <row r="1902">
      <c r="A1902" t="inlineStr">
        <is>
          <t>sponge</t>
        </is>
      </c>
      <c r="B1902" t="inlineStr">
        <is>
          <t>src/main/java/org/spongepowered/api/network/channel/packet/RequestPacketHandler.java</t>
        </is>
      </c>
      <c r="C1902">
        <f>HYPERLINK("https://github.com/SpongePowered/SpongeAPI/blob/master/src/main/java/org/spongepowered/api/network/channel/packet/RequestPacketHandler.java")</f>
        <v/>
      </c>
      <c r="D1902" t="inlineStr">
        <is>
          <t>The provided code is a snippet from a Java class that implements core algorithms with a time complexity of O(N). It includes comments explaining its purpose, implementation details, and usage. The code size is 1000 lines long, making it suitable for complex algorithmic implementations.</t>
        </is>
      </c>
      <c r="E1902" t="n">
        <v>0.0098</v>
      </c>
      <c r="F1902" t="n">
        <v>0.1132</v>
      </c>
      <c r="G1902" t="n">
        <v>0.2203</v>
      </c>
      <c r="H1902" t="inlineStr">
        <is>
          <t>Manages backend software components with complexity O(N).</t>
        </is>
      </c>
      <c r="I1902" t="n">
        <v>0.0286</v>
      </c>
      <c r="J1902" t="n">
        <v>0.125</v>
      </c>
      <c r="K1902" t="n">
        <v>0.0633</v>
      </c>
      <c r="L1902" t="inlineStr">
        <is>
          <t>This file is part of the SpongeAPI project, which provides backend software components for various applications. It includes initial implementations of core algorithms, designed to handle complex data processing tasks efficiently. The code complexity is moderate, with a size of approximately 1000 lines, and existing comments provide context for the implementation of these algorithms.</t>
        </is>
      </c>
      <c r="M1902" t="n">
        <v>0.0048</v>
      </c>
      <c r="N1902" t="n">
        <v>0.1613</v>
      </c>
      <c r="O1902" t="n">
        <v>0.2381</v>
      </c>
    </row>
    <row r="1903">
      <c r="A1903" t="inlineStr">
        <is>
          <t>sponge</t>
        </is>
      </c>
      <c r="B1903" t="inlineStr">
        <is>
          <t>src/main/java/org/spongepowered/api/network/channel/packet/TransactionalPacketBinding.java</t>
        </is>
      </c>
      <c r="C1903">
        <f>HYPERLINK("https://github.com/SpongePowered/SpongeAPI/blob/master/src/main/java/org/spongepowered/api/network/channel/packet/TransactionalPacketBinding.java")</f>
        <v/>
      </c>
      <c r="D1903" t="inlineStr">
        <is>
          <t>The provided code is a backend software component with complexity O(N). It implements core algorithms and includes comments explaining its implementation. The README provides information about the repository's purpose and structure. The total size of the code is 1000 lines.</t>
        </is>
      </c>
      <c r="E1903" t="n">
        <v>0.0116</v>
      </c>
      <c r="F1903" t="n">
        <v>0.16</v>
      </c>
      <c r="G1903" t="n">
        <v>0.2818</v>
      </c>
      <c r="H1903" t="inlineStr">
        <is>
          <t>Manages backend software components with core algorithm implementations. Complexity is O(N).</t>
        </is>
      </c>
      <c r="I1903" t="n">
        <v>0.0224</v>
      </c>
      <c r="J1903" t="n">
        <v>0.2</v>
      </c>
      <c r="K1903" t="n">
        <v>0.1205</v>
      </c>
      <c r="L1903" t="inlineStr">
        <is>
          <t>This file is part of SpongeAPI, which provides backend software components for various applications. It includes initial implementation of core algorithms, adhering to a time complexity of O(N). The code size is 1000 lines, and existing comments provide context about the implementation process.</t>
        </is>
      </c>
      <c r="M1903" t="n">
        <v>0.0061</v>
      </c>
      <c r="N1903" t="n">
        <v>0.1923</v>
      </c>
      <c r="O1903" t="n">
        <v>0.2609</v>
      </c>
    </row>
    <row r="1904">
      <c r="A1904" t="inlineStr">
        <is>
          <t>sponge</t>
        </is>
      </c>
      <c r="B1904" t="inlineStr">
        <is>
          <t>src/main/java/org/spongepowered/api/network/channel/packet/PacketBinding.java</t>
        </is>
      </c>
      <c r="C1904">
        <f>HYPERLINK("https://github.com/SpongePowered/SpongeAPI/blob/master/src/main/java/org/spongepowered/api/network/channel/packet/PacketBinding.java")</f>
        <v/>
      </c>
      <c r="D1904" t="inlineStr">
        <is>
          <t>The provided code is a snippet from a Java class that implements core algorithms with a time complexity of O(N). It includes comments explaining its purpose, implementation details, and usage. The code does not contain actual implementation logic but serves as a template for creating similar classes.</t>
        </is>
      </c>
      <c r="E1904" t="n">
        <v>0.0091</v>
      </c>
      <c r="F1904" t="n">
        <v>0.1429</v>
      </c>
      <c r="G1904" t="n">
        <v>0.2148</v>
      </c>
      <c r="H1904" t="inlineStr">
        <is>
          <t>This repository contains backend software components with complexity O(N), implementing core algorithms. It includes comments explaining the implementation details and has been initialized with the first commit. The total size of the codebase is 1000 lines.</t>
        </is>
      </c>
      <c r="I1904" t="n">
        <v>0.0073</v>
      </c>
      <c r="J1904" t="n">
        <v>0.2222</v>
      </c>
      <c r="K1904" t="n">
        <v>0.2315</v>
      </c>
      <c r="L1904" t="inlineStr">
        <is>
          <t>This file is part of the SpongeAPI project, which provides backend software components for various applications. It includes initial implementation of core algorithms, adhering to the MIT license. The code size is approximately 1000 lines, focusing on efficient data processing and manipulation tasks.</t>
        </is>
      </c>
      <c r="M1904" t="n">
        <v>0.0061</v>
      </c>
      <c r="N1904" t="n">
        <v>0.1961</v>
      </c>
      <c r="O1904" t="n">
        <v>0.2609</v>
      </c>
    </row>
    <row r="1905">
      <c r="A1905" t="inlineStr">
        <is>
          <t>sponge</t>
        </is>
      </c>
      <c r="B1905" t="inlineStr">
        <is>
          <t>src/main/java/org/spongepowered/api/network/channel/packet/RequestPacket.java</t>
        </is>
      </c>
      <c r="C1905">
        <f>HYPERLINK("https://github.com/SpongePowered/SpongeAPI/blob/master/src/main/java/org/spongepowered/api/network/channel/packet/RequestPacket.java")</f>
        <v/>
      </c>
      <c r="D1905" t="inlineStr">
        <is>
          <t>The provided code is a Java implementation of core algorithms with a time complexity of O(N). It includes comments explaining its purpose, usage, and structure. The code is part of a larger project that handles backend software components.</t>
        </is>
      </c>
      <c r="E1905" t="n">
        <v>0.0064</v>
      </c>
      <c r="F1905" t="n">
        <v>0.1277</v>
      </c>
      <c r="G1905" t="n">
        <v>0.2273</v>
      </c>
      <c r="H1905" t="inlineStr">
        <is>
          <t>Manages backend software components with complex algorithm implementations.</t>
        </is>
      </c>
      <c r="I1905" t="n">
        <v>0.0278</v>
      </c>
      <c r="J1905" t="n">
        <v>0.25</v>
      </c>
      <c r="K1905" t="n">
        <v>0.0625</v>
      </c>
      <c r="L1905" t="inlineStr">
        <is>
          <t>This code provides the implementation of core algorithms for a backend software component using Java, adhering to the MIT license. It includes comments explaining the implementation details and has been committed as part of the initial codebase. The code size is approximately 1000 lines, making it suitable for managing complex backend functionalities.</t>
        </is>
      </c>
      <c r="M1905" t="n">
        <v>0.005</v>
      </c>
      <c r="N1905" t="n">
        <v>0.1333</v>
      </c>
      <c r="O1905" t="n">
        <v>0.2419</v>
      </c>
    </row>
    <row r="1906">
      <c r="A1906" t="inlineStr">
        <is>
          <t>sponge</t>
        </is>
      </c>
      <c r="B1906" t="inlineStr">
        <is>
          <t>src/main/java/org/spongepowered/api/network/channel/packet/package-info.java</t>
        </is>
      </c>
      <c r="C1906">
        <f>HYPERLINK("https://github.com/SpongePowered/SpongeAPI/blob/master/src/main/java/org/spongepowered/api/network/channel/packet/package-info.java")</f>
        <v/>
      </c>
      <c r="D1906" t="inlineStr">
        <is>
          <t>The provided code is a Java implementation of core algorithms with a time complexity of O(N). It includes comments explaining its purpose and functionality. The code size is 1000 lines.</t>
        </is>
      </c>
      <c r="E1906" t="n">
        <v>0.0074</v>
      </c>
      <c r="F1906" t="n">
        <v>0.1538</v>
      </c>
      <c r="G1906" t="n">
        <v>0.1471</v>
      </c>
      <c r="H1906" t="inlineStr">
        <is>
          <t>This repository contains backend software components implementing core algorithms. Complexity is O(N). Comments describe the implementation. Initial codebase commit. Code size is 1000 lines.</t>
        </is>
      </c>
      <c r="I1906" t="n">
        <v>0.0104</v>
      </c>
      <c r="J1906" t="n">
        <v>0.2424</v>
      </c>
      <c r="K1906" t="n">
        <v>0.3288</v>
      </c>
      <c r="L1906" t="inlineStr">
        <is>
          <t>This file is part of SpongeAPI, which provides backend software components for various applications. It includes implementation of core algorithms, designed to handle complex data processing tasks efficiently. The code complexity is moderate at O(N), and existing comments provide context about the initial commit and algorithm implementation. The overall size of the codebase is approximately 1000 lines.</t>
        </is>
      </c>
      <c r="M1906" t="n">
        <v>0.0045</v>
      </c>
      <c r="N1906" t="n">
        <v>0.1515</v>
      </c>
      <c r="O1906" t="n">
        <v>0.2326</v>
      </c>
    </row>
    <row r="1907">
      <c r="A1907" t="inlineStr">
        <is>
          <t>sponge</t>
        </is>
      </c>
      <c r="B1907" t="inlineStr">
        <is>
          <t>src/main/java/org/spongepowered/api/network/channel/packet/TransactionalPacketDispatcher.java</t>
        </is>
      </c>
      <c r="C1907">
        <f>HYPERLINK("https://github.com/SpongePowered/SpongeAPI/blob/master/src/main/java/org/spongepowered/api/network/channel/packet/TransactionalPacketDispatcher.java")</f>
        <v/>
      </c>
      <c r="D1907" t="inlineStr">
        <is>
          <t>The provided code is a Java class that implements core algorithms with a time complexity of O(N). It includes comments explaining its purpose, implementation details, and usage. The code size is 1000 lines.</t>
        </is>
      </c>
      <c r="E1907" t="n">
        <v>0.0132</v>
      </c>
      <c r="F1907" t="n">
        <v>0.1429</v>
      </c>
      <c r="G1907" t="n">
        <v>0.2434</v>
      </c>
      <c r="H1907" t="inlineStr">
        <is>
          <t>Manages backend software components with complexity O(N).</t>
        </is>
      </c>
      <c r="I1907" t="n">
        <v>0.0286</v>
      </c>
      <c r="J1907" t="n">
        <v>0.125</v>
      </c>
      <c r="K1907" t="n">
        <v>0.0633</v>
      </c>
      <c r="L1907" t="inlineStr">
        <is>
          <t>This file is part of the Sponge API, which provides backend software components. It includes implementation of core algorithms, designed to handle various functionalities efficiently within the system.</t>
        </is>
      </c>
      <c r="M1907" t="n">
        <v>0.008800000000000001</v>
      </c>
      <c r="N1907" t="n">
        <v>0.2778</v>
      </c>
      <c r="O1907" t="n">
        <v>0.25</v>
      </c>
    </row>
    <row r="1908">
      <c r="A1908" t="inlineStr">
        <is>
          <t>sponge</t>
        </is>
      </c>
      <c r="B1908" t="inlineStr">
        <is>
          <t>src/main/java/org/spongepowered/api/network/channel/packet/PacketDispatcher.java</t>
        </is>
      </c>
      <c r="C1908">
        <f>HYPERLINK("https://github.com/SpongePowered/SpongeAPI/blob/master/src/main/java/org/spongepowered/api/network/channel/packet/PacketDispatcher.java")</f>
        <v/>
      </c>
      <c r="D1908" t="inlineStr">
        <is>
          <t>The provided code is a Java class that implements core algorithms with a time complexity of O(N). It includes comments explaining its purpose, implementation details, and usage. The code size is 1000 lines.</t>
        </is>
      </c>
      <c r="E1908" t="n">
        <v>0.0132</v>
      </c>
      <c r="F1908" t="n">
        <v>0.1429</v>
      </c>
      <c r="G1908" t="n">
        <v>0.2434</v>
      </c>
      <c r="H1908" t="inlineStr">
        <is>
          <t>This repository contains backend software components implementing core algorithms. Complexity is O(N), with comments indicating implementation details. Initial codebase commit. Code size is 1000 lines.</t>
        </is>
      </c>
      <c r="I1908" t="n">
        <v>0.01</v>
      </c>
      <c r="J1908" t="n">
        <v>0.2353</v>
      </c>
      <c r="K1908" t="n">
        <v>0.2062</v>
      </c>
      <c r="L1908" t="inlineStr">
        <is>
          <t>This code implements backend software components for a project, focusing on core algorithm implementations that handle various functionalities related to data processing and management. It has a time complexity of O(N), indicating linear performance relative to input size, and includes comments explaining the implementation of these algorithms.</t>
        </is>
      </c>
      <c r="M1908" t="n">
        <v>0.0058</v>
      </c>
      <c r="N1908" t="n">
        <v>0.1786</v>
      </c>
      <c r="O1908" t="n">
        <v>0.2521</v>
      </c>
    </row>
    <row r="1909">
      <c r="A1909" t="inlineStr">
        <is>
          <t>sponge</t>
        </is>
      </c>
      <c r="B1909" t="inlineStr">
        <is>
          <t>src/main/java/org/spongepowered/api/network/channel/packet/ResponsePacketHandler.java</t>
        </is>
      </c>
      <c r="C1909">
        <f>HYPERLINK("https://github.com/SpongePowered/SpongeAPI/blob/master/src/main/java/org/spongepowered/api/network/channel/packet/ResponsePacketHandler.java")</f>
        <v/>
      </c>
      <c r="D1909" t="inlineStr">
        <is>
          <t>The provided code is a Java implementation of core algorithms with a time complexity of O(N). It includes comments explaining its purpose, structure, and usage. The code does not contain any specific details about the implemented algorithms or their functionalities beyond these comments.</t>
        </is>
      </c>
      <c r="E1909" t="n">
        <v>0.0051</v>
      </c>
      <c r="F1909" t="n">
        <v>0.1154</v>
      </c>
      <c r="G1909" t="n">
        <v>0.1739</v>
      </c>
      <c r="H1909" t="inlineStr">
        <is>
          <t>Manages backend software components with complex algorithm implementations.</t>
        </is>
      </c>
      <c r="I1909" t="n">
        <v>0.0278</v>
      </c>
      <c r="J1909" t="n">
        <v>0.25</v>
      </c>
      <c r="K1909" t="n">
        <v>0.0625</v>
      </c>
      <c r="L1909" t="inlineStr">
        <is>
          <t>This code implements core algorithms for backend software components, focusing on efficient data processing and manipulation. It processes large datasets using an O(N) complexity approach, ensuring optimal performance while maintaining clarity through well-documented comments and initial implementation details.</t>
        </is>
      </c>
      <c r="M1909" t="n">
        <v>0.013</v>
      </c>
      <c r="N1909" t="n">
        <v>0.1667</v>
      </c>
      <c r="O1909" t="n">
        <v>0.3876</v>
      </c>
    </row>
    <row r="1910">
      <c r="A1910" t="inlineStr">
        <is>
          <t>sponge</t>
        </is>
      </c>
      <c r="B1910" t="inlineStr">
        <is>
          <t>src/main/java/org/spongepowered/api/network/channel/packet/FixedTransactionalPacketBinding.java</t>
        </is>
      </c>
      <c r="C1910">
        <f>HYPERLINK("https://github.com/SpongePowered/SpongeAPI/blob/master/src/main/java/org/spongepowered/api/network/channel/packet/FixedTransactionalPacketBinding.java")</f>
        <v/>
      </c>
      <c r="D1910" t="inlineStr">
        <is>
          <t>The provided code is a Java class that implements core algorithms with a time complexity of O(N). It includes comments explaining its purpose, implementation details, and usage. The code size is 1000 lines.</t>
        </is>
      </c>
      <c r="E1910" t="n">
        <v>0.0132</v>
      </c>
      <c r="F1910" t="n">
        <v>0.1429</v>
      </c>
      <c r="G1910" t="n">
        <v>0.2434</v>
      </c>
      <c r="H1910" t="inlineStr">
        <is>
          <t>The code implements core algorithms for a backend system. Complexity is O(N), indicating linear time complexity with respect to input size N. Comments describe the implementation details. The repository contains initial codebase commits. Code size is 1000 lines.</t>
        </is>
      </c>
      <c r="I1910" t="n">
        <v>0.0103</v>
      </c>
      <c r="J1910" t="n">
        <v>0.0851</v>
      </c>
      <c r="K1910" t="n">
        <v>0.1705</v>
      </c>
      <c r="L1910" t="inlineStr">
        <is>
          <t>This file is part of the SpongeAPI project, which provides backend software components. It includes initial implementation of core algorithms, designed to handle various functionalities within the system. The code complexity is moderate at O(N), and existing comments provide context for the core algorithm implementations.</t>
        </is>
      </c>
      <c r="M1910" t="n">
        <v>0.0058</v>
      </c>
      <c r="N1910" t="n">
        <v>0.2222</v>
      </c>
      <c r="O1910" t="n">
        <v>0.2564</v>
      </c>
    </row>
    <row r="1911">
      <c r="A1911" t="inlineStr">
        <is>
          <t>sponge</t>
        </is>
      </c>
      <c r="B1911" t="inlineStr">
        <is>
          <t>src/main/java/org/spongepowered/api/network/channel/packet/Packet.java</t>
        </is>
      </c>
      <c r="C1911">
        <f>HYPERLINK("https://github.com/SpongePowered/SpongeAPI/blob/master/src/main/java/org/spongepowered/api/network/channel/packet/Packet.java")</f>
        <v/>
      </c>
      <c r="D1911" t="inlineStr">
        <is>
          <t>The provided code is a Java implementation of core algorithms with a time complexity of O(N). It includes comments explaining its purpose and usage, as well as details about its structure and dependencies. The code size is 1000 lines long.</t>
        </is>
      </c>
      <c r="E1911" t="n">
        <v>0.0055</v>
      </c>
      <c r="F1911" t="n">
        <v>0.1224</v>
      </c>
      <c r="G1911" t="n">
        <v>0.1339</v>
      </c>
      <c r="H1911" t="inlineStr">
        <is>
          <t>The code implements core algorithms for a backend system. Complexity is O(N), indicating linear time complexity with respect to input size N. Comments explain the implementation details, while the README provides information about the repository's purpose and structure.</t>
        </is>
      </c>
      <c r="I1911" t="n">
        <v>0.0114</v>
      </c>
      <c r="J1911" t="n">
        <v>0.125</v>
      </c>
      <c r="K1911" t="n">
        <v>0.2323</v>
      </c>
      <c r="L1911" t="inlineStr">
        <is>
          <t>This code implements core algorithms for backend software components, focusing on efficient data processing and manipulation. It processes large datasets using an O(N) complexity algorithm, ensuring optimal performance while maintaining high levels of code readability and maintainability.</t>
        </is>
      </c>
      <c r="M1911" t="n">
        <v>0.0133</v>
      </c>
      <c r="N1911" t="n">
        <v>0.1739</v>
      </c>
      <c r="O1911" t="n">
        <v>0.3912</v>
      </c>
    </row>
    <row r="1912">
      <c r="A1912" t="inlineStr">
        <is>
          <t>sponge</t>
        </is>
      </c>
      <c r="B1912" t="inlineStr">
        <is>
          <t>src/main/java/org/spongepowered/api/network/channel/packet/PacketHandler.java</t>
        </is>
      </c>
      <c r="C1912">
        <f>HYPERLINK("https://github.com/SpongePowered/SpongeAPI/blob/master/src/main/java/org/spongepowered/api/network/channel/packet/PacketHandler.java")</f>
        <v/>
      </c>
      <c r="D1912" t="inlineStr">
        <is>
          <t>The provided code is a backend software component with complexity O(N). It includes comments explaining its implementation of core algorithms. The total size of the code is 1000 lines.</t>
        </is>
      </c>
      <c r="E1912" t="n">
        <v>0.0077</v>
      </c>
      <c r="F1912" t="n">
        <v>0.1579</v>
      </c>
      <c r="G1912" t="n">
        <v>0.1485</v>
      </c>
      <c r="H1912" t="inlineStr">
        <is>
          <t>The code implements core algorithms for a backend system. Complexity is O(N), indicating linear time complexity with respect to input size N. Comments describe the implementation details. Commits include the initial creation of the codebase. Code size is 1000 lines.</t>
        </is>
      </c>
      <c r="I1912" t="n">
        <v>0.0098</v>
      </c>
      <c r="J1912" t="n">
        <v>0.08160000000000001</v>
      </c>
      <c r="K1912" t="n">
        <v>0.1674</v>
      </c>
      <c r="L1912" t="inlineStr">
        <is>
          <t>This code implements core algorithms for a backend software component, focusing on efficient data processing and manipulation tasks. It handles various input scenarios and provides clear comments throughout the implementation. The complexity of the algorithm is O(N), indicating linear time performance, which is suitable for large datasets.</t>
        </is>
      </c>
      <c r="M1912" t="n">
        <v>0.0104</v>
      </c>
      <c r="N1912" t="n">
        <v>0.1429</v>
      </c>
      <c r="O1912" t="n">
        <v>0.3126</v>
      </c>
    </row>
    <row r="1913">
      <c r="A1913" t="inlineStr">
        <is>
          <t>sponge</t>
        </is>
      </c>
      <c r="B1913" t="inlineStr">
        <is>
          <t>src/main/java/org/spongepowered/api/network/channel/packet/TransactionalPacketRegistry.java</t>
        </is>
      </c>
      <c r="C1913">
        <f>HYPERLINK("https://github.com/SpongePowered/SpongeAPI/blob/master/src/main/java/org/spongepowered/api/network/channel/packet/TransactionalPacketRegistry.java")</f>
        <v/>
      </c>
      <c r="D1913" t="inlineStr">
        <is>
          <t>The provided code is a Java implementation of core algorithms with a time complexity of O(N). It includes comments explaining its purpose and functionality, as well as details about its license, authors, and usage. The README provides information about the repository's contents and structure.</t>
        </is>
      </c>
      <c r="E1913" t="n">
        <v>0.005</v>
      </c>
      <c r="F1913" t="n">
        <v>0.1481</v>
      </c>
      <c r="G1913" t="n">
        <v>0.1293</v>
      </c>
      <c r="H1913" t="inlineStr">
        <is>
          <t>Manages backend software components with complex algorithm implementations.</t>
        </is>
      </c>
      <c r="I1913" t="n">
        <v>0.0278</v>
      </c>
      <c r="J1913" t="n">
        <v>0.25</v>
      </c>
      <c r="K1913" t="n">
        <v>0.0625</v>
      </c>
      <c r="L1913" t="inlineStr">
        <is>
          <t>This code implements core algorithms for backend software components, focusing on efficient data processing and manipulation. It has a time complexity of O(N), indicating linear performance relative to input size, and includes comments that describe implementation details. The codebase was initially committed as part of an initial codebase setup.</t>
        </is>
      </c>
      <c r="M1913" t="n">
        <v>0.01</v>
      </c>
      <c r="N1913" t="n">
        <v>0.1379</v>
      </c>
      <c r="O1913" t="n">
        <v>0.3524</v>
      </c>
    </row>
    <row r="1914">
      <c r="A1914" t="inlineStr">
        <is>
          <t>sponge</t>
        </is>
      </c>
      <c r="B1914" t="inlineStr">
        <is>
          <t>src/main/java/org/spongepowered/api/network/channel/packet/HandlerPacketBinding.java</t>
        </is>
      </c>
      <c r="C1914">
        <f>HYPERLINK("https://github.com/SpongePowered/SpongeAPI/blob/master/src/main/java/org/spongepowered/api/network/channel/packet/HandlerPacketBinding.java")</f>
        <v/>
      </c>
      <c r="D1914" t="inlineStr">
        <is>
          <t>The provided code is a backend software component that implements core algorithms with a time complexity of O(N). It includes comments explaining its implementation and structure, as well as details about its complexity and size.</t>
        </is>
      </c>
      <c r="E1914" t="n">
        <v>0.0134</v>
      </c>
      <c r="F1914" t="n">
        <v>0.1818</v>
      </c>
      <c r="G1914" t="n">
        <v>0.295</v>
      </c>
      <c r="H1914" t="inlineStr">
        <is>
          <t>Manages backend software components with core algorithm implementations. Complexity is O(N).</t>
        </is>
      </c>
      <c r="I1914" t="n">
        <v>0.0224</v>
      </c>
      <c r="J1914" t="n">
        <v>0.2</v>
      </c>
      <c r="K1914" t="n">
        <v>0.1205</v>
      </c>
      <c r="L1914" t="inlineStr">
        <is>
          <t>This code implements core algorithms for a backend software component, focusing on efficient data processing and manipulation tasks. It processes large datasets using an O(N) complexity algorithm, ensuring optimal performance while maintaining clarity through well-documented comments and initial implementation messages.</t>
        </is>
      </c>
      <c r="M1914" t="n">
        <v>0.0123</v>
      </c>
      <c r="N1914" t="n">
        <v>0.16</v>
      </c>
      <c r="O1914" t="n">
        <v>0.3807</v>
      </c>
    </row>
    <row r="1915">
      <c r="A1915" t="inlineStr">
        <is>
          <t>sponge</t>
        </is>
      </c>
      <c r="B1915" t="inlineStr">
        <is>
          <t>src/main/java/org/spongepowered/api/network/channel/packet/RequestPacketResponse.java</t>
        </is>
      </c>
      <c r="C1915">
        <f>HYPERLINK("https://github.com/SpongePowered/SpongeAPI/blob/master/src/main/java/org/spongepowered/api/network/channel/packet/RequestPacketResponse.java")</f>
        <v/>
      </c>
      <c r="D1915" t="inlineStr">
        <is>
          <t>The provided code is a Java class that implements core algorithms with a time complexity of O(N). It includes comments explaining its purpose, implementation details, and usage. The code size is 1000 lines long.</t>
        </is>
      </c>
      <c r="E1915" t="n">
        <v>0.0128</v>
      </c>
      <c r="F1915" t="n">
        <v>0.1395</v>
      </c>
      <c r="G1915" t="n">
        <v>0.2411</v>
      </c>
      <c r="H1915" t="inlineStr">
        <is>
          <t>Manages backend software components with complexity O(N).</t>
        </is>
      </c>
      <c r="I1915" t="n">
        <v>0.0286</v>
      </c>
      <c r="J1915" t="n">
        <v>0.125</v>
      </c>
      <c r="K1915" t="n">
        <v>0.0633</v>
      </c>
      <c r="L1915" t="inlineStr">
        <is>
          <t>This file contains backend software components that implement core algorithms for processing data efficiently, adhering to a complexity of O(N). It includes initial implementation commits and comments, making it suitable for integration into larger projects.</t>
        </is>
      </c>
      <c r="M1915" t="n">
        <v>0.0075</v>
      </c>
      <c r="N1915" t="n">
        <v>0.2273</v>
      </c>
      <c r="O1915" t="n">
        <v>0.2336</v>
      </c>
    </row>
    <row r="1916">
      <c r="A1916" t="inlineStr">
        <is>
          <t>sponge</t>
        </is>
      </c>
      <c r="B1916" t="inlineStr">
        <is>
          <t>src/main/java/org/spongepowered/api/network/channel/packet/basic/package-info.java</t>
        </is>
      </c>
      <c r="C1916">
        <f>HYPERLINK("https://github.com/SpongePowered/SpongeAPI/blob/master/src/main/java/org/spongepowered/api/network/channel/packet/basic/package-info.java")</f>
        <v/>
      </c>
      <c r="D1916" t="inlineStr">
        <is>
          <t>The provided code is a snippet from a Java project that implements core algorithms with a time complexity of O(N). It includes comments explaining its purpose, implementation details, and usage. The code size is 1000 lines long.</t>
        </is>
      </c>
      <c r="E1916" t="n">
        <v>0.0117</v>
      </c>
      <c r="F1916" t="n">
        <v>0.1304</v>
      </c>
      <c r="G1916" t="n">
        <v>0.2345</v>
      </c>
      <c r="H1916" t="inlineStr">
        <is>
          <t>The code implements core algorithms for backend software components. Complexity is O(N). Comments describe the implementation of these algorithms. Initial codebase commit was made. Code size is 1000 lines.</t>
        </is>
      </c>
      <c r="I1916" t="n">
        <v>0.0151</v>
      </c>
      <c r="J1916" t="n">
        <v>0.1053</v>
      </c>
      <c r="K1916" t="n">
        <v>0.253</v>
      </c>
      <c r="L1916" t="inlineStr">
        <is>
          <t>This file contains backend software components that implement core algorithms for processing data efficiently, leveraging a time complexity of O(N). It includes comments explaining implementation details and follows best practices for code readability and maintainability.</t>
        </is>
      </c>
      <c r="M1916" t="n">
        <v>0.0075</v>
      </c>
      <c r="N1916" t="n">
        <v>0.2273</v>
      </c>
      <c r="O1916" t="n">
        <v>0.2336</v>
      </c>
    </row>
    <row r="1917">
      <c r="A1917" t="inlineStr">
        <is>
          <t>sponge</t>
        </is>
      </c>
      <c r="B1917" t="inlineStr">
        <is>
          <t>src/main/java/org/spongepowered/api/network/channel/packet/basic/BasicPacketChannel.java</t>
        </is>
      </c>
      <c r="C1917">
        <f>HYPERLINK("https://github.com/SpongePowered/SpongeAPI/blob/master/src/main/java/org/spongepowered/api/network/channel/packet/basic/BasicPacketChannel.java")</f>
        <v/>
      </c>
      <c r="D1917" t="inlineStr">
        <is>
          <t>The provided code is a Java implementation of core algorithms with a time complexity of O(N). It includes comments explaining its purpose, complexity, and usage. The code size is 1000 lines long.</t>
        </is>
      </c>
      <c r="E1917" t="n">
        <v>0.0069</v>
      </c>
      <c r="F1917" t="n">
        <v>0.1463</v>
      </c>
      <c r="G1917" t="n">
        <v>0.1442</v>
      </c>
      <c r="H1917" t="inlineStr">
        <is>
          <t>Manages backend software components with complexity O(N).</t>
        </is>
      </c>
      <c r="I1917" t="n">
        <v>0.0286</v>
      </c>
      <c r="J1917" t="n">
        <v>0.125</v>
      </c>
      <c r="K1917" t="n">
        <v>0.0633</v>
      </c>
      <c r="L1917" t="inlineStr">
        <is>
          <t>This code implements core algorithms for backend software components using a time complexity of O(N). It includes comments explaining implementation details and has been committed as part of the initial codebase. The total size of the codebase is 1000 lines.</t>
        </is>
      </c>
      <c r="M1917" t="n">
        <v>0.0123</v>
      </c>
      <c r="N1917" t="n">
        <v>0.1633</v>
      </c>
      <c r="O1917" t="n">
        <v>0.3807</v>
      </c>
    </row>
    <row r="1918">
      <c r="A1918" t="inlineStr">
        <is>
          <t>sponge</t>
        </is>
      </c>
      <c r="B1918" t="inlineStr">
        <is>
          <t>src/main/java/org/spongepowered/api/network/channel/packet/basic/BasicHandshakePacketDispatcher.java</t>
        </is>
      </c>
      <c r="C1918">
        <f>HYPERLINK("https://github.com/SpongePowered/SpongeAPI/blob/master/src/main/java/org/spongepowered/api/network/channel/packet/basic/BasicHandshakePacketDispatcher.java")</f>
        <v/>
      </c>
      <c r="D1918" t="inlineStr">
        <is>
          <t>The provided code is a backend software component with complexity O(N). It includes comments explaining its implementation of core algorithms and mentions that it's part of a larger repository containing backend software components. The code size is 1000 lines.</t>
        </is>
      </c>
      <c r="E1918" t="n">
        <v>0.0062</v>
      </c>
      <c r="F1918" t="n">
        <v>0.1633</v>
      </c>
      <c r="G1918" t="n">
        <v>0.2252</v>
      </c>
      <c r="H1918" t="inlineStr">
        <is>
          <t>The code implements core algorithms for backend software components. It has a time complexity of O(N).</t>
        </is>
      </c>
      <c r="I1918" t="n">
        <v>0.0288</v>
      </c>
      <c r="J1918" t="n">
        <v>0.16</v>
      </c>
      <c r="K1918" t="n">
        <v>0.2904</v>
      </c>
      <c r="L1918" t="inlineStr">
        <is>
          <t>This code implements core algorithms for a backend software component using a time complexity of O(N). It includes comments explaining implementation details and has been committed as part of the initial codebase. The total size of the codebase is 1000 lines.</t>
        </is>
      </c>
      <c r="M1918" t="n">
        <v>0.012</v>
      </c>
      <c r="N1918" t="n">
        <v>0.16</v>
      </c>
      <c r="O1918" t="n">
        <v>0.3773</v>
      </c>
    </row>
    <row r="1919">
      <c r="A1919" t="inlineStr">
        <is>
          <t>sponge</t>
        </is>
      </c>
      <c r="B1919" t="inlineStr">
        <is>
          <t>src/main/java/org/spongepowered/api/network/channel/raw/package-info.java</t>
        </is>
      </c>
      <c r="C1919">
        <f>HYPERLINK("https://github.com/SpongePowered/SpongeAPI/blob/master/src/main/java/org/spongepowered/api/network/channel/raw/package-info.java")</f>
        <v/>
      </c>
      <c r="D1919" t="inlineStr">
        <is>
          <t>The provided code is a Java class that implements core algorithms with a time complexity of O(N). It includes comments explaining its purpose and implementation details, as well as information about its license, authors, and usage. The README provides context about the repository's contents and structure.</t>
        </is>
      </c>
      <c r="E1919" t="n">
        <v>0.0094</v>
      </c>
      <c r="F1919" t="n">
        <v>0.1071</v>
      </c>
      <c r="G1919" t="n">
        <v>0.2166</v>
      </c>
      <c r="H1919" t="inlineStr">
        <is>
          <t>Manages backend software components with core algorithm implementations. Complexity is O(N).</t>
        </is>
      </c>
      <c r="I1919" t="n">
        <v>0.0224</v>
      </c>
      <c r="J1919" t="n">
        <v>0.2</v>
      </c>
      <c r="K1919" t="n">
        <v>0.1205</v>
      </c>
      <c r="L1919" t="inlineStr">
        <is>
          <t>This code implements core algorithms for a backend software component, handling input data efficiently with a time complexity of O(N). It includes comments explaining implementation details and is part of a larger project that manages various backend functionalities.</t>
        </is>
      </c>
      <c r="M1919" t="n">
        <v>0.013</v>
      </c>
      <c r="N1919" t="n">
        <v>0.1702</v>
      </c>
      <c r="O1919" t="n">
        <v>0.3876</v>
      </c>
    </row>
    <row r="1920">
      <c r="A1920" t="inlineStr">
        <is>
          <t>sponge</t>
        </is>
      </c>
      <c r="B1920" t="inlineStr">
        <is>
          <t>src/main/java/org/spongepowered/api/network/channel/raw/RawDataChannel.java</t>
        </is>
      </c>
      <c r="C1920">
        <f>HYPERLINK("https://github.com/SpongePowered/SpongeAPI/blob/master/src/main/java/org/spongepowered/api/network/channel/raw/RawDataChannel.java")</f>
        <v/>
      </c>
      <c r="D1920" t="inlineStr">
        <is>
          <t>The provided code is a Java implementation of core algorithms with a time complexity of O(N). It includes comments explaining its purpose and structure, as well as details about its license and usage. The code size is 1000 lines long.</t>
        </is>
      </c>
      <c r="E1920" t="n">
        <v>0.0055</v>
      </c>
      <c r="F1920" t="n">
        <v>0.1224</v>
      </c>
      <c r="G1920" t="n">
        <v>0.1339</v>
      </c>
      <c r="H1920" t="inlineStr">
        <is>
          <t>Manages backend software components with complex algorithm implementations.</t>
        </is>
      </c>
      <c r="I1920" t="n">
        <v>0.0278</v>
      </c>
      <c r="J1920" t="n">
        <v>0.25</v>
      </c>
      <c r="K1920" t="n">
        <v>0.0625</v>
      </c>
      <c r="L1920" t="inlineStr">
        <is>
          <t>This code implements backend software components for a project, focusing on core algorithm implementations. It has a time complexity of O(N), uses comments for implementation details, and includes initial commits. The total size of the codebase is 1000 lines.</t>
        </is>
      </c>
      <c r="M1920" t="n">
        <v>0.0071</v>
      </c>
      <c r="N1920" t="n">
        <v>0.1667</v>
      </c>
      <c r="O1920" t="n">
        <v>0.2703</v>
      </c>
    </row>
    <row r="1921">
      <c r="A1921" t="inlineStr">
        <is>
          <t>sponge</t>
        </is>
      </c>
      <c r="B1921" t="inlineStr">
        <is>
          <t>src/main/java/org/spongepowered/api/network/channel/raw/play/package-info.java</t>
        </is>
      </c>
      <c r="C1921">
        <f>HYPERLINK("https://github.com/SpongePowered/SpongeAPI/blob/master/src/main/java/org/spongepowered/api/network/channel/raw/play/package-info.java")</f>
        <v/>
      </c>
      <c r="D1921" t="inlineStr">
        <is>
          <t>The provided code is a Java implementation of core algorithms with a time complexity of O(N). It includes comments explaining its purpose, complexity analysis, and commits detailing its initial creation. The code size is 1000 lines.</t>
        </is>
      </c>
      <c r="E1921" t="n">
        <v>0.0061</v>
      </c>
      <c r="F1921" t="n">
        <v>0.1333</v>
      </c>
      <c r="G1921" t="n">
        <v>0.1389</v>
      </c>
      <c r="H1921" t="inlineStr">
        <is>
          <t>The code implements core algorithms for a backend system. Complexity is O(N), indicating linear time complexity with respect to input size N. Comments describe the implementation details, while the README provides information about the repository's contents.</t>
        </is>
      </c>
      <c r="I1921" t="n">
        <v>0.0109</v>
      </c>
      <c r="J1921" t="n">
        <v>0.08699999999999999</v>
      </c>
      <c r="K1921" t="n">
        <v>0.1736</v>
      </c>
      <c r="L1921" t="inlineStr">
        <is>
          <t>This code implements backend software components for a platform that processes data using complex algorithms efficiently. It has a time complexity of \(O(N)\), making it suitable for large datasets. The implementation includes comments explaining core algorithms and is designed to be easily understandable and maintainable.</t>
        </is>
      </c>
      <c r="M1921" t="n">
        <v>0.0061</v>
      </c>
      <c r="N1921" t="n">
        <v>0.1852</v>
      </c>
      <c r="O1921" t="n">
        <v>0.2564</v>
      </c>
    </row>
    <row r="1922">
      <c r="A1922" t="inlineStr">
        <is>
          <t>sponge</t>
        </is>
      </c>
      <c r="B1922" t="inlineStr">
        <is>
          <t>src/main/java/org/spongepowered/api/network/channel/raw/play/RawPlayDataHandler.java</t>
        </is>
      </c>
      <c r="C1922">
        <f>HYPERLINK("https://github.com/SpongePowered/SpongeAPI/blob/master/src/main/java/org/spongepowered/api/network/channel/raw/play/RawPlayDataHandler.java")</f>
        <v/>
      </c>
      <c r="D1922" t="inlineStr">
        <is>
          <t>The provided code is a Java implementation of core algorithms with a time complexity of O(N). It includes comments explaining its purpose and structure, as well as a README file describing its contents and usage. The code size is 1000 lines.</t>
        </is>
      </c>
      <c r="E1922" t="n">
        <v>0.0054</v>
      </c>
      <c r="F1922" t="n">
        <v>0.12</v>
      </c>
      <c r="G1922" t="n">
        <v>0.1327</v>
      </c>
      <c r="H1922" t="inlineStr">
        <is>
          <t>Manages backend software components with complexity O(N).</t>
        </is>
      </c>
      <c r="I1922" t="n">
        <v>0.0286</v>
      </c>
      <c r="J1922" t="n">
        <v>0.125</v>
      </c>
      <c r="K1922" t="n">
        <v>0.0633</v>
      </c>
      <c r="L1922" t="inlineStr">
        <is>
          <t>This code implements core algorithms for a backend software component, handling input data efficiently with a time complexity of O(N). It includes comments explaining implementation details and has been committed as part of the initial codebase. The total size of the codebase is 1000 lines.</t>
        </is>
      </c>
      <c r="M1922" t="n">
        <v>0.0109</v>
      </c>
      <c r="N1922" t="n">
        <v>0.1481</v>
      </c>
      <c r="O1922" t="n">
        <v>0.3644</v>
      </c>
    </row>
    <row r="1923">
      <c r="A1923" t="inlineStr">
        <is>
          <t>sponge</t>
        </is>
      </c>
      <c r="B1923" t="inlineStr">
        <is>
          <t>src/main/java/org/spongepowered/api/network/channel/raw/play/RawPlayDataChannel.java</t>
        </is>
      </c>
      <c r="C1923">
        <f>HYPERLINK("https://github.com/SpongePowered/SpongeAPI/blob/master/src/main/java/org/spongepowered/api/network/channel/raw/play/RawPlayDataChannel.java")</f>
        <v/>
      </c>
      <c r="D1923" t="inlineStr">
        <is>
          <t>The provided code is a Java class that implements core algorithms with a time complexity of O(N). It includes comments explaining its purpose, implementation details, and usage. The code size is 1000 lines long, making it suitable for complex algorithmic tasks.</t>
        </is>
      </c>
      <c r="E1923" t="n">
        <v>0.0105</v>
      </c>
      <c r="F1923" t="n">
        <v>0.12</v>
      </c>
      <c r="G1923" t="n">
        <v>0.2262</v>
      </c>
      <c r="H1923" t="inlineStr">
        <is>
          <t>Manages backend software components with complexity O(N).</t>
        </is>
      </c>
      <c r="I1923" t="n">
        <v>0.0286</v>
      </c>
      <c r="J1923" t="n">
        <v>0.125</v>
      </c>
      <c r="K1923" t="n">
        <v>0.0633</v>
      </c>
      <c r="L1923" t="inlineStr">
        <is>
          <t>This code implements core algorithms for backend software components using a time complexity of O(N). It includes initial implementation comments and no existing commits. The total size of the codebase is 1000 lines.</t>
        </is>
      </c>
      <c r="M1923" t="n">
        <v>0.015</v>
      </c>
      <c r="N1923" t="n">
        <v>0.1905</v>
      </c>
      <c r="O1923" t="n">
        <v>0.4061</v>
      </c>
    </row>
    <row r="1924">
      <c r="A1924" t="inlineStr">
        <is>
          <t>sponge</t>
        </is>
      </c>
      <c r="B1924" t="inlineStr">
        <is>
          <t>src/main/java/org/spongepowered/api/network/channel/raw/handshake/package-info.java</t>
        </is>
      </c>
      <c r="C1924">
        <f>HYPERLINK("https://github.com/SpongePowered/SpongeAPI/blob/master/src/main/java/org/spongepowered/api/network/channel/raw/handshake/package-info.java")</f>
        <v/>
      </c>
      <c r="D1924" t="inlineStr">
        <is>
          <t>The provided code is a Java implementation of core algorithms with a time complexity of O(N). It includes comments explaining its purpose and usage, as well as a README detailing its contents and structure. The code size is 1000 lines long.</t>
        </is>
      </c>
      <c r="E1924" t="n">
        <v>0.0054</v>
      </c>
      <c r="F1924" t="n">
        <v>0.12</v>
      </c>
      <c r="G1924" t="n">
        <v>0.1327</v>
      </c>
      <c r="H1924" t="inlineStr">
        <is>
          <t>Manages backend software components with complexity O(N).</t>
        </is>
      </c>
      <c r="I1924" t="n">
        <v>0.0286</v>
      </c>
      <c r="J1924" t="n">
        <v>0.125</v>
      </c>
      <c r="K1924" t="n">
        <v>0.0633</v>
      </c>
      <c r="L1924" t="inlineStr">
        <is>
          <t>This code implements core algorithms for backend software components using a time complexity of O(N). It includes comments explaining implementation details and has been committed as part of the initial codebase. The total size of the codebase is 1000 lines.</t>
        </is>
      </c>
      <c r="M1924" t="n">
        <v>0.0123</v>
      </c>
      <c r="N1924" t="n">
        <v>0.1633</v>
      </c>
      <c r="O1924" t="n">
        <v>0.3807</v>
      </c>
    </row>
    <row r="1925">
      <c r="A1925" t="inlineStr">
        <is>
          <t>sponge</t>
        </is>
      </c>
      <c r="B1925" t="inlineStr">
        <is>
          <t>src/main/java/org/spongepowered/api/network/channel/raw/handshake/RawHandshakeDataRequestResponse.java</t>
        </is>
      </c>
      <c r="C1925">
        <f>HYPERLINK("https://github.com/SpongePowered/SpongeAPI/blob/master/src/main/java/org/spongepowered/api/network/channel/raw/handshake/RawHandshakeDataRequestResponse.java")</f>
        <v/>
      </c>
      <c r="D1925" t="inlineStr">
        <is>
          <t>The provided code is a Java class that implements core algorithms with a time complexity of O(N). It includes comments explaining its purpose, implementation details, and usage. The code size is 1000 lines.</t>
        </is>
      </c>
      <c r="E1925" t="n">
        <v>0.0132</v>
      </c>
      <c r="F1925" t="n">
        <v>0.1429</v>
      </c>
      <c r="G1925" t="n">
        <v>0.2434</v>
      </c>
      <c r="H1925" t="inlineStr">
        <is>
          <t>Manages backend software components with complexity O(N).</t>
        </is>
      </c>
      <c r="I1925" t="n">
        <v>0.0286</v>
      </c>
      <c r="J1925" t="n">
        <v>0.125</v>
      </c>
      <c r="K1925" t="n">
        <v>0.0633</v>
      </c>
      <c r="L1925" t="inlineStr">
        <is>
          <t>This code implements core algorithms for backend software components, focusing on efficient data processing and manipulation tasks. It uses a time complexity of O(N), indicating linear scalability as input size increases. The implementation includes comments that provide context and explain the core functionalities, making it easier for developers to understand and maintain.</t>
        </is>
      </c>
      <c r="M1925" t="n">
        <v>0.0094</v>
      </c>
      <c r="N1925" t="n">
        <v>0.1967</v>
      </c>
      <c r="O1925" t="n">
        <v>0.2419</v>
      </c>
    </row>
    <row r="1926">
      <c r="A1926" t="inlineStr">
        <is>
          <t>sponge</t>
        </is>
      </c>
      <c r="B1926" t="inlineStr">
        <is>
          <t>src/main/java/org/spongepowered/api/network/channel/raw/handshake/RawHandshakeDataChannel.java</t>
        </is>
      </c>
      <c r="C1926">
        <f>HYPERLINK("https://github.com/SpongePowered/SpongeAPI/blob/master/src/main/java/org/spongepowered/api/network/channel/raw/handshake/RawHandshakeDataChannel.java")</f>
        <v/>
      </c>
      <c r="D1926" t="inlineStr">
        <is>
          <t>The provided code is a Java implementation of core algorithms with a time complexity of O(N). It includes comments explaining its purpose, complexity, and usage. The code does not contain any specific functionality as it is a template for creating new algorithm implementations.</t>
        </is>
      </c>
      <c r="E1926" t="n">
        <v>0.0056</v>
      </c>
      <c r="F1926" t="n">
        <v>0.1154</v>
      </c>
      <c r="G1926" t="n">
        <v>0.1739</v>
      </c>
      <c r="H1926" t="inlineStr">
        <is>
          <t>This repository contains backend software components with complexity O(N), implementing core algorithms. It includes comments explaining the implementation details and was initially committed. The total size of the codebase is 1000 lines.</t>
        </is>
      </c>
      <c r="I1926" t="n">
        <v>0.0083</v>
      </c>
      <c r="J1926" t="n">
        <v>0.2439</v>
      </c>
      <c r="K1926" t="n">
        <v>0.2404</v>
      </c>
      <c r="L1926" t="inlineStr">
        <is>
          <t>This file contains backend software components that implement core algorithms for processing data efficiently, adhering to a time complexity of O(N). It includes initial implementation commits and comments indicating its role as a foundational component within the system.</t>
        </is>
      </c>
      <c r="M1926" t="n">
        <v>0.0069</v>
      </c>
      <c r="N1926" t="n">
        <v>0.2128</v>
      </c>
      <c r="O1926" t="n">
        <v>0.2727</v>
      </c>
    </row>
    <row r="1927">
      <c r="A1927" t="inlineStr">
        <is>
          <t>sponge</t>
        </is>
      </c>
      <c r="B1927" t="inlineStr">
        <is>
          <t>src/main/java/org/spongepowered/api/network/channel/raw/handshake/RawHandshakeDataRequestHandler.java</t>
        </is>
      </c>
      <c r="C1927">
        <f>HYPERLINK("https://github.com/SpongePowered/SpongeAPI/blob/master/src/main/java/org/spongepowered/api/network/channel/raw/handshake/RawHandshakeDataRequestHandler.java")</f>
        <v/>
      </c>
      <c r="D1927" t="inlineStr">
        <is>
          <t>The provided code is a Java implementation of core algorithms with a time complexity of O(N). It includes comments explaining its purpose and functionality, as well as details about its license, authors, and usage. The code size is 1000 lines.</t>
        </is>
      </c>
      <c r="E1927" t="n">
        <v>0.0055</v>
      </c>
      <c r="F1927" t="n">
        <v>0.1633</v>
      </c>
      <c r="G1927" t="n">
        <v>0.1339</v>
      </c>
      <c r="H1927" t="inlineStr">
        <is>
          <t>Manages backend software components with core algorithm implementations. Complexity is O(N).</t>
        </is>
      </c>
      <c r="I1927" t="n">
        <v>0.0224</v>
      </c>
      <c r="J1927" t="n">
        <v>0.2</v>
      </c>
      <c r="K1927" t="n">
        <v>0.1205</v>
      </c>
      <c r="L1927" t="inlineStr">
        <is>
          <t>This code implements core algorithms for backend software components, focusing on efficient data processing and manipulation. It processes large datasets using an O(N) complexity algorithm, ensuring optimal performance while maintaining clarity and maintainability through well-documented comments and initial implementation messages.</t>
        </is>
      </c>
      <c r="M1927" t="n">
        <v>0.0123</v>
      </c>
      <c r="N1927" t="n">
        <v>0.16</v>
      </c>
      <c r="O1927" t="n">
        <v>0.3807</v>
      </c>
    </row>
    <row r="1928">
      <c r="A1928" t="inlineStr">
        <is>
          <t>sponge</t>
        </is>
      </c>
      <c r="B1928" t="inlineStr">
        <is>
          <t>src/main/java/org/spongepowered/api/network/status/package-info.java</t>
        </is>
      </c>
      <c r="C1928">
        <f>HYPERLINK("https://github.com/SpongePowered/SpongeAPI/blob/master/src/main/java/org/spongepowered/api/network/status/package-info.java")</f>
        <v/>
      </c>
      <c r="D1928" t="inlineStr">
        <is>
          <t>The provided code is a Java implementation of core algorithms with a time complexity of O(N). It includes comments explaining its purpose and structure, as well as details about its license and usage. The README provides information about the repository's contents and complexity level.</t>
        </is>
      </c>
      <c r="E1928" t="n">
        <v>0.005</v>
      </c>
      <c r="F1928" t="n">
        <v>0.1111</v>
      </c>
      <c r="G1928" t="n">
        <v>0.1293</v>
      </c>
      <c r="H1928" t="inlineStr">
        <is>
          <t>Manages backend software components with core algorithm implementations. Complexity is O(N).</t>
        </is>
      </c>
      <c r="I1928" t="n">
        <v>0.0224</v>
      </c>
      <c r="J1928" t="n">
        <v>0.2</v>
      </c>
      <c r="K1928" t="n">
        <v>0.1205</v>
      </c>
      <c r="L1928" t="inlineStr">
        <is>
          <t>This file is part of SpongeAPI, which provides backend software components for various applications. It includes implementations of core algorithms that handle data processing and manipulation tasks efficiently, ensuring optimal performance with a time complexity of O(N). The code size is 1000 lines, and existing comments provide context about the implementation of these algorithms.</t>
        </is>
      </c>
      <c r="M1928" t="n">
        <v>0.0048</v>
      </c>
      <c r="N1928" t="n">
        <v>0.1587</v>
      </c>
      <c r="O1928" t="n">
        <v>0.2381</v>
      </c>
    </row>
    <row r="1929">
      <c r="A1929" t="inlineStr">
        <is>
          <t>sponge</t>
        </is>
      </c>
      <c r="B1929" t="inlineStr">
        <is>
          <t>src/main/java/org/spongepowered/api/network/status/Favicon.java</t>
        </is>
      </c>
      <c r="C1929">
        <f>HYPERLINK("https://github.com/SpongePowered/SpongeAPI/blob/master/src/main/java/org/spongepowered/api/network/status/Favicon.java")</f>
        <v/>
      </c>
      <c r="D1929" t="inlineStr">
        <is>
          <t>The provided code is a Java implementation of core algorithms with a time complexity of O(N). It includes comments explaining its purpose and functionality, as well as details about its license and usage. The README provides information about the repository's contents and structure.</t>
        </is>
      </c>
      <c r="E1929" t="n">
        <v>0.0051</v>
      </c>
      <c r="F1929" t="n">
        <v>0.1509</v>
      </c>
      <c r="G1929" t="n">
        <v>0.1304</v>
      </c>
      <c r="H1929" t="inlineStr">
        <is>
          <t>This repository contains backend software components implementing core algorithms. Complexity is O(N). Comments describe the implementation details. Initial codebase commit. Code size is 1000 lines.</t>
        </is>
      </c>
      <c r="I1929" t="n">
        <v>0.01</v>
      </c>
      <c r="J1929" t="n">
        <v>0.2353</v>
      </c>
      <c r="K1929" t="n">
        <v>0.2062</v>
      </c>
      <c r="L1929" t="inlineStr">
        <is>
          <t>This code implements core algorithms for backend software components, focusing on efficient data processing and manipulation. It processes large datasets using an O(N) complexity algorithm, leveraging existing comments to guide implementation. The code size is 1000 lines, reflecting its importance as a foundational component within the project.</t>
        </is>
      </c>
      <c r="M1929" t="n">
        <v>0.0104</v>
      </c>
      <c r="N1929" t="n">
        <v>0.1429</v>
      </c>
      <c r="O1929" t="n">
        <v>0.3583</v>
      </c>
    </row>
    <row r="1930">
      <c r="A1930" t="inlineStr">
        <is>
          <t>sponge</t>
        </is>
      </c>
      <c r="B1930" t="inlineStr">
        <is>
          <t>src/main/java/org/spongepowered/api/network/status/StatusClient.java</t>
        </is>
      </c>
      <c r="C1930">
        <f>HYPERLINK("https://github.com/SpongePowered/SpongeAPI/blob/master/src/main/java/org/spongepowered/api/network/status/StatusClient.java")</f>
        <v/>
      </c>
      <c r="D1930" t="inlineStr">
        <is>
          <t>The provided code is a Java class that implements core algorithms with a time complexity of O(N). It includes comments explaining its purpose and implementation details. The code size is 1000 lines long.</t>
        </is>
      </c>
      <c r="E1930" t="n">
        <v>0.0132</v>
      </c>
      <c r="F1930" t="n">
        <v>0.1429</v>
      </c>
      <c r="G1930" t="n">
        <v>0.2434</v>
      </c>
      <c r="H1930" t="inlineStr">
        <is>
          <t>Manages backend software components with complexity O(N).</t>
        </is>
      </c>
      <c r="I1930" t="n">
        <v>0.0286</v>
      </c>
      <c r="J1930" t="n">
        <v>0.125</v>
      </c>
      <c r="K1930" t="n">
        <v>0.0633</v>
      </c>
      <c r="L1930" t="inlineStr">
        <is>
          <t>This code provides a basic implementation of core algorithms for a backend software component using Java. It includes comments explaining the implementation details and adheres to a complexity level of O(N).</t>
        </is>
      </c>
      <c r="M1930" t="n">
        <v>0.008500000000000001</v>
      </c>
      <c r="N1930" t="n">
        <v>0.2</v>
      </c>
      <c r="O1930" t="n">
        <v>0.2913</v>
      </c>
    </row>
    <row r="1931">
      <c r="A1931" t="inlineStr">
        <is>
          <t>sponge</t>
        </is>
      </c>
      <c r="B1931" t="inlineStr">
        <is>
          <t>src/main/java/org/spongepowered/api/network/status/StatusResponse.java</t>
        </is>
      </c>
      <c r="C1931">
        <f>HYPERLINK("https://github.com/SpongePowered/SpongeAPI/blob/master/src/main/java/org/spongepowered/api/network/status/StatusResponse.java")</f>
        <v/>
      </c>
      <c r="D1931" t="inlineStr">
        <is>
          <t>The provided code is a Java class that implements core algorithms with a time complexity of O(N). It includes comments explaining its implementation and structure. The code size is 1000 lines.</t>
        </is>
      </c>
      <c r="E1931" t="n">
        <v>0.0141</v>
      </c>
      <c r="F1931" t="n">
        <v>0.15</v>
      </c>
      <c r="G1931" t="n">
        <v>0.2481</v>
      </c>
      <c r="H1931" t="inlineStr">
        <is>
          <t>Manages backend software components with complexity O(N).</t>
        </is>
      </c>
      <c r="I1931" t="n">
        <v>0.0286</v>
      </c>
      <c r="J1931" t="n">
        <v>0.125</v>
      </c>
      <c r="K1931" t="n">
        <v>0.0633</v>
      </c>
      <c r="L1931" t="inlineStr">
        <is>
          <t>This code implements backend software components for a platform that processes data efficiently using algorithms optimized for large datasets, ensuring high performance and scalability. It includes comments explaining core algorithm implementations and adheres to best practices for code readability and maintainability.</t>
        </is>
      </c>
      <c r="M1931" t="n">
        <v>0.0067</v>
      </c>
      <c r="N1931" t="n">
        <v>0.1633</v>
      </c>
      <c r="O1931" t="n">
        <v>0.2655</v>
      </c>
    </row>
    <row r="1932">
      <c r="A1932" t="inlineStr">
        <is>
          <t>sponge</t>
        </is>
      </c>
      <c r="B1932" t="inlineStr">
        <is>
          <t>src/main/java/org/spongepowered/api/raid/Raid.java</t>
        </is>
      </c>
      <c r="C1932">
        <f>HYPERLINK("https://github.com/SpongePowered/SpongeAPI/blob/master/src/main/java/org/spongepowered/api/raid/Raid.java")</f>
        <v/>
      </c>
      <c r="D1932" t="inlineStr">
        <is>
          <t>The provided code is a backend software component with a complexity of O(N). It implements core algorithms and includes comments explaining its implementation. The code size is 1000 lines long.</t>
        </is>
      </c>
      <c r="E1932" t="n">
        <v>0.0157</v>
      </c>
      <c r="F1932" t="n">
        <v>0.2051</v>
      </c>
      <c r="G1932" t="n">
        <v>0.3094</v>
      </c>
      <c r="H1932" t="inlineStr">
        <is>
          <t>The code implements core algorithms for a backend system. Complexity is O(N), indicating linear time complexity with respect to input size N. Comments describe the implementation of these algorithms.</t>
        </is>
      </c>
      <c r="I1932" t="n">
        <v>0.0137</v>
      </c>
      <c r="J1932" t="n">
        <v>0.1053</v>
      </c>
      <c r="K1932" t="n">
        <v>0.1856</v>
      </c>
      <c r="L1932" t="inlineStr">
        <is>
          <t>This file is part of the SpongeAPI project, which provides backend software components. It implements core algorithms for handling various functionalities within the system. The code complexity is O(N), indicating linear time complexity, and includes comments that describe the implementation of these algorithms. The initial commit message states that this is the initial codebase commit. The code size is approximately 1000 lines, reflecting its comprehensive</t>
        </is>
      </c>
      <c r="M1932" t="n">
        <v>0.0074</v>
      </c>
      <c r="N1932" t="n">
        <v>0.1622</v>
      </c>
      <c r="O1932" t="n">
        <v>0.3112</v>
      </c>
    </row>
    <row r="1933">
      <c r="A1933" t="inlineStr">
        <is>
          <t>sponge</t>
        </is>
      </c>
      <c r="B1933" t="inlineStr">
        <is>
          <t>src/main/java/org/spongepowered/api/raid/package-info.java</t>
        </is>
      </c>
      <c r="C1933">
        <f>HYPERLINK("https://github.com/SpongePowered/SpongeAPI/blob/master/src/main/java/org/spongepowered/api/raid/package-info.java")</f>
        <v/>
      </c>
      <c r="D1933" t="inlineStr">
        <is>
          <t>The provided code is a backend software component with a complexity of O(N). It implements core algorithms and includes comments explaining its implementation. The code size is 1000 lines.</t>
        </is>
      </c>
      <c r="E1933" t="n">
        <v>0.0163</v>
      </c>
      <c r="F1933" t="n">
        <v>0.2105</v>
      </c>
      <c r="G1933" t="n">
        <v>0.3125</v>
      </c>
      <c r="H1933" t="inlineStr">
        <is>
          <t>This repository contains backend software components with complexity O(N), implementing core algorithms. It includes comments explaining the implementation and has been committed initially. The total size of the codebase is 1000 lines.</t>
        </is>
      </c>
      <c r="I1933" t="n">
        <v>0.0083</v>
      </c>
      <c r="J1933" t="n">
        <v>0.2439</v>
      </c>
      <c r="K1933" t="n">
        <v>0.2404</v>
      </c>
      <c r="L1933" t="inlineStr">
        <is>
          <t>This code implements backend software components for a platform that processes data using complex algorithms. It has a time complexity of O(N), making it efficient for handling large datasets. The implementation includes comments explaining core algorithms and is part of a larger codebase.</t>
        </is>
      </c>
      <c r="M1933" t="n">
        <v>0.0064</v>
      </c>
      <c r="N1933" t="n">
        <v>0.1923</v>
      </c>
      <c r="O1933" t="n">
        <v>0.2609</v>
      </c>
    </row>
    <row r="1934">
      <c r="A1934" t="inlineStr">
        <is>
          <t>sponge</t>
        </is>
      </c>
      <c r="B1934" t="inlineStr">
        <is>
          <t>src/main/java/org/spongepowered/api/raid/RaidWave.java</t>
        </is>
      </c>
      <c r="C1934">
        <f>HYPERLINK("https://github.com/SpongePowered/SpongeAPI/blob/master/src/main/java/org/spongepowered/api/raid/RaidWave.java")</f>
        <v/>
      </c>
      <c r="D1934" t="inlineStr">
        <is>
          <t>The provided code is a Java implementation of core algorithms with a time complexity of O(N). It includes comments explaining its purpose and usage, as well as details about its license and structure. The README provides information about the repository's contents and structure.</t>
        </is>
      </c>
      <c r="E1934" t="n">
        <v>0.0051</v>
      </c>
      <c r="F1934" t="n">
        <v>0.1132</v>
      </c>
      <c r="G1934" t="n">
        <v>0.1304</v>
      </c>
      <c r="H1934" t="inlineStr">
        <is>
          <t>The repository contains backend software components with complexity O(N), implementing core algorithms. It includes comments explaining the implementation and has been committed initially. The total size of the codebase is 1000 lines.</t>
        </is>
      </c>
      <c r="I1934" t="n">
        <v>0.0077</v>
      </c>
      <c r="J1934" t="n">
        <v>0.1951</v>
      </c>
      <c r="K1934" t="n">
        <v>0.1923</v>
      </c>
      <c r="L1934" t="inlineStr">
        <is>
          <t>This code provides the implementation of core algorithms for a backend software component, which processes data efficiently using an O(N) complexity approach. It includes comments that explain the implementation details and adheres to best practices for code readability and maintainability.</t>
        </is>
      </c>
      <c r="M1934" t="n">
        <v>0.0065</v>
      </c>
      <c r="N1934" t="n">
        <v>0.1633</v>
      </c>
      <c r="O1934" t="n">
        <v>0.2679</v>
      </c>
    </row>
    <row r="1935">
      <c r="A1935" t="inlineStr">
        <is>
          <t>sponge</t>
        </is>
      </c>
      <c r="B1935" t="inlineStr">
        <is>
          <t>src/main/java/org/spongepowered/api/block/package-info.java</t>
        </is>
      </c>
      <c r="C1935">
        <f>HYPERLINK("https://github.com/SpongePowered/SpongeAPI/blob/master/src/main/java/org/spongepowered/api/block/package-info.java")</f>
        <v/>
      </c>
      <c r="D1935" t="inlineStr">
        <is>
          <t>The provided code is a Java implementation of core algorithms with a time complexity of O(N). It includes comments explaining its purpose and structure, as well as information about its license and usage. The README provides details on the repository's contents and structure.</t>
        </is>
      </c>
      <c r="E1935" t="n">
        <v>0.0051</v>
      </c>
      <c r="F1935" t="n">
        <v>0.1132</v>
      </c>
      <c r="G1935" t="n">
        <v>0.1304</v>
      </c>
      <c r="H1935" t="inlineStr">
        <is>
          <t>Manages backend software components with core algorithm implementations. Complexity is O(N).</t>
        </is>
      </c>
      <c r="I1935" t="n">
        <v>0.0224</v>
      </c>
      <c r="J1935" t="n">
        <v>0.2</v>
      </c>
      <c r="K1935" t="n">
        <v>0.1205</v>
      </c>
      <c r="L1935" t="inlineStr">
        <is>
          <t>This code implements core algorithms for backend software components, focusing on efficient data processing and manipulation. It processes large datasets using an O(N) complexity algorithm, ensuring optimal performance while maintaining high code quality through comments and clear implementation details.</t>
        </is>
      </c>
      <c r="M1935" t="n">
        <v>0.0126</v>
      </c>
      <c r="N1935" t="n">
        <v>0.1667</v>
      </c>
      <c r="O1935" t="n">
        <v>0.3841</v>
      </c>
    </row>
    <row r="1936">
      <c r="A1936" t="inlineStr">
        <is>
          <t>sponge</t>
        </is>
      </c>
      <c r="B1936" t="inlineStr">
        <is>
          <t>src/main/java/org/spongepowered/api/block/BlockSnapshot.java</t>
        </is>
      </c>
      <c r="C1936">
        <f>HYPERLINK("https://github.com/SpongePowered/SpongeAPI/blob/master/src/main/java/org/spongepowered/api/block/BlockSnapshot.java")</f>
        <v/>
      </c>
      <c r="D1936" t="inlineStr">
        <is>
          <t>The provided code is a Java implementation of core algorithms with a time complexity of O(N). It includes comments explaining its purpose and functionality, as well as information about its license, authors, and usage. The README provides details about the repository's contents and structure.</t>
        </is>
      </c>
      <c r="E1936" t="n">
        <v>0.005</v>
      </c>
      <c r="F1936" t="n">
        <v>0.1481</v>
      </c>
      <c r="G1936" t="n">
        <v>0.1293</v>
      </c>
      <c r="H1936" t="inlineStr">
        <is>
          <t>Manages backend software components with complexity O(N).</t>
        </is>
      </c>
      <c r="I1936" t="n">
        <v>0.0286</v>
      </c>
      <c r="J1936" t="n">
        <v>0.125</v>
      </c>
      <c r="K1936" t="n">
        <v>0.0633</v>
      </c>
      <c r="L1936" t="inlineStr">
        <is>
          <t>This code implements backend software components for a project, focusing on core algorithm implementations. It has a time complexity of O(N), uses existing comments for clarity, and includes initial commits. The total size of the codebase is 1000 lines.</t>
        </is>
      </c>
      <c r="M1936" t="n">
        <v>0.0071</v>
      </c>
      <c r="N1936" t="n">
        <v>0.1667</v>
      </c>
      <c r="O1936" t="n">
        <v>0.2703</v>
      </c>
    </row>
    <row r="1937">
      <c r="A1937" t="inlineStr">
        <is>
          <t>sponge</t>
        </is>
      </c>
      <c r="B1937" t="inlineStr">
        <is>
          <t>src/main/java/org/spongepowered/api/block/BlockState.java</t>
        </is>
      </c>
      <c r="C1937">
        <f>HYPERLINK("https://github.com/SpongePowered/SpongeAPI/blob/master/src/main/java/org/spongepowered/api/block/BlockState.java")</f>
        <v/>
      </c>
      <c r="D1937" t="inlineStr">
        <is>
          <t>The provided code is a snippet from a README file for a repository containing backend software components. It includes licensing information, permissions for using the software, and details about its complexity, implementation, comments, commits, size, and purpose.</t>
        </is>
      </c>
      <c r="E1937" t="n">
        <v>0.006</v>
      </c>
      <c r="F1937" t="n">
        <v>0.1333</v>
      </c>
      <c r="G1937" t="n">
        <v>0.1376</v>
      </c>
      <c r="H1937" t="inlineStr">
        <is>
          <t>Manages backend software components with complex algorithm implementations.</t>
        </is>
      </c>
      <c r="I1937" t="n">
        <v>0.0278</v>
      </c>
      <c r="J1937" t="n">
        <v>0.25</v>
      </c>
      <c r="K1937" t="n">
        <v>0.0625</v>
      </c>
      <c r="L1937" t="inlineStr">
        <is>
          <t>This code implements core algorithms for backend software components, focusing on efficient data processing and manipulation tasks. It has a time complexity of O(N), indicating linear performance relative to input size. The implementation includes comments that describe the core functionalities, making it easier for developers to understand and maintain.</t>
        </is>
      </c>
      <c r="M1937" t="n">
        <v>0.01</v>
      </c>
      <c r="N1937" t="n">
        <v>0.2069</v>
      </c>
      <c r="O1937" t="n">
        <v>0.2066</v>
      </c>
    </row>
    <row r="1938">
      <c r="A1938" t="inlineStr">
        <is>
          <t>sponge</t>
        </is>
      </c>
      <c r="B1938" t="inlineStr">
        <is>
          <t>src/main/java/org/spongepowered/api/block/BlockTypes.java</t>
        </is>
      </c>
      <c r="C1938">
        <f>HYPERLINK("https://github.com/SpongePowered/SpongeAPI/blob/master/src/main/java/org/spongepowered/api/block/BlockTypes.java")</f>
        <v/>
      </c>
      <c r="D1938" t="inlineStr">
        <is>
          <t>The provided code is a backend software component that implements core algorithms with a time complexity of O(N). It includes comments explaining its implementation and structure. The code size is 1000 lines.</t>
        </is>
      </c>
      <c r="E1938" t="n">
        <v>0.0147</v>
      </c>
      <c r="F1938" t="n">
        <v>0.1951</v>
      </c>
      <c r="G1938" t="n">
        <v>0.3035</v>
      </c>
      <c r="H1938" t="inlineStr">
        <is>
          <t>The code implements core algorithms for a backend system. Complexity is O(N), indicating linear time complexity with respect to input size N. Comments explain the implementation details.</t>
        </is>
      </c>
      <c r="I1938" t="n">
        <v>0.0148</v>
      </c>
      <c r="J1938" t="n">
        <v>0.1111</v>
      </c>
      <c r="K1938" t="n">
        <v>0.1894</v>
      </c>
      <c r="L1938" t="inlineStr">
        <is>
          <t>This code implements core algorithms for backend software components, focusing on efficient data processing and manipulation tasks. It processes large datasets using an O(N) complexity algorithm, ensuring optimal performance while maintaining clarity through well-documented comments and structured code organization.</t>
        </is>
      </c>
      <c r="M1938" t="n">
        <v>0.0126</v>
      </c>
      <c r="N1938" t="n">
        <v>0.1633</v>
      </c>
      <c r="O1938" t="n">
        <v>0.3841</v>
      </c>
    </row>
    <row r="1939">
      <c r="A1939" t="inlineStr">
        <is>
          <t>sponge</t>
        </is>
      </c>
      <c r="B1939" t="inlineStr">
        <is>
          <t>src/main/java/org/spongepowered/api/block/BlockType.java</t>
        </is>
      </c>
      <c r="C1939">
        <f>HYPERLINK("https://github.com/SpongePowered/SpongeAPI/blob/master/src/main/java/org/spongepowered/api/block/BlockType.java")</f>
        <v/>
      </c>
      <c r="D1939" t="inlineStr">
        <is>
          <t>The provided code is a Java implementation of core algorithms with a time complexity of O(N). It includes comments explaining its purpose and usage, as well as a README detailing its contents and structure. The code size is 1000 lines.</t>
        </is>
      </c>
      <c r="E1939" t="n">
        <v>0.0055</v>
      </c>
      <c r="F1939" t="n">
        <v>0.1224</v>
      </c>
      <c r="G1939" t="n">
        <v>0.1339</v>
      </c>
      <c r="H1939" t="inlineStr">
        <is>
          <t>The repository contains backend software components with complexity O(N), implementing core algorithms. It includes comments explaining the implementation and has been committed initially. The total size of the codebase is 1000 lines.</t>
        </is>
      </c>
      <c r="I1939" t="n">
        <v>0.0077</v>
      </c>
      <c r="J1939" t="n">
        <v>0.1951</v>
      </c>
      <c r="K1939" t="n">
        <v>0.1923</v>
      </c>
      <c r="L1939" t="inlineStr">
        <is>
          <t>This code implements core algorithms for backend software components using a time complexity of O(N). It includes comments explaining implementation details and has been committed as part of the initial codebase. The total size of the codebase is 1000 lines.</t>
        </is>
      </c>
      <c r="M1939" t="n">
        <v>0.0123</v>
      </c>
      <c r="N1939" t="n">
        <v>0.1633</v>
      </c>
      <c r="O1939" t="n">
        <v>0.3807</v>
      </c>
    </row>
    <row r="1940">
      <c r="A1940" t="inlineStr">
        <is>
          <t>sponge</t>
        </is>
      </c>
      <c r="B1940" t="inlineStr">
        <is>
          <t>src/main/java/org/spongepowered/api/block/BlockSoundGroup.java</t>
        </is>
      </c>
      <c r="C1940">
        <f>HYPERLINK("https://github.com/SpongePowered/SpongeAPI/blob/master/src/main/java/org/spongepowered/api/block/BlockSoundGroup.java")</f>
        <v/>
      </c>
      <c r="D1940" t="inlineStr">
        <is>
          <t>The provided code is a backend software component that implements core algorithms with a time complexity of O(N). It includes comments explaining its implementation and structure. The code size is 1000 lines long.</t>
        </is>
      </c>
      <c r="E1940" t="n">
        <v>0.0142</v>
      </c>
      <c r="F1940" t="n">
        <v>0.1905</v>
      </c>
      <c r="G1940" t="n">
        <v>0.3006</v>
      </c>
      <c r="H1940" t="inlineStr">
        <is>
          <t>Manages backend software components with complex algorithm implementations.</t>
        </is>
      </c>
      <c r="I1940" t="n">
        <v>0.0278</v>
      </c>
      <c r="J1940" t="n">
        <v>0.25</v>
      </c>
      <c r="K1940" t="n">
        <v>0.0625</v>
      </c>
      <c r="L1940" t="inlineStr">
        <is>
          <t>This code implements core algorithms for backend software components using a complexity of O(N). It includes initial implementation comments and no specific context messages. The total size of the codebase is 1000 lines.</t>
        </is>
      </c>
      <c r="M1940" t="n">
        <v>0.015</v>
      </c>
      <c r="N1940" t="n">
        <v>0.1905</v>
      </c>
      <c r="O1940" t="n">
        <v>0.4061</v>
      </c>
    </row>
    <row r="1941">
      <c r="A1941" t="inlineStr">
        <is>
          <t>sponge</t>
        </is>
      </c>
      <c r="B1941" t="inlineStr">
        <is>
          <t>src/main/java/org/spongepowered/api/block/entity/Comparator.java</t>
        </is>
      </c>
      <c r="C1941">
        <f>HYPERLINK("https://github.com/SpongePowered/SpongeAPI/blob/master/src/main/java/org/spongepowered/api/block/entity/Comparator.java")</f>
        <v/>
      </c>
      <c r="D1941" t="inlineStr">
        <is>
          <t>The provided code is a Java class that implements core algorithms with a time complexity of O(N). It includes comments explaining its purpose, implementation details, and usage. The code size is 1000 lines.</t>
        </is>
      </c>
      <c r="E1941" t="n">
        <v>0.0132</v>
      </c>
      <c r="F1941" t="n">
        <v>0.1429</v>
      </c>
      <c r="G1941" t="n">
        <v>0.2434</v>
      </c>
      <c r="H1941" t="inlineStr">
        <is>
          <t>The repository contains backend software components with complexity O(N), implementing core algorithms. It includes comments explaining the implementation and has been committed initially. The total size of the codebase is 1000 lines.</t>
        </is>
      </c>
      <c r="I1941" t="n">
        <v>0.0077</v>
      </c>
      <c r="J1941" t="n">
        <v>0.1951</v>
      </c>
      <c r="K1941" t="n">
        <v>0.1923</v>
      </c>
      <c r="L1941" t="inlineStr">
        <is>
          <t>This code implements core algorithms for a backend software component, focusing on efficient data processing and manipulation. It handles various input types and provides clear output based on predefined rules, ensuring optimal performance and scalability.</t>
        </is>
      </c>
      <c r="M1941" t="n">
        <v>0.0141</v>
      </c>
      <c r="N1941" t="n">
        <v>0.186</v>
      </c>
      <c r="O1941" t="n">
        <v>0.3477</v>
      </c>
    </row>
    <row r="1942">
      <c r="A1942" t="inlineStr">
        <is>
          <t>sponge</t>
        </is>
      </c>
      <c r="B1942" t="inlineStr">
        <is>
          <t>src/main/java/org/spongepowered/api/block/entity/Sign.java</t>
        </is>
      </c>
      <c r="C1942">
        <f>HYPERLINK("https://github.com/SpongePowered/SpongeAPI/blob/master/src/main/java/org/spongepowered/api/block/entity/Sign.java")</f>
        <v/>
      </c>
      <c r="D1942" t="inlineStr">
        <is>
          <t>The provided code is a backend software component with complexity O(N), implementing core algorithms. It includes comments explaining its implementation and commits detailing the initial creation of the codebase. The total size of the code is 1000 lines.</t>
        </is>
      </c>
      <c r="E1942" t="n">
        <v>0.0064</v>
      </c>
      <c r="F1942" t="n">
        <v>0.1702</v>
      </c>
      <c r="G1942" t="n">
        <v>0.1818</v>
      </c>
      <c r="H1942" t="inlineStr">
        <is>
          <t>Manages backend software components with complex algorithm implementations.</t>
        </is>
      </c>
      <c r="I1942" t="n">
        <v>0.0278</v>
      </c>
      <c r="J1942" t="n">
        <v>0.25</v>
      </c>
      <c r="K1942" t="n">
        <v>0.0625</v>
      </c>
      <c r="L1942"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1942" t="n">
        <v>0.0123</v>
      </c>
      <c r="N1942" t="n">
        <v>0.1633</v>
      </c>
      <c r="O1942" t="n">
        <v>0.3807</v>
      </c>
    </row>
    <row r="1943">
      <c r="A1943" t="inlineStr">
        <is>
          <t>sponge</t>
        </is>
      </c>
      <c r="B1943" t="inlineStr">
        <is>
          <t>src/main/java/org/spongepowered/api/block/entity/Lectern.java</t>
        </is>
      </c>
      <c r="C1943">
        <f>HYPERLINK("https://github.com/SpongePowered/SpongeAPI/blob/master/src/main/java/org/spongepowered/api/block/entity/Lectern.java")</f>
        <v/>
      </c>
      <c r="D1943" t="inlineStr">
        <is>
          <t>The provided code is a backend software component that implements core algorithms with a time complexity of O(N). It includes comments explaining its implementation and structure, as well as details about its complexity and size.</t>
        </is>
      </c>
      <c r="E1943" t="n">
        <v>0.0134</v>
      </c>
      <c r="F1943" t="n">
        <v>0.1818</v>
      </c>
      <c r="G1943" t="n">
        <v>0.295</v>
      </c>
      <c r="H1943" t="inlineStr">
        <is>
          <t>This repository contains backend software components implementing core algorithms. Complexity is O(N). Comments describe implementation details. Initial codebase commit. Code size is 1000 lines.</t>
        </is>
      </c>
      <c r="I1943" t="n">
        <v>0.0104</v>
      </c>
      <c r="J1943" t="n">
        <v>0.2424</v>
      </c>
      <c r="K1943" t="n">
        <v>0.2083</v>
      </c>
      <c r="L1943" t="inlineStr">
        <is>
          <t>This code implements core algorithms for backend software components using a time complexity of O(N). It includes comments explaining implementation details and was initially committed as part of the initial codebase. The total size of the codebase is 1000 lines.</t>
        </is>
      </c>
      <c r="M1943" t="n">
        <v>0.0123</v>
      </c>
      <c r="N1943" t="n">
        <v>0.1633</v>
      </c>
      <c r="O1943" t="n">
        <v>0.3807</v>
      </c>
    </row>
    <row r="1944">
      <c r="A1944" t="inlineStr">
        <is>
          <t>sponge</t>
        </is>
      </c>
      <c r="B1944" t="inlineStr">
        <is>
          <t>src/main/java/org/spongepowered/api/block/entity/DecoratedPot.java</t>
        </is>
      </c>
      <c r="C1944">
        <f>HYPERLINK("https://github.com/SpongePowered/SpongeAPI/blob/master/src/main/java/org/spongepowered/api/block/entity/DecoratedPot.java")</f>
        <v/>
      </c>
      <c r="D1944" t="inlineStr">
        <is>
          <t>The provided code is a backend software component with complexity O(N), implementing core algorithms. It includes comments explaining its implementation and commits detailing the initial creation of the codebase. The total size of the code is 1000 lines.</t>
        </is>
      </c>
      <c r="E1944" t="n">
        <v>0.0064</v>
      </c>
      <c r="F1944" t="n">
        <v>0.1702</v>
      </c>
      <c r="G1944" t="n">
        <v>0.1818</v>
      </c>
      <c r="H1944" t="inlineStr">
        <is>
          <t>Manages backend software components with core algorithm implementations. Complexity is O(N).</t>
        </is>
      </c>
      <c r="I1944" t="n">
        <v>0.0224</v>
      </c>
      <c r="J1944" t="n">
        <v>0.2</v>
      </c>
      <c r="K1944" t="n">
        <v>0.1205</v>
      </c>
      <c r="L1944" t="inlineStr">
        <is>
          <t>This code implements core algorithms for backend software components using a complexity of O(N), focusing on efficient data processing and manipulation. It includes comments explaining implementation details and adheres to best practices for code readability and maintainability.</t>
        </is>
      </c>
      <c r="M1944" t="n">
        <v>0.0133</v>
      </c>
      <c r="N1944" t="n">
        <v>0.1739</v>
      </c>
      <c r="O1944" t="n">
        <v>0.3912</v>
      </c>
    </row>
    <row r="1945">
      <c r="A1945" t="inlineStr">
        <is>
          <t>sponge</t>
        </is>
      </c>
      <c r="B1945" t="inlineStr">
        <is>
          <t>src/main/java/org/spongepowered/api/block/entity/BlockEntityTypes.java</t>
        </is>
      </c>
      <c r="C1945">
        <f>HYPERLINK("https://github.com/SpongePowered/SpongeAPI/blob/master/src/main/java/org/spongepowered/api/block/entity/BlockEntityTypes.java")</f>
        <v/>
      </c>
      <c r="D1945" t="inlineStr">
        <is>
          <t>The provided code is a Java implementation of core algorithms with a time complexity of O(N). It includes comments explaining its purpose, complexity, and usage. The code size is 1000 lines.</t>
        </is>
      </c>
      <c r="E1945" t="n">
        <v>0.0072</v>
      </c>
      <c r="F1945" t="n">
        <v>0.15</v>
      </c>
      <c r="G1945" t="n">
        <v>0.1456</v>
      </c>
      <c r="H1945" t="inlineStr">
        <is>
          <t>Manages backend software components with complex algorithm implementations.</t>
        </is>
      </c>
      <c r="I1945" t="n">
        <v>0.0278</v>
      </c>
      <c r="J1945" t="n">
        <v>0.25</v>
      </c>
      <c r="K1945" t="n">
        <v>0.0625</v>
      </c>
      <c r="L1945" t="inlineStr">
        <is>
          <t>This code implements core algorithms for a backend software component, focusing on efficient data processing and manipulation tasks. It processes large datasets using an O(N) complexity algorithm, leveraging comments and existing implementation details to ensure clarity and maintainability.</t>
        </is>
      </c>
      <c r="M1945" t="n">
        <v>0.013</v>
      </c>
      <c r="N1945" t="n">
        <v>0.1702</v>
      </c>
      <c r="O1945" t="n">
        <v>0.3876</v>
      </c>
    </row>
    <row r="1946">
      <c r="A1946" t="inlineStr">
        <is>
          <t>sponge</t>
        </is>
      </c>
      <c r="B1946" t="inlineStr">
        <is>
          <t>src/main/java/org/spongepowered/api/block/entity/package-info.java</t>
        </is>
      </c>
      <c r="C1946">
        <f>HYPERLINK("https://github.com/SpongePowered/SpongeAPI/blob/master/src/main/java/org/spongepowered/api/block/entity/package-info.java")</f>
        <v/>
      </c>
      <c r="D1946" t="inlineStr">
        <is>
          <t>The provided code is a backend software component with complexity O(N), implementing core algorithms. It includes comments explaining its implementation and commits detailing the initial creation of the codebase. The total size of the code is 1000 lines.</t>
        </is>
      </c>
      <c r="E1946" t="n">
        <v>0.0064</v>
      </c>
      <c r="F1946" t="n">
        <v>0.1702</v>
      </c>
      <c r="G1946" t="n">
        <v>0.1818</v>
      </c>
      <c r="H1946" t="inlineStr">
        <is>
          <t>Manages backend software components with complexity O(N).</t>
        </is>
      </c>
      <c r="I1946" t="n">
        <v>0.0286</v>
      </c>
      <c r="J1946" t="n">
        <v>0.125</v>
      </c>
      <c r="K1946" t="n">
        <v>0.0633</v>
      </c>
      <c r="L1946" t="inlineStr">
        <is>
          <t>This code implements core algorithms for a backend software component, focusing on efficient data processing and manipulation. It processes large datasets using an O(N) complexity algorithm, ensuring optimal performance while maintaining clarity and maintainability through well-documented comments and initial implementation details.</t>
        </is>
      </c>
      <c r="M1946" t="n">
        <v>0.012</v>
      </c>
      <c r="N1946" t="n">
        <v>0.1569</v>
      </c>
      <c r="O1946" t="n">
        <v>0.3773</v>
      </c>
    </row>
    <row r="1947">
      <c r="A1947" t="inlineStr">
        <is>
          <t>sponge</t>
        </is>
      </c>
      <c r="B1947" t="inlineStr">
        <is>
          <t>src/main/java/org/spongepowered/api/block/entity/TrialSpawner.java</t>
        </is>
      </c>
      <c r="C1947">
        <f>HYPERLINK("https://github.com/SpongePowered/SpongeAPI/blob/master/src/main/java/org/spongepowered/api/block/entity/TrialSpawner.java")</f>
        <v/>
      </c>
      <c r="D1947" t="inlineStr">
        <is>
          <t>The provided code is a backend software component that implements core algorithms with a time complexity of O(N). It includes comments explaining its implementation and structure, as well as metadata about its license, ownership, and usage terms. The README provides information about the repository's contents and purpose.</t>
        </is>
      </c>
      <c r="E1947" t="n">
        <v>0.0098</v>
      </c>
      <c r="F1947" t="n">
        <v>0.1404</v>
      </c>
      <c r="G1947" t="n">
        <v>0.2652</v>
      </c>
      <c r="H1947" t="inlineStr">
        <is>
          <t>Manages backend software components with complexity O(N).</t>
        </is>
      </c>
      <c r="I1947" t="n">
        <v>0.0286</v>
      </c>
      <c r="J1947" t="n">
        <v>0.125</v>
      </c>
      <c r="K1947" t="n">
        <v>0.0633</v>
      </c>
      <c r="L1947" t="inlineStr">
        <is>
          <t>This code implements core algorithms for a backend software component, focusing on efficient data processing and manipulation tasks. It has a time complexity of O(N), indicating linear performance relative to input size, and includes comments that describe implementation details. The code base was initially committed as part of the initial codebase setup.</t>
        </is>
      </c>
      <c r="M1947" t="n">
        <v>0.0094</v>
      </c>
      <c r="N1947" t="n">
        <v>0.1311</v>
      </c>
      <c r="O1947" t="n">
        <v>0.3439</v>
      </c>
    </row>
    <row r="1948">
      <c r="A1948" t="inlineStr">
        <is>
          <t>sponge</t>
        </is>
      </c>
      <c r="B1948" t="inlineStr">
        <is>
          <t>src/main/java/org/spongepowered/api/block/entity/Piston.java</t>
        </is>
      </c>
      <c r="C1948">
        <f>HYPERLINK("https://github.com/SpongePowered/SpongeAPI/blob/master/src/main/java/org/spongepowered/api/block/entity/Piston.java")</f>
        <v/>
      </c>
      <c r="D1948" t="inlineStr">
        <is>
          <t>The provided code is a Java class that implements core algorithms with a time complexity of O(N). It includes comments explaining its purpose and implementation details, as well as metadata about its license, ownership, and usage terms. The README provides information about the repository's contents, while the commits section lists the initial creation of the codebase. The code size is 1000 lines.</t>
        </is>
      </c>
      <c r="E1948" t="n">
        <v>0.0069</v>
      </c>
      <c r="F1948" t="n">
        <v>0.0833</v>
      </c>
      <c r="G1948" t="n">
        <v>0.1907</v>
      </c>
      <c r="H1948" t="inlineStr">
        <is>
          <t>The code implements core algorithms for a backend system. Complexity is O(N), indicating linear time complexity with respect to input size N. Comments describe the implementation details. Commits include the initial creation of the codebase. Code size is 1000 lines.</t>
        </is>
      </c>
      <c r="I1948" t="n">
        <v>0.0098</v>
      </c>
      <c r="J1948" t="n">
        <v>0.08160000000000001</v>
      </c>
      <c r="K1948" t="n">
        <v>0.1674</v>
      </c>
      <c r="L1948" t="inlineStr">
        <is>
          <t>This file is part of SpongeAPI, which provides backend software components for various applications. It includes initial implementations of core algorithms, designed to handle complex data processing tasks efficiently. The code complexity is moderate, with a size of approximately 1000 lines, and it has been committed as part of the initial codebase.</t>
        </is>
      </c>
      <c r="M1948" t="n">
        <v>0.005</v>
      </c>
      <c r="N1948" t="n">
        <v>0.1667</v>
      </c>
      <c r="O1948" t="n">
        <v>0.2419</v>
      </c>
    </row>
    <row r="1949">
      <c r="A1949" t="inlineStr">
        <is>
          <t>sponge</t>
        </is>
      </c>
      <c r="B1949" t="inlineStr">
        <is>
          <t>src/main/java/org/spongepowered/api/block/entity/BlockEntity.java</t>
        </is>
      </c>
      <c r="C1949">
        <f>HYPERLINK("https://github.com/SpongePowered/SpongeAPI/blob/master/src/main/java/org/spongepowered/api/block/entity/BlockEntity.java")</f>
        <v/>
      </c>
      <c r="D1949" t="inlineStr">
        <is>
          <t>The provided code is a Java class that implements core algorithms with a time complexity of O(N). It includes comments explaining its purpose, implementation details, and usage. The code size is 1000 lines.</t>
        </is>
      </c>
      <c r="E1949" t="n">
        <v>0.0132</v>
      </c>
      <c r="F1949" t="n">
        <v>0.1429</v>
      </c>
      <c r="G1949" t="n">
        <v>0.2434</v>
      </c>
      <c r="H1949" t="inlineStr">
        <is>
          <t>This repository contains backend software components with complexity O(N), implementing core algorithms. It includes comments explaining the implementation and has been initialized with the first commit. The total size of the codebase is 1000 lines.</t>
        </is>
      </c>
      <c r="I1949" t="n">
        <v>0.0075</v>
      </c>
      <c r="J1949" t="n">
        <v>0.2273</v>
      </c>
      <c r="K1949" t="n">
        <v>0.2336</v>
      </c>
      <c r="L1949" t="inlineStr">
        <is>
          <t>This code implements core algorithms for a backend software component, focusing on efficient data processing and manipulation. It processes large datasets using an O(N) complexity algorithm, ensuring optimal performance while maintaining clarity through well-documented comments and initial implementation messages.</t>
        </is>
      </c>
      <c r="M1949" t="n">
        <v>0.0126</v>
      </c>
      <c r="N1949" t="n">
        <v>0.1633</v>
      </c>
      <c r="O1949" t="n">
        <v>0.3841</v>
      </c>
    </row>
    <row r="1950">
      <c r="A1950" t="inlineStr">
        <is>
          <t>sponge</t>
        </is>
      </c>
      <c r="B1950" t="inlineStr">
        <is>
          <t>src/main/java/org/spongepowered/api/block/entity/Bell.java</t>
        </is>
      </c>
      <c r="C1950">
        <f>HYPERLINK("https://github.com/SpongePowered/SpongeAPI/blob/master/src/main/java/org/spongepowered/api/block/entity/Bell.java")</f>
        <v/>
      </c>
      <c r="D1950" t="inlineStr">
        <is>
          <t>The provided code is a backend software component with a complexity of O(N). It implements core algorithms and includes comments explaining its implementation. The code size is 1000 lines.</t>
        </is>
      </c>
      <c r="E1950" t="n">
        <v>0.0163</v>
      </c>
      <c r="F1950" t="n">
        <v>0.2105</v>
      </c>
      <c r="G1950" t="n">
        <v>0.3125</v>
      </c>
      <c r="H1950" t="inlineStr">
        <is>
          <t>The code implements core algorithms for a backend system. It has a time complexity of \(O(N)\), where \(N\) represents the size of the input data. The implementation includes comments explaining its purpose and structure. The total code size is 1000 lines.</t>
        </is>
      </c>
      <c r="I1950" t="n">
        <v>0.0105</v>
      </c>
      <c r="J1950" t="n">
        <v>0.12</v>
      </c>
      <c r="K1950" t="n">
        <v>0.2262</v>
      </c>
      <c r="L1950" t="inlineStr">
        <is>
          <t>This code implements core algorithms for backend software components, focusing on efficient data processing and manipulation tasks. It handles various input scenarios and provides clear output results, ensuring robustness and scalability across different environments.</t>
        </is>
      </c>
      <c r="M1950" t="n">
        <v>0.0146</v>
      </c>
      <c r="N1950" t="n">
        <v>0.1905</v>
      </c>
      <c r="O1950" t="n">
        <v>0.3509</v>
      </c>
    </row>
    <row r="1951">
      <c r="A1951" t="inlineStr">
        <is>
          <t>sponge</t>
        </is>
      </c>
      <c r="B1951" t="inlineStr">
        <is>
          <t>src/main/java/org/spongepowered/api/block/entity/EndPortal.java</t>
        </is>
      </c>
      <c r="C1951">
        <f>HYPERLINK("https://github.com/SpongePowered/SpongeAPI/blob/master/src/main/java/org/spongepowered/api/block/entity/EndPortal.java")</f>
        <v/>
      </c>
      <c r="D1951" t="inlineStr">
        <is>
          <t>The provided code is a backend software component that implements core algorithms with a time complexity of O(N). It includes comments explaining its implementation and structure. The code size is 1000 lines.</t>
        </is>
      </c>
      <c r="E1951" t="n">
        <v>0.0147</v>
      </c>
      <c r="F1951" t="n">
        <v>0.1951</v>
      </c>
      <c r="G1951" t="n">
        <v>0.3035</v>
      </c>
      <c r="H1951" t="inlineStr">
        <is>
          <t>This repository contains backend software components with complexity O(N), implementing core algorithms. It includes comments explaining the implementation and was initialized with the first commit. The total size of the codebase is 1000 lines.</t>
        </is>
      </c>
      <c r="I1951" t="n">
        <v>0.0077</v>
      </c>
      <c r="J1951" t="n">
        <v>0.2326</v>
      </c>
      <c r="K1951" t="n">
        <v>0.2358</v>
      </c>
      <c r="L1951" t="inlineStr">
        <is>
          <t>This code provides the implementation of core algorithms for backend software components using Java, adhering to the MIT license. It includes comments explaining the implementation details and is designed to handle input data efficiently with a time complexity of O(N).</t>
        </is>
      </c>
      <c r="M1951" t="n">
        <v>0.0065</v>
      </c>
      <c r="N1951" t="n">
        <v>0.1633</v>
      </c>
      <c r="O1951" t="n">
        <v>0.2679</v>
      </c>
    </row>
    <row r="1952">
      <c r="A1952" t="inlineStr">
        <is>
          <t>sponge</t>
        </is>
      </c>
      <c r="B1952" t="inlineStr">
        <is>
          <t>src/main/java/org/spongepowered/api/block/entity/NameableBlockEntity.java</t>
        </is>
      </c>
      <c r="C1952">
        <f>HYPERLINK("https://github.com/SpongePowered/SpongeAPI/blob/master/src/main/java/org/spongepowered/api/block/entity/NameableBlockEntity.java")</f>
        <v/>
      </c>
      <c r="D1952" t="inlineStr">
        <is>
          <t>The provided code is a backend software component with a complexity of O(N). It implements core algorithms and includes comments explaining its implementation. The code size is 1000 lines.</t>
        </is>
      </c>
      <c r="E1952" t="n">
        <v>0.0163</v>
      </c>
      <c r="F1952" t="n">
        <v>0.2105</v>
      </c>
      <c r="G1952" t="n">
        <v>0.3125</v>
      </c>
      <c r="H1952" t="inlineStr">
        <is>
          <t>Manages backend software components with complex algorithm implementations.</t>
        </is>
      </c>
      <c r="I1952" t="n">
        <v>0.0278</v>
      </c>
      <c r="J1952" t="n">
        <v>0.25</v>
      </c>
      <c r="K1952" t="n">
        <v>0.0625</v>
      </c>
      <c r="L1952" t="inlineStr">
        <is>
          <t>This code implements core algorithms for backend software components, focusing on efficient data processing and manipulation. It uses a time complexity of O(N), making it suitable for large datasets. The implementation includes comments that provide context and clarity, enhancing both readability and maintainability.</t>
        </is>
      </c>
      <c r="M1952" t="n">
        <v>0.0114</v>
      </c>
      <c r="N1952" t="n">
        <v>0.1538</v>
      </c>
      <c r="O1952" t="n">
        <v>0.3708</v>
      </c>
    </row>
    <row r="1953">
      <c r="A1953" t="inlineStr">
        <is>
          <t>sponge</t>
        </is>
      </c>
      <c r="B1953" t="inlineStr">
        <is>
          <t>src/main/java/org/spongepowered/api/block/entity/BlockEntityType.java</t>
        </is>
      </c>
      <c r="C1953">
        <f>HYPERLINK("https://github.com/SpongePowered/SpongeAPI/blob/master/src/main/java/org/spongepowered/api/block/entity/BlockEntityType.java")</f>
        <v/>
      </c>
      <c r="D1953" t="inlineStr">
        <is>
          <t>The provided code is a snippet from a README file for a project that includes backend software components. It outlines the license information, permissions for using the software, and provides details about its complexity, implementation, comments, commits, size, and purpose.</t>
        </is>
      </c>
      <c r="E1953" t="n">
        <v>0.0055</v>
      </c>
      <c r="F1953" t="n">
        <v>0.125</v>
      </c>
      <c r="G1953" t="n">
        <v>0.1339</v>
      </c>
      <c r="H1953" t="inlineStr">
        <is>
          <t>This repository contains backend software components with complexity O(N), implementing core algorithms. It includes comments explaining the implementation and has been initialized with an initial codebase commit. The total size of the codebase is 1000 lines.</t>
        </is>
      </c>
      <c r="I1953" t="n">
        <v>0.0073</v>
      </c>
      <c r="J1953" t="n">
        <v>0.2222</v>
      </c>
      <c r="K1953" t="n">
        <v>0.2315</v>
      </c>
      <c r="L1953" t="inlineStr">
        <is>
          <t>This code implements backend software components for a platform that processes data using complex algorithms, handling inputs efficiently within a time complexity of O(N). It includes comments explaining the implementation of core algorithms and has been committed as part of an initial codebase.</t>
        </is>
      </c>
      <c r="M1953" t="n">
        <v>0.0064</v>
      </c>
      <c r="N1953" t="n">
        <v>0.1923</v>
      </c>
      <c r="O1953" t="n">
        <v>0.2609</v>
      </c>
    </row>
    <row r="1954">
      <c r="A1954" t="inlineStr">
        <is>
          <t>sponge</t>
        </is>
      </c>
      <c r="B1954" t="inlineStr">
        <is>
          <t>src/main/java/org/spongepowered/api/block/entity/EnderChest.java</t>
        </is>
      </c>
      <c r="C1954">
        <f>HYPERLINK("https://github.com/SpongePowered/SpongeAPI/blob/master/src/main/java/org/spongepowered/api/block/entity/EnderChest.java")</f>
        <v/>
      </c>
      <c r="D1954" t="inlineStr">
        <is>
          <t>The provided code is a Java class that implements core algorithms with a time complexity of O(N). It includes comments explaining its purpose and implementation details. The code size is 1000 lines.</t>
        </is>
      </c>
      <c r="E1954" t="n">
        <v>0.0137</v>
      </c>
      <c r="F1954" t="n">
        <v>0.1463</v>
      </c>
      <c r="G1954" t="n">
        <v>0.2457</v>
      </c>
      <c r="H1954" t="inlineStr">
        <is>
          <t>Manages backend software components with core algorithm implementations. Complexity is O(N).</t>
        </is>
      </c>
      <c r="I1954" t="n">
        <v>0.0224</v>
      </c>
      <c r="J1954" t="n">
        <v>0.2</v>
      </c>
      <c r="K1954" t="n">
        <v>0.1205</v>
      </c>
      <c r="L1954" t="inlineStr">
        <is>
          <t>This code implements backend software components for a project, focusing on core algorithm implementations that handle various functionalities efficiently using an average time complexity of O(N). It includes comments explaining the implementation details and adheres to best practices for code readability and maintainability.</t>
        </is>
      </c>
      <c r="M1954" t="n">
        <v>0.0064</v>
      </c>
      <c r="N1954" t="n">
        <v>0.1923</v>
      </c>
      <c r="O1954" t="n">
        <v>0.2609</v>
      </c>
    </row>
    <row r="1955">
      <c r="A1955" t="inlineStr">
        <is>
          <t>sponge</t>
        </is>
      </c>
      <c r="B1955" t="inlineStr">
        <is>
          <t>src/main/java/org/spongepowered/api/block/entity/Conduit.java</t>
        </is>
      </c>
      <c r="C1955">
        <f>HYPERLINK("https://github.com/SpongePowered/SpongeAPI/blob/master/src/main/java/org/spongepowered/api/block/entity/Conduit.java")</f>
        <v/>
      </c>
      <c r="D1955" t="inlineStr">
        <is>
          <t>The provided code is a snippet from a README file for a repository containing backend software components. It includes licensing information, permissions, and details about the complexity and implementation of core algorithms within the project. The comments explain that the code size is 1000 lines and provides links to initial commits and a more detailed complexity analysis.</t>
        </is>
      </c>
      <c r="E1955" t="n">
        <v>0.0042</v>
      </c>
      <c r="F1955" t="n">
        <v>0.1231</v>
      </c>
      <c r="G1955" t="n">
        <v>0.155</v>
      </c>
      <c r="H1955" t="inlineStr">
        <is>
          <t>This repository contains backend software components with complexity O(N), implementing core algorithms. It includes comments explaining the implementation and was initialized with the first commit. The total size of the codebase is 1000 lines.</t>
        </is>
      </c>
      <c r="I1955" t="n">
        <v>0.0077</v>
      </c>
      <c r="J1955" t="n">
        <v>0.2326</v>
      </c>
      <c r="K1955" t="n">
        <v>0.2358</v>
      </c>
      <c r="L1955" t="inlineStr">
        <is>
          <t>This code provides the implementation of core algorithms for a backend software component, focusing on efficient data processing and manipulation tasks. It handles various input scenarios and ensures optimal performance through optimized algorithms and comments that guide developers.</t>
        </is>
      </c>
      <c r="M1955" t="n">
        <v>0.0069</v>
      </c>
      <c r="N1955" t="n">
        <v>0.1739</v>
      </c>
      <c r="O1955" t="n">
        <v>0.2273</v>
      </c>
    </row>
    <row r="1956">
      <c r="A1956" t="inlineStr">
        <is>
          <t>sponge</t>
        </is>
      </c>
      <c r="B1956" t="inlineStr">
        <is>
          <t>src/main/java/org/spongepowered/api/block/entity/MobSpawner.java</t>
        </is>
      </c>
      <c r="C1956">
        <f>HYPERLINK("https://github.com/SpongePowered/SpongeAPI/blob/master/src/main/java/org/spongepowered/api/block/entity/MobSpawner.java")</f>
        <v/>
      </c>
      <c r="D1956" t="inlineStr">
        <is>
          <t>The provided code is a Java implementation of core algorithms with a time complexity of O(N). It includes comments explaining its purpose and usage, as well as details about its structure and size. The code is part of a larger project that focuses on backend software components.</t>
        </is>
      </c>
      <c r="E1956" t="n">
        <v>0.0051</v>
      </c>
      <c r="F1956" t="n">
        <v>0.1071</v>
      </c>
      <c r="G1956" t="n">
        <v>0.2101</v>
      </c>
      <c r="H1956" t="inlineStr">
        <is>
          <t>Manages backend software components with complex algorithm implementations.</t>
        </is>
      </c>
      <c r="I1956" t="n">
        <v>0.0278</v>
      </c>
      <c r="J1956" t="n">
        <v>0.25</v>
      </c>
      <c r="K1956" t="n">
        <v>0.0625</v>
      </c>
      <c r="L1956" t="inlineStr">
        <is>
          <t>This code implements core algorithms for backend software components using a complexity of O(N), incorporating comments that describe implementation details. It was initially committed as part of the initial codebase and has a size of 1000 lines.</t>
        </is>
      </c>
      <c r="M1956" t="n">
        <v>0.0133</v>
      </c>
      <c r="N1956" t="n">
        <v>0.1739</v>
      </c>
      <c r="O1956" t="n">
        <v>0.3912</v>
      </c>
    </row>
    <row r="1957">
      <c r="A1957" t="inlineStr">
        <is>
          <t>sponge</t>
        </is>
      </c>
      <c r="B1957" t="inlineStr">
        <is>
          <t>src/main/java/org/spongepowered/api/block/entity/Jigsaw.java</t>
        </is>
      </c>
      <c r="C1957">
        <f>HYPERLINK("https://github.com/SpongePowered/SpongeAPI/blob/master/src/main/java/org/spongepowered/api/block/entity/Jigsaw.java")</f>
        <v/>
      </c>
      <c r="D1957" t="inlineStr">
        <is>
          <t>The provided code is a Java implementation of core algorithms with a time complexity of O(N). It includes comments explaining its purpose and functionality, as well as details about its license, authors, and usage. The README provides information about the repository's contents, complexity, and commits. The total size of the code is 1000 lines.</t>
        </is>
      </c>
      <c r="E1957" t="n">
        <v>0.004</v>
      </c>
      <c r="F1957" t="n">
        <v>0.125</v>
      </c>
      <c r="G1957" t="n">
        <v>0.119</v>
      </c>
      <c r="H1957" t="inlineStr">
        <is>
          <t>Manages backend software components with core algorithm implementations. Complexity is O(N).</t>
        </is>
      </c>
      <c r="I1957" t="n">
        <v>0.0224</v>
      </c>
      <c r="J1957" t="n">
        <v>0.2</v>
      </c>
      <c r="K1957" t="n">
        <v>0.1205</v>
      </c>
      <c r="L1957" t="inlineStr">
        <is>
          <t>This file contains backend software components that implement core algorithms for processing data efficiently, with a time complexity of O(N). It includes initial implementation commits and comments indicating its role as part of the overall system. The code size is 1000 lines, reflecting its importance in handling various data processing tasks within the application.</t>
        </is>
      </c>
      <c r="M1957" t="n">
        <v>0.0048</v>
      </c>
      <c r="N1957" t="n">
        <v>0.1587</v>
      </c>
      <c r="O1957" t="n">
        <v>0.2381</v>
      </c>
    </row>
    <row r="1958">
      <c r="A1958" t="inlineStr">
        <is>
          <t>sponge</t>
        </is>
      </c>
      <c r="B1958" t="inlineStr">
        <is>
          <t>src/main/java/org/spongepowered/api/block/entity/CommandBlock.java</t>
        </is>
      </c>
      <c r="C1958">
        <f>HYPERLINK("https://github.com/SpongePowered/SpongeAPI/blob/master/src/main/java/org/spongepowered/api/block/entity/CommandBlock.java")</f>
        <v/>
      </c>
      <c r="D1958" t="inlineStr">
        <is>
          <t>The provided code is a Java class that implements core algorithms with a time complexity of O(N). It includes comments explaining its implementation and structure. The code size is 1000 lines long.</t>
        </is>
      </c>
      <c r="E1958" t="n">
        <v>0.0137</v>
      </c>
      <c r="F1958" t="n">
        <v>0.1463</v>
      </c>
      <c r="G1958" t="n">
        <v>0.2457</v>
      </c>
      <c r="H1958" t="inlineStr">
        <is>
          <t>Manages backend software components with complex algorithm implementations.</t>
        </is>
      </c>
      <c r="I1958" t="n">
        <v>0.0278</v>
      </c>
      <c r="J1958" t="n">
        <v>0.25</v>
      </c>
      <c r="K1958" t="n">
        <v>0.0625</v>
      </c>
      <c r="L1958" t="inlineStr">
        <is>
          <t>This code implements core algorithms for backend software components, focusing on efficient data processing and manipulation tasks. It has a time complexity of O(N), indicating linear performance relative to input size, and includes comments that describe implementation details. The codebase was initially committed, making it suitable for integration into larger projects.</t>
        </is>
      </c>
      <c r="M1958" t="n">
        <v>0.009599999999999999</v>
      </c>
      <c r="N1958" t="n">
        <v>0.1333</v>
      </c>
      <c r="O1958" t="n">
        <v>0.3024</v>
      </c>
    </row>
    <row r="1959">
      <c r="A1959" t="inlineStr">
        <is>
          <t>sponge</t>
        </is>
      </c>
      <c r="B1959" t="inlineStr">
        <is>
          <t>src/main/java/org/spongepowered/api/block/entity/Skull.java</t>
        </is>
      </c>
      <c r="C1959">
        <f>HYPERLINK("https://github.com/SpongePowered/SpongeAPI/blob/master/src/main/java/org/spongepowered/api/block/entity/Skull.java")</f>
        <v/>
      </c>
      <c r="D1959" t="inlineStr">
        <is>
          <t>The provided code is a backend software component that implements core algorithms with a time complexity of O(N). It includes comments explaining its implementation and structure. The code size is 1000 lines long.</t>
        </is>
      </c>
      <c r="E1959" t="n">
        <v>0.0142</v>
      </c>
      <c r="F1959" t="n">
        <v>0.1905</v>
      </c>
      <c r="G1959" t="n">
        <v>0.3006</v>
      </c>
      <c r="H1959" t="inlineStr">
        <is>
          <t>The code implements core algorithms for a backend system. Complexity is O(N), indicating linear time complexity with respect to input size N. Comments explain the implementation details, while commits track the initial creation of the codebase. The total code size is 1000 lines.</t>
        </is>
      </c>
      <c r="I1959" t="n">
        <v>0.0091</v>
      </c>
      <c r="J1959" t="n">
        <v>0.0769</v>
      </c>
      <c r="K1959" t="n">
        <v>0.163</v>
      </c>
      <c r="L1959" t="inlineStr">
        <is>
          <t>This file is part of the Sponge API project, which provides backend software components for various applications. It includes initial implementations of core algorithms, ensuring efficient performance with a time complexity of \(O(N)\). The code size is approximately 1000 lines, and existing comments provide context for the implementation details.</t>
        </is>
      </c>
      <c r="M1959" t="n">
        <v>0.0053</v>
      </c>
      <c r="N1959" t="n">
        <v>0.1724</v>
      </c>
      <c r="O1959" t="n">
        <v>0.2479</v>
      </c>
    </row>
    <row r="1960">
      <c r="A1960" t="inlineStr">
        <is>
          <t>sponge</t>
        </is>
      </c>
      <c r="B1960" t="inlineStr">
        <is>
          <t>src/main/java/org/spongepowered/api/block/entity/EndGateway.java</t>
        </is>
      </c>
      <c r="C1960">
        <f>HYPERLINK("https://github.com/SpongePowered/SpongeAPI/blob/master/src/main/java/org/spongepowered/api/block/entity/EndGateway.java")</f>
        <v/>
      </c>
      <c r="D1960" t="inlineStr">
        <is>
          <t>The provided code is a Java class that implements core algorithms with a time complexity of O(N). It includes comments explaining its implementation and structure, as well as metadata about its license, authors, and purpose. The README provides information about the repository's contents, complexity, and usage instructions.</t>
        </is>
      </c>
      <c r="E1960" t="n">
        <v>0.0091</v>
      </c>
      <c r="F1960" t="n">
        <v>0.1053</v>
      </c>
      <c r="G1960" t="n">
        <v>0.2148</v>
      </c>
      <c r="H1960" t="inlineStr">
        <is>
          <t>The repository contains backend software components with complexity O(N), implementing core algorithms. It includes comments explaining the implementation and has been committed initially. The total size of the codebase is 1000 lines.</t>
        </is>
      </c>
      <c r="I1960" t="n">
        <v>0.0077</v>
      </c>
      <c r="J1960" t="n">
        <v>0.1951</v>
      </c>
      <c r="K1960" t="n">
        <v>0.1923</v>
      </c>
      <c r="L1960" t="inlineStr">
        <is>
          <t>This file is part of SpongeAPI, which provides backend software components for various applications. It includes implementation of core algorithms that handle data processing and manipulation efficiently, ensuring optimal performance with a time complexity of O(N). The code size is 1000 lines, and existing comments provide context about the initial codebase commit.</t>
        </is>
      </c>
      <c r="M1960" t="n">
        <v>0.005</v>
      </c>
      <c r="N1960" t="n">
        <v>0.1639</v>
      </c>
      <c r="O1960" t="n">
        <v>0.2419</v>
      </c>
    </row>
    <row r="1961">
      <c r="A1961" t="inlineStr">
        <is>
          <t>sponge</t>
        </is>
      </c>
      <c r="B1961" t="inlineStr">
        <is>
          <t>src/main/java/org/spongepowered/api/block/entity/SculkSensor.java</t>
        </is>
      </c>
      <c r="C1961">
        <f>HYPERLINK("https://github.com/SpongePowered/SpongeAPI/blob/master/src/main/java/org/spongepowered/api/block/entity/SculkSensor.java")</f>
        <v/>
      </c>
      <c r="D1961" t="inlineStr">
        <is>
          <t>The provided code is a Java class that implements core algorithms with a time complexity of O(N). It includes comments explaining its implementation and structure. The README provides information about the repository's purpose and content.</t>
        </is>
      </c>
      <c r="E1961" t="n">
        <v>0.0124</v>
      </c>
      <c r="F1961" t="n">
        <v>0.1333</v>
      </c>
      <c r="G1961" t="n">
        <v>0.2388</v>
      </c>
      <c r="H1961" t="inlineStr">
        <is>
          <t>The code implements core algorithms for backend software components. Complexity is O(N), indicating linear time complexity with respect to input size N. Comments provide details about the implementation, while commits record the initial creation of the codebase. The total code size is 1000 lines.</t>
        </is>
      </c>
      <c r="I1961" t="n">
        <v>0.0098</v>
      </c>
      <c r="J1961" t="n">
        <v>0.0755</v>
      </c>
      <c r="K1961" t="n">
        <v>0.2203</v>
      </c>
      <c r="L1961" t="inlineStr">
        <is>
          <t>This code implements core algorithms for backend software components, focusing on efficient data processing and manipulation tasks. It uses a time complexity of O(N), indicating linear performance relative to input size. The implementation includes comments that provide context and clarify the core functionalities.</t>
        </is>
      </c>
      <c r="M1961" t="n">
        <v>0.0114</v>
      </c>
      <c r="N1961" t="n">
        <v>0.1923</v>
      </c>
      <c r="O1961" t="n">
        <v>0.2609</v>
      </c>
    </row>
    <row r="1962">
      <c r="A1962" t="inlineStr">
        <is>
          <t>sponge</t>
        </is>
      </c>
      <c r="B1962" t="inlineStr">
        <is>
          <t>src/main/java/org/spongepowered/api/block/entity/Banner.java</t>
        </is>
      </c>
      <c r="C1962">
        <f>HYPERLINK("https://github.com/SpongePowered/SpongeAPI/blob/master/src/main/java/org/spongepowered/api/block/entity/Banner.java")</f>
        <v/>
      </c>
      <c r="D1962" t="inlineStr">
        <is>
          <t>The provided code is a Java implementation of core algorithms with a time complexity of O(N). It includes comments explaining its purpose and functionality, as well as a README detailing its usage and structure. The code size is 1000 lines.</t>
        </is>
      </c>
      <c r="E1962" t="n">
        <v>0.0055</v>
      </c>
      <c r="F1962" t="n">
        <v>0.1633</v>
      </c>
      <c r="G1962" t="n">
        <v>0.1339</v>
      </c>
      <c r="H1962" t="inlineStr">
        <is>
          <t>Manages backend software components with complex algorithm implementations.</t>
        </is>
      </c>
      <c r="I1962" t="n">
        <v>0.0278</v>
      </c>
      <c r="J1962" t="n">
        <v>0.25</v>
      </c>
      <c r="K1962" t="n">
        <v>0.0625</v>
      </c>
      <c r="L1962" t="inlineStr">
        <is>
          <t>This code implements core algorithms for backend software components, handling input/output operations efficiently with a time complexity of O(N). It includes comments explaining implementation details and has been committed as part of an initial codebase. The total size of the codebase is 1000 lines.</t>
        </is>
      </c>
      <c r="M1962" t="n">
        <v>0.0111</v>
      </c>
      <c r="N1962" t="n">
        <v>0.1481</v>
      </c>
      <c r="O1962" t="n">
        <v>0.3676</v>
      </c>
    </row>
    <row r="1963">
      <c r="A1963" t="inlineStr">
        <is>
          <t>sponge</t>
        </is>
      </c>
      <c r="B1963" t="inlineStr">
        <is>
          <t>src/main/java/org/spongepowered/api/block/entity/DaylightDetector.java</t>
        </is>
      </c>
      <c r="C1963">
        <f>HYPERLINK("https://github.com/SpongePowered/SpongeAPI/blob/master/src/main/java/org/spongepowered/api/block/entity/DaylightDetector.java")</f>
        <v/>
      </c>
      <c r="D1963" t="inlineStr">
        <is>
          <t>The provided code is a Java implementation of core algorithms with a time complexity of O(N). It includes comments explaining its purpose, complexity analysis, and commits history. The code size is 1000 lines.</t>
        </is>
      </c>
      <c r="E1963" t="n">
        <v>0.0067</v>
      </c>
      <c r="F1963" t="n">
        <v>0.1429</v>
      </c>
      <c r="G1963" t="n">
        <v>0.1429</v>
      </c>
      <c r="H1963" t="inlineStr">
        <is>
          <t>Manages backend software components with complexity O(N).</t>
        </is>
      </c>
      <c r="I1963" t="n">
        <v>0.0286</v>
      </c>
      <c r="J1963" t="n">
        <v>0.125</v>
      </c>
      <c r="K1963" t="n">
        <v>0.0633</v>
      </c>
      <c r="L1963" t="inlineStr">
        <is>
          <t>This code implements core algorithms for backend software components, focusing on efficient data processing and manipulation. It processes large datasets using an O(N) complexity algorithm, ensuring optimal performance while maintaining clarity and maintainability through well-documented comments and structured code organization.</t>
        </is>
      </c>
      <c r="M1963" t="n">
        <v>0.0123</v>
      </c>
      <c r="N1963" t="n">
        <v>0.16</v>
      </c>
      <c r="O1963" t="n">
        <v>0.3807</v>
      </c>
    </row>
    <row r="1964">
      <c r="A1964" t="inlineStr">
        <is>
          <t>sponge</t>
        </is>
      </c>
      <c r="B1964" t="inlineStr">
        <is>
          <t>src/main/java/org/spongepowered/api/block/entity/StructureBlock.java</t>
        </is>
      </c>
      <c r="C1964">
        <f>HYPERLINK("https://github.com/SpongePowered/SpongeAPI/blob/master/src/main/java/org/spongepowered/api/block/entity/StructureBlock.java")</f>
        <v/>
      </c>
      <c r="D1964" t="inlineStr">
        <is>
          <t>The provided code is a snippet from a README file for a repository containing backend software components. It includes licensing information, permissions for usage, and details about the complexity of the implementation as O(N). The comments indicate that it implements core algorithms and provides initial codebase commit details. The total size of the code is 1000 lines.</t>
        </is>
      </c>
      <c r="E1964" t="n">
        <v>0.0081</v>
      </c>
      <c r="F1964" t="n">
        <v>0.1212</v>
      </c>
      <c r="G1964" t="n">
        <v>0.2447</v>
      </c>
      <c r="H1964" t="inlineStr">
        <is>
          <t>Manages backend software components with complex algorithm implementations.</t>
        </is>
      </c>
      <c r="I1964" t="n">
        <v>0.0278</v>
      </c>
      <c r="J1964" t="n">
        <v>0.25</v>
      </c>
      <c r="K1964" t="n">
        <v>0.0625</v>
      </c>
      <c r="L1964" t="inlineStr">
        <is>
          <t>This code implements core algorithms for a backend software component, focusing on efficient data processing and manipulation tasks. It handles various input scenarios and provides robust output based on predefined rules and constraints.</t>
        </is>
      </c>
      <c r="M1964" t="n">
        <v>0.015</v>
      </c>
      <c r="N1964" t="n">
        <v>0.1951</v>
      </c>
      <c r="O1964" t="n">
        <v>0.3543</v>
      </c>
    </row>
    <row r="1965">
      <c r="A1965" t="inlineStr">
        <is>
          <t>sponge</t>
        </is>
      </c>
      <c r="B1965" t="inlineStr">
        <is>
          <t>src/main/java/org/spongepowered/api/block/entity/EnchantmentTable.java</t>
        </is>
      </c>
      <c r="C1965">
        <f>HYPERLINK("https://github.com/SpongePowered/SpongeAPI/blob/master/src/main/java/org/spongepowered/api/block/entity/EnchantmentTable.java")</f>
        <v/>
      </c>
      <c r="D1965" t="inlineStr">
        <is>
          <t>The provided code is a Java class that implements core algorithms with a time complexity of O(N). It includes comments explaining its purpose, implementation details, and usage. The code size is 1000 lines.</t>
        </is>
      </c>
      <c r="E1965" t="n">
        <v>0.0132</v>
      </c>
      <c r="F1965" t="n">
        <v>0.1429</v>
      </c>
      <c r="G1965" t="n">
        <v>0.2434</v>
      </c>
      <c r="H1965" t="inlineStr">
        <is>
          <t>This repository contains backend software components with complexity O(N), implementing core algorithms. It includes comments explaining the implementation and has been committed as the initial codebase. The total size of the codebase is 1000 lines.</t>
        </is>
      </c>
      <c r="I1965" t="n">
        <v>0.0075</v>
      </c>
      <c r="J1965" t="n">
        <v>0.2273</v>
      </c>
      <c r="K1965" t="n">
        <v>0.2336</v>
      </c>
      <c r="L1965" t="inlineStr">
        <is>
          <t>This code implements core algorithms for backend software components, focusing on efficient data processing and manipulation tasks. It uses a time complexity of O(N), making it suitable for handling large datasets effectively. The implementation includes comments that provide context and explain the core functionalities.</t>
        </is>
      </c>
      <c r="M1965" t="n">
        <v>0.0111</v>
      </c>
      <c r="N1965" t="n">
        <v>0.1887</v>
      </c>
      <c r="O1965" t="n">
        <v>0.2586</v>
      </c>
    </row>
    <row r="1966">
      <c r="A1966" t="inlineStr">
        <is>
          <t>sponge</t>
        </is>
      </c>
      <c r="B1966" t="inlineStr">
        <is>
          <t>src/main/java/org/spongepowered/api/block/entity/Beehive.java</t>
        </is>
      </c>
      <c r="C1966">
        <f>HYPERLINK("https://github.com/SpongePowered/SpongeAPI/blob/master/src/main/java/org/spongepowered/api/block/entity/Beehive.java")</f>
        <v/>
      </c>
      <c r="D1966" t="inlineStr">
        <is>
          <t>The provided code is a Java class that implements core algorithms with a time complexity of O(N). It includes comments explaining its purpose and implementation details. The code size is 1000 lines long.</t>
        </is>
      </c>
      <c r="E1966" t="n">
        <v>0.0132</v>
      </c>
      <c r="F1966" t="n">
        <v>0.1429</v>
      </c>
      <c r="G1966" t="n">
        <v>0.2434</v>
      </c>
      <c r="H1966" t="inlineStr">
        <is>
          <t>Manages backend software components with complexity O(N).</t>
        </is>
      </c>
      <c r="I1966" t="n">
        <v>0.0286</v>
      </c>
      <c r="J1966" t="n">
        <v>0.125</v>
      </c>
      <c r="K1966" t="n">
        <v>0.0633</v>
      </c>
      <c r="L1966" t="inlineStr">
        <is>
          <t>This code implements backend software components for a project, focusing on core algorithm implementations that handle various functionalities related to data processing and management. It has a time complexity of O(N), indicating linear performance relative to input size, and includes comments explaining the implementation of these algorithms.</t>
        </is>
      </c>
      <c r="M1966" t="n">
        <v>0.0058</v>
      </c>
      <c r="N1966" t="n">
        <v>0.1786</v>
      </c>
      <c r="O1966" t="n">
        <v>0.2521</v>
      </c>
    </row>
    <row r="1967">
      <c r="A1967" t="inlineStr">
        <is>
          <t>sponge</t>
        </is>
      </c>
      <c r="B1967" t="inlineStr">
        <is>
          <t>src/main/java/org/spongepowered/api/block/entity/Jukebox.java</t>
        </is>
      </c>
      <c r="C1967">
        <f>HYPERLINK("https://github.com/SpongePowered/SpongeAPI/blob/master/src/main/java/org/spongepowered/api/block/entity/Jukebox.java")</f>
        <v/>
      </c>
      <c r="D1967" t="inlineStr">
        <is>
          <t>The provided code is a backend software component with a complexity of O(N). It implements core algorithms and includes comments explaining its implementation. The code size is 1000 lines long.</t>
        </is>
      </c>
      <c r="E1967" t="n">
        <v>0.0157</v>
      </c>
      <c r="F1967" t="n">
        <v>0.2051</v>
      </c>
      <c r="G1967" t="n">
        <v>0.3094</v>
      </c>
      <c r="H1967" t="inlineStr">
        <is>
          <t>The repository contains backend software components with complexity O(N), implementing core algorithms. It includes comments explaining the implementation and has been committed initially. The total size of the codebase is 1000 lines.</t>
        </is>
      </c>
      <c r="I1967" t="n">
        <v>0.0077</v>
      </c>
      <c r="J1967" t="n">
        <v>0.1951</v>
      </c>
      <c r="K1967" t="n">
        <v>0.1923</v>
      </c>
      <c r="L1967" t="inlineStr">
        <is>
          <t>This file is part of the SpongeAPI project, which provides backend software components for various applications. It includes initial implementation of core algorithms, adhering to a time complexity of O(N). The code size is 1000 lines, and comments provide context about the existing implementation.</t>
        </is>
      </c>
      <c r="M1967" t="n">
        <v>0.0059</v>
      </c>
      <c r="N1967" t="n">
        <v>0.1887</v>
      </c>
      <c r="O1967" t="n">
        <v>0.2586</v>
      </c>
    </row>
    <row r="1968">
      <c r="A1968" t="inlineStr">
        <is>
          <t>sponge</t>
        </is>
      </c>
      <c r="B1968" t="inlineStr">
        <is>
          <t>src/main/java/org/spongepowered/api/block/entity/Bed.java</t>
        </is>
      </c>
      <c r="C1968">
        <f>HYPERLINK("https://github.com/SpongePowered/SpongeAPI/blob/master/src/main/java/org/spongepowered/api/block/entity/Bed.java")</f>
        <v/>
      </c>
      <c r="D1968" t="inlineStr">
        <is>
          <t>The provided code is a snippet from a README file for a backend software project. It includes licensing information, permissions, and details about the complexity, comments, commits, and size of the codebase. The main purpose of the README is to provide overview and context for the project's structure and development history.</t>
        </is>
      </c>
      <c r="E1968" t="n">
        <v>0.0043</v>
      </c>
      <c r="F1968" t="n">
        <v>0.0667</v>
      </c>
      <c r="G1968" t="n">
        <v>0.0813</v>
      </c>
      <c r="H1968" t="inlineStr">
        <is>
          <t>Manages backend software components with complex algorithm implementations.</t>
        </is>
      </c>
      <c r="I1968" t="n">
        <v>0.0278</v>
      </c>
      <c r="J1968" t="n">
        <v>0.25</v>
      </c>
      <c r="K1968" t="n">
        <v>0.0625</v>
      </c>
      <c r="L1968" t="inlineStr">
        <is>
          <t>This code implements core algorithms for backend software components, focusing on efficient data processing and manipulation. It processes large datasets using an O(N) complexity algorithm, ensuring optimal performance while maintaining clarity and maintainability through well-documented comments and initial implementation commits.</t>
        </is>
      </c>
      <c r="M1968" t="n">
        <v>0.0123</v>
      </c>
      <c r="N1968" t="n">
        <v>0.16</v>
      </c>
      <c r="O1968" t="n">
        <v>0.3807</v>
      </c>
    </row>
    <row r="1969">
      <c r="A1969" t="inlineStr">
        <is>
          <t>sponge</t>
        </is>
      </c>
      <c r="B1969" t="inlineStr">
        <is>
          <t>src/main/java/org/spongepowered/api/block/entity/BlockEntityArchetype.java</t>
        </is>
      </c>
      <c r="C1969">
        <f>HYPERLINK("https://github.com/SpongePowered/SpongeAPI/blob/master/src/main/java/org/spongepowered/api/block/entity/BlockEntityArchetype.java")</f>
        <v/>
      </c>
      <c r="D1969" t="inlineStr">
        <is>
          <t>The provided code is a Java implementation of core algorithms with a time complexity of O(N). It includes comments explaining its purpose and usage, as well as information about its license and repository structure. The code size is 1000 lines.</t>
        </is>
      </c>
      <c r="E1969" t="n">
        <v>0.0055</v>
      </c>
      <c r="F1969" t="n">
        <v>0.1224</v>
      </c>
      <c r="G1969" t="n">
        <v>0.1339</v>
      </c>
      <c r="H1969" t="inlineStr">
        <is>
          <t>Manages backend software components with complex algorithm implementations.</t>
        </is>
      </c>
      <c r="I1969" t="n">
        <v>0.0278</v>
      </c>
      <c r="J1969" t="n">
        <v>0.25</v>
      </c>
      <c r="K1969" t="n">
        <v>0.0625</v>
      </c>
      <c r="L1969" t="inlineStr">
        <is>
          <t>This code implements core algorithms for backend software components, focusing on efficient data processing and manipulation. It handles various inputs and outputs according to specified requirements, ensuring high performance and scalability.</t>
        </is>
      </c>
      <c r="M1969" t="n">
        <v>0.016</v>
      </c>
      <c r="N1969" t="n">
        <v>0.2051</v>
      </c>
      <c r="O1969" t="n">
        <v>0.3612</v>
      </c>
    </row>
    <row r="1970">
      <c r="A1970" t="inlineStr">
        <is>
          <t>sponge</t>
        </is>
      </c>
      <c r="B1970" t="inlineStr">
        <is>
          <t>src/main/java/org/spongepowered/api/block/entity/carrier/Barrel.java</t>
        </is>
      </c>
      <c r="C1970">
        <f>HYPERLINK("https://github.com/SpongePowered/SpongeAPI/blob/master/src/main/java/org/spongepowered/api/block/entity/carrier/Barrel.java")</f>
        <v/>
      </c>
      <c r="D1970" t="inlineStr">
        <is>
          <t>The provided code is a Java class that implements core algorithms with a time complexity of O(N). It includes comments explaining its purpose and implementation details. The code size is 1000 lines long.</t>
        </is>
      </c>
      <c r="E1970" t="n">
        <v>0.0132</v>
      </c>
      <c r="F1970" t="n">
        <v>0.1429</v>
      </c>
      <c r="G1970" t="n">
        <v>0.2434</v>
      </c>
      <c r="H1970" t="inlineStr">
        <is>
          <t>This repository contains backend software components with complexity O(N), implementing core algorithms. It includes comments explaining the implementation details and was initially committed. The total size of the codebase is 1000 lines.</t>
        </is>
      </c>
      <c r="I1970" t="n">
        <v>0.0083</v>
      </c>
      <c r="J1970" t="n">
        <v>0.2439</v>
      </c>
      <c r="K1970" t="n">
        <v>0.2404</v>
      </c>
      <c r="L1970" t="inlineStr">
        <is>
          <t>This code implements core algorithms for backend software components using a complexity of O(N). It includes comments explaining implementation details and has been committed as the initial codebase version. The total size of the codebase is 1000 lines.</t>
        </is>
      </c>
      <c r="M1970" t="n">
        <v>0.013</v>
      </c>
      <c r="N1970" t="n">
        <v>0.1702</v>
      </c>
      <c r="O1970" t="n">
        <v>0.3876</v>
      </c>
    </row>
    <row r="1971">
      <c r="A1971" t="inlineStr">
        <is>
          <t>sponge</t>
        </is>
      </c>
      <c r="B1971" t="inlineStr">
        <is>
          <t>src/main/java/org/spongepowered/api/block/entity/carrier/Dispenser.java</t>
        </is>
      </c>
      <c r="C1971">
        <f>HYPERLINK("https://github.com/SpongePowered/SpongeAPI/blob/master/src/main/java/org/spongepowered/api/block/entity/carrier/Dispenser.java")</f>
        <v/>
      </c>
      <c r="D1971" t="inlineStr">
        <is>
          <t>The provided code is a Java implementation of core algorithms with a time complexity of O(N). It includes comments explaining its purpose and structure, as well as details about its license and usage. The code size is 1000 lines.</t>
        </is>
      </c>
      <c r="E1971" t="n">
        <v>0.0056</v>
      </c>
      <c r="F1971" t="n">
        <v>0.125</v>
      </c>
      <c r="G1971" t="n">
        <v>0.1351</v>
      </c>
      <c r="H1971" t="inlineStr">
        <is>
          <t>This repository contains backend software components with complexity O(N), implementing core algorithms. It includes comments explaining the implementation.</t>
        </is>
      </c>
      <c r="I1971" t="n">
        <v>0.0142</v>
      </c>
      <c r="J1971" t="n">
        <v>0.2963</v>
      </c>
      <c r="K1971" t="n">
        <v>0.3507</v>
      </c>
      <c r="L1971" t="inlineStr">
        <is>
          <t>This file contains backend software components that implement core algorithms for processing data efficiently, adhering to a time complexity of O(N). It includes comments explaining the implementation of these algorithms and was initially committed as part of the initial codebase. The total size of the file is 1000 lines.</t>
        </is>
      </c>
      <c r="M1971" t="n">
        <v>0.0053</v>
      </c>
      <c r="N1971" t="n">
        <v>0.1724</v>
      </c>
      <c r="O1971" t="n">
        <v>0.2479</v>
      </c>
    </row>
    <row r="1972">
      <c r="A1972" t="inlineStr">
        <is>
          <t>sponge</t>
        </is>
      </c>
      <c r="B1972" t="inlineStr">
        <is>
          <t>src/main/java/org/spongepowered/api/block/entity/carrier/Dropper.java</t>
        </is>
      </c>
      <c r="C1972">
        <f>HYPERLINK("https://github.com/SpongePowered/SpongeAPI/blob/master/src/main/java/org/spongepowered/api/block/entity/carrier/Dropper.java")</f>
        <v/>
      </c>
      <c r="D1972" t="inlineStr">
        <is>
          <t>The provided code is a Java class that implements core algorithms with a time complexity of O(N). It includes comments explaining its purpose and implementation details. The code size is 1000 lines.</t>
        </is>
      </c>
      <c r="E1972" t="n">
        <v>0.0137</v>
      </c>
      <c r="F1972" t="n">
        <v>0.1463</v>
      </c>
      <c r="G1972" t="n">
        <v>0.2457</v>
      </c>
      <c r="H1972" t="inlineStr">
        <is>
          <t>The repository contains backend software components with complexity O(N), implementing core algorithms. It includes comments explaining the implementation and has been initialized with a single commit. The total size of the codebase is 1000 lines.</t>
        </is>
      </c>
      <c r="I1972" t="n">
        <v>0.007</v>
      </c>
      <c r="J1972" t="n">
        <v>0.1818</v>
      </c>
      <c r="K1972" t="n">
        <v>0.1869</v>
      </c>
      <c r="L1972" t="inlineStr">
        <is>
          <t>This file contains backend software components that implement core algorithms for processing data efficiently using an average time complexity of O(N). It includes comments explaining implementation details and was initially committed as part of the initial codebase. The total size of the file is approximately 1000 lines.</t>
        </is>
      </c>
      <c r="M1972" t="n">
        <v>0.0055</v>
      </c>
      <c r="N1972" t="n">
        <v>0.1786</v>
      </c>
      <c r="O1972" t="n">
        <v>0.2521</v>
      </c>
    </row>
    <row r="1973">
      <c r="A1973" t="inlineStr">
        <is>
          <t>sponge</t>
        </is>
      </c>
      <c r="B1973" t="inlineStr">
        <is>
          <t>src/main/java/org/spongepowered/api/block/entity/carrier/package-info.java</t>
        </is>
      </c>
      <c r="C1973">
        <f>HYPERLINK("https://github.com/SpongePowered/SpongeAPI/blob/master/src/main/java/org/spongepowered/api/block/entity/carrier/package-info.java")</f>
        <v/>
      </c>
      <c r="D1973" t="inlineStr">
        <is>
          <t>The provided code is a backend software component that implements core algorithms with a time complexity of O(N). It includes comments explaining its implementation and structure. The code size is 1000 lines long.</t>
        </is>
      </c>
      <c r="E1973" t="n">
        <v>0.0142</v>
      </c>
      <c r="F1973" t="n">
        <v>0.1905</v>
      </c>
      <c r="G1973" t="n">
        <v>0.3006</v>
      </c>
      <c r="H1973" t="inlineStr">
        <is>
          <t>Manages backend software components with complex algorithm implementations.</t>
        </is>
      </c>
      <c r="I1973" t="n">
        <v>0.0278</v>
      </c>
      <c r="J1973" t="n">
        <v>0.25</v>
      </c>
      <c r="K1973" t="n">
        <v>0.0625</v>
      </c>
      <c r="L1973" t="inlineStr">
        <is>
          <t>This code implements core algorithms for a backend software component, focusing on efficient data processing and manipulation tasks. It processes large datasets using an O(N) complexity algorithm, ensuring optimal performance while maintaining clarity and maintainability through well-documented comments and initial implementation commits.</t>
        </is>
      </c>
      <c r="M1973" t="n">
        <v>0.0117</v>
      </c>
      <c r="N1973" t="n">
        <v>0.1538</v>
      </c>
      <c r="O1973" t="n">
        <v>0.374</v>
      </c>
    </row>
    <row r="1974">
      <c r="A1974" t="inlineStr">
        <is>
          <t>sponge</t>
        </is>
      </c>
      <c r="B1974" t="inlineStr">
        <is>
          <t>src/main/java/org/spongepowered/api/block/entity/carrier/CarrierBlockEntity.java</t>
        </is>
      </c>
      <c r="C1974">
        <f>HYPERLINK("https://github.com/SpongePowered/SpongeAPI/blob/master/src/main/java/org/spongepowered/api/block/entity/carrier/CarrierBlockEntity.java")</f>
        <v/>
      </c>
      <c r="D1974" t="inlineStr">
        <is>
          <t>The provided code is a Java class that implements core algorithms with a time complexity of O(N). It includes comments explaining its implementation and structure, as well as details about its purpose and usage within a larger system.</t>
        </is>
      </c>
      <c r="E1974" t="n">
        <v>0.0114</v>
      </c>
      <c r="F1974" t="n">
        <v>0.1277</v>
      </c>
      <c r="G1974" t="n">
        <v>0.2323</v>
      </c>
      <c r="H1974" t="inlineStr">
        <is>
          <t>Manages backend software components with complexity O(N).</t>
        </is>
      </c>
      <c r="I1974" t="n">
        <v>0.0286</v>
      </c>
      <c r="J1974" t="n">
        <v>0.125</v>
      </c>
      <c r="K1974" t="n">
        <v>0.0633</v>
      </c>
      <c r="L1974" t="inlineStr">
        <is>
          <t>This file contains backend software components that implement core algorithms for processing data efficiently using a time complexity of O(N). It includes comments explaining the implementation of these algorithms and has been committed as part of the initial codebase. The total size of the codebase is approximately 1000 lines.</t>
        </is>
      </c>
      <c r="M1974" t="n">
        <v>0.0053</v>
      </c>
      <c r="N1974" t="n">
        <v>0.1724</v>
      </c>
      <c r="O1974" t="n">
        <v>0.2479</v>
      </c>
    </row>
    <row r="1975">
      <c r="A1975" t="inlineStr">
        <is>
          <t>sponge</t>
        </is>
      </c>
      <c r="B1975" t="inlineStr">
        <is>
          <t>src/main/java/org/spongepowered/api/block/entity/carrier/BrewingStand.java</t>
        </is>
      </c>
      <c r="C1975">
        <f>HYPERLINK("https://github.com/SpongePowered/SpongeAPI/blob/master/src/main/java/org/spongepowered/api/block/entity/carrier/BrewingStand.java")</f>
        <v/>
      </c>
      <c r="D1975" t="inlineStr">
        <is>
          <t>The provided code is a backend software component that implements core algorithms with a time complexity of O(N). It includes comments explaining its implementation and structure. The code size is 1000 lines.</t>
        </is>
      </c>
      <c r="E1975" t="n">
        <v>0.0147</v>
      </c>
      <c r="F1975" t="n">
        <v>0.1951</v>
      </c>
      <c r="G1975" t="n">
        <v>0.3035</v>
      </c>
      <c r="H1975" t="inlineStr">
        <is>
          <t>This repository contains backend software components implementing core algorithms with a complexity of O(N).</t>
        </is>
      </c>
      <c r="I1975" t="n">
        <v>0.0188</v>
      </c>
      <c r="J1975" t="n">
        <v>0.3478</v>
      </c>
      <c r="K1975" t="n">
        <v>0.367</v>
      </c>
      <c r="L1975" t="inlineStr">
        <is>
          <t>This code implements core algorithms for a backend software component using Java, focusing on efficient data processing and manipulation. It includes comments explaining implementation details and adheres to a complexity level of O(N), ensuring optimal performance for typical input sizes.</t>
        </is>
      </c>
      <c r="M1975" t="n">
        <v>0.0123</v>
      </c>
      <c r="N1975" t="n">
        <v>0.1633</v>
      </c>
      <c r="O1975" t="n">
        <v>0.3807</v>
      </c>
    </row>
    <row r="1976">
      <c r="A1976" t="inlineStr">
        <is>
          <t>sponge</t>
        </is>
      </c>
      <c r="B1976" t="inlineStr">
        <is>
          <t>src/main/java/org/spongepowered/api/block/entity/carrier/Crafter.java</t>
        </is>
      </c>
      <c r="C1976">
        <f>HYPERLINK("https://github.com/SpongePowered/SpongeAPI/blob/master/src/main/java/org/spongepowered/api/block/entity/carrier/Crafter.java")</f>
        <v/>
      </c>
      <c r="D1976" t="inlineStr">
        <is>
          <t>The provided code is a backend software component with complexity O(N). It includes comments explaining its implementation of core algorithms and commits detailing the initial creation of the codebase. The total size of the code is 1000 lines.</t>
        </is>
      </c>
      <c r="E1976" t="n">
        <v>0.0064</v>
      </c>
      <c r="F1976" t="n">
        <v>0.1702</v>
      </c>
      <c r="G1976" t="n">
        <v>0.1818</v>
      </c>
      <c r="H1976" t="inlineStr">
        <is>
          <t>Manages backend software components with complex algorithm implementations.</t>
        </is>
      </c>
      <c r="I1976" t="n">
        <v>0.0278</v>
      </c>
      <c r="J1976" t="n">
        <v>0.25</v>
      </c>
      <c r="K1976" t="n">
        <v>0.0625</v>
      </c>
      <c r="L1976" t="inlineStr">
        <is>
          <t>This code implements core algorithms for backend software components using Java, focusing on efficient data processing and manipulation. It has a time complexity of \(O(N)\), making it suitable for large-scale applications. The implementation includes comments explaining the core functionalities, which helps in maintaining and understanding the codebase.</t>
        </is>
      </c>
      <c r="M1976" t="n">
        <v>0.0104</v>
      </c>
      <c r="N1976" t="n">
        <v>0.2105</v>
      </c>
      <c r="O1976" t="n">
        <v>0.2521</v>
      </c>
    </row>
    <row r="1977">
      <c r="A1977" t="inlineStr">
        <is>
          <t>sponge</t>
        </is>
      </c>
      <c r="B1977" t="inlineStr">
        <is>
          <t>src/main/java/org/spongepowered/api/block/entity/carrier/Beacon.java</t>
        </is>
      </c>
      <c r="C1977">
        <f>HYPERLINK("https://github.com/SpongePowered/SpongeAPI/blob/master/src/main/java/org/spongepowered/api/block/entity/carrier/Beacon.java")</f>
        <v/>
      </c>
      <c r="D1977" t="inlineStr">
        <is>
          <t>The provided code is a backend software component that implements core algorithms with a time complexity of O(N). It includes comments explaining its implementation and structure. The code size is 1000 lines long.</t>
        </is>
      </c>
      <c r="E1977" t="n">
        <v>0.0142</v>
      </c>
      <c r="F1977" t="n">
        <v>0.1905</v>
      </c>
      <c r="G1977" t="n">
        <v>0.3006</v>
      </c>
      <c r="H1977" t="inlineStr">
        <is>
          <t>Manages backend software components with complex algorithm implementations.</t>
        </is>
      </c>
      <c r="I1977" t="n">
        <v>0.0278</v>
      </c>
      <c r="J1977" t="n">
        <v>0.25</v>
      </c>
      <c r="K1977" t="n">
        <v>0.0625</v>
      </c>
      <c r="L1977" t="inlineStr">
        <is>
          <t>This code provides a basic implementation of core algorithms for a backend software component using Java, adhering to the MIT license. It includes comments explaining the implementation and follows a clean architecture, making it easy to understand and maintain.</t>
        </is>
      </c>
      <c r="M1977" t="n">
        <v>0.0067</v>
      </c>
      <c r="N1977" t="n">
        <v>0.1702</v>
      </c>
      <c r="O1977" t="n">
        <v>0.2703</v>
      </c>
    </row>
    <row r="1978">
      <c r="A1978" t="inlineStr">
        <is>
          <t>sponge</t>
        </is>
      </c>
      <c r="B1978" t="inlineStr">
        <is>
          <t>src/main/java/org/spongepowered/api/block/entity/carrier/Campfire.java</t>
        </is>
      </c>
      <c r="C1978">
        <f>HYPERLINK("https://github.com/SpongePowered/SpongeAPI/blob/master/src/main/java/org/spongepowered/api/block/entity/carrier/Campfire.java")</f>
        <v/>
      </c>
      <c r="D1978" t="inlineStr">
        <is>
          <t>The provided code is a backend software component with a time complexity of O(N). It includes comments explaining its implementation of core algorithms and details about its usage within the larger system. The code size is 1000 lines long.</t>
        </is>
      </c>
      <c r="E1978" t="n">
        <v>0.0062</v>
      </c>
      <c r="F1978" t="n">
        <v>0.1667</v>
      </c>
      <c r="G1978" t="n">
        <v>0.1802</v>
      </c>
      <c r="H1978" t="inlineStr">
        <is>
          <t>Manages backend software components with complex algorithm implementations.</t>
        </is>
      </c>
      <c r="I1978" t="n">
        <v>0.0278</v>
      </c>
      <c r="J1978" t="n">
        <v>0.25</v>
      </c>
      <c r="K1978" t="n">
        <v>0.0625</v>
      </c>
      <c r="L1978" t="inlineStr">
        <is>
          <t>This file contains backend software components that implement core algorithms, focusing on efficient data processing and manipulation. It uses a time complexity of O(N), as indicated by the comments and existing implementation details. The code size is approximately 1000 lines, which includes various functions for handling different types of input data.</t>
        </is>
      </c>
      <c r="M1978" t="n">
        <v>0.0051</v>
      </c>
      <c r="N1978" t="n">
        <v>0.1667</v>
      </c>
      <c r="O1978" t="n">
        <v>0.2439</v>
      </c>
    </row>
    <row r="1979">
      <c r="A1979" t="inlineStr">
        <is>
          <t>sponge</t>
        </is>
      </c>
      <c r="B1979" t="inlineStr">
        <is>
          <t>src/main/java/org/spongepowered/api/block/entity/carrier/Hopper.java</t>
        </is>
      </c>
      <c r="C1979">
        <f>HYPERLINK("https://github.com/SpongePowered/SpongeAPI/blob/master/src/main/java/org/spongepowered/api/block/entity/carrier/Hopper.java")</f>
        <v/>
      </c>
      <c r="D1979" t="inlineStr">
        <is>
          <t>The provided code is a Java implementation of core algorithms with a time complexity of O(N). It includes comments explaining its purpose, complexity, and usage. The code does not contain any specific details about its functionality beyond these attributes.</t>
        </is>
      </c>
      <c r="E1979" t="n">
        <v>0.0062</v>
      </c>
      <c r="F1979" t="n">
        <v>0.125</v>
      </c>
      <c r="G1979" t="n">
        <v>0.1802</v>
      </c>
      <c r="H1979" t="inlineStr">
        <is>
          <t>Manages backend software components with complex algorithm implementations.</t>
        </is>
      </c>
      <c r="I1979" t="n">
        <v>0.0278</v>
      </c>
      <c r="J1979" t="n">
        <v>0.25</v>
      </c>
      <c r="K1979" t="n">
        <v>0.0625</v>
      </c>
      <c r="L1979" t="inlineStr">
        <is>
          <t>This code implements core algorithms for a backend software component, handling input data efficiently with a time complexity of O(N). It includes comments explaining implementation details and adheres to best practices for code readability and maintainability.</t>
        </is>
      </c>
      <c r="M1979" t="n">
        <v>0.0137</v>
      </c>
      <c r="N1979" t="n">
        <v>0.1778</v>
      </c>
      <c r="O1979" t="n">
        <v>0.3444</v>
      </c>
    </row>
    <row r="1980">
      <c r="A1980" t="inlineStr">
        <is>
          <t>storm</t>
        </is>
      </c>
      <c r="B1980" t="inlineStr">
        <is>
          <t>storm-client/test/py/test_storm_cli.py</t>
        </is>
      </c>
      <c r="C1980">
        <f>HYPERLINK("https://github.com/apache/storm/blob/master/storm-client/test/py/test_storm_cli.py")</f>
        <v/>
      </c>
      <c r="D1980" t="inlineStr">
        <is>
          <t>The provided Python script defines a unit test class `TestStormCli` that inherits from `unittest.TestCase`. It includes a method `setUp` which sets up any necessary mocks before running tests. The script uses the `mock` library to patch the `os.path.exists` function during testing. This setup allows for controlled behavior when checking if paths exist, enabling precise control over how certain parts of the code</t>
        </is>
      </c>
      <c r="E1980" t="n">
        <v>0.0029</v>
      </c>
      <c r="F1980" t="n">
        <v>0.0274</v>
      </c>
      <c r="G1980" t="n">
        <v>0.0746</v>
      </c>
      <c r="H1980" t="inlineStr">
        <is>
          <t>This repository contains backend software components implementing core algorithms. Complexity is O(N), indicating linear time complexity. Comments describe the implementation details. Initial codebase commit was made. Code size is 1000 lines.</t>
        </is>
      </c>
      <c r="I1980" t="n">
        <v>0.007900000000000001</v>
      </c>
      <c r="J1980" t="n">
        <v>0.2</v>
      </c>
      <c r="K1980" t="n">
        <v>0.1942</v>
      </c>
      <c r="L1980" t="inlineStr">
        <is>
          <t>This Python script defines a unit testing class `TestStormCli` that inherits from `unittest.TestCase`. It includes a setup method `setUp` which patches the `os.path.exists` function using `mock.patch`, allowing for controlled testing of path existence checks within the context of storm CLI commands. The script uses the `unittest.main()` function to run tests when executed directly.</t>
        </is>
      </c>
      <c r="M1980" t="n">
        <v>0.0035</v>
      </c>
      <c r="N1980" t="n">
        <v>0.0606</v>
      </c>
      <c r="O1980" t="n">
        <v>0.08</v>
      </c>
    </row>
    <row r="1981">
      <c r="A1981" t="inlineStr">
        <is>
          <t>storm</t>
        </is>
      </c>
      <c r="B1981" t="inlineStr">
        <is>
          <t>storm-client/test/jvm/org/apache/storm/TestConfigValidate.java</t>
        </is>
      </c>
      <c r="C1981">
        <f>HYPERLINK("https://github.com/apache/storm/blob/master/storm-client/test/jvm/org/apache/storm/TestConfigValidate.java")</f>
        <v/>
      </c>
      <c r="D1981" t="inlineStr">
        <is>
          <t>The provided Java code defines a package `org.apache.storm` containing classes related to storm-related operations. It includes methods for handling BigInteger calculations, managing collections, and implementing basic data structures such as HashMaps. The complexity of the implementation is O(N), indicating linear time complexity for certain operations. The code is licensed under the Apache License, Version 2.0. This repository appears to be part</t>
        </is>
      </c>
      <c r="E1981" t="n">
        <v>0.0036</v>
      </c>
      <c r="F1981" t="n">
        <v>0.027</v>
      </c>
      <c r="G1981" t="n">
        <v>0.1504</v>
      </c>
      <c r="H1981" t="inlineStr">
        <is>
          <t>Manages backend software components implementing core algorithms. Complexity is O(N).</t>
        </is>
      </c>
      <c r="I1981" t="n">
        <v>0.0251</v>
      </c>
      <c r="J1981" t="n">
        <v>0.3158</v>
      </c>
      <c r="K1981" t="n">
        <v>0.3117</v>
      </c>
      <c r="L1981" t="inlineStr">
        <is>
          <t>The provided Java code defines a package `org.apache.storm` that includes classes related to Storm, an open-source distributed real-time computation system. It primarily deals with data processing tasks using a micro-batch approach. Key functionalities include handling collections, managing data structures like `BigInteger`, and implementing basic algorithmic operations such as sorting and hashing. The code size is approximately 1000 lines,</t>
        </is>
      </c>
      <c r="M1981" t="n">
        <v>0.0031</v>
      </c>
      <c r="N1981" t="n">
        <v>0.0563</v>
      </c>
      <c r="O1981" t="n">
        <v>0.1154</v>
      </c>
    </row>
    <row r="1982">
      <c r="A1982" t="inlineStr">
        <is>
          <t>storm</t>
        </is>
      </c>
      <c r="B1982" t="inlineStr">
        <is>
          <t>storm-client/test/jvm/org/apache/storm/TestStormTimer.java</t>
        </is>
      </c>
      <c r="C1982">
        <f>HYPERLINK("https://github.com/apache/storm/blob/master/storm-client/test/jvm/org/apache/storm/TestStormTimer.java")</f>
        <v/>
      </c>
      <c r="D1982" t="inlineStr">
        <is>
          <t>The provided code appears to be part of a Java project that includes unit tests for a Storm component. It uses JUnit Jupiter for testing and checks if certain assertions hold true based on expected outcomes. The complexity of the implementation is O(N), indicating linear time complexity relative to the size of the input data. The comments suggest that the code implements core algorithms related to Storm, which is likely a distributed computing</t>
        </is>
      </c>
      <c r="E1982" t="n">
        <v>0.0058</v>
      </c>
      <c r="F1982" t="n">
        <v>0.0488</v>
      </c>
      <c r="G1982" t="n">
        <v>0.2177</v>
      </c>
      <c r="H1982" t="inlineStr">
        <is>
          <t>This repository contains backend software components that implement core algorithms. Complexity is O(N), indicating linear time complexity. Comments describe the implementation details. Initial codebase commit was made. Code size is 1000 lines.</t>
        </is>
      </c>
      <c r="I1982" t="n">
        <v>0.0077</v>
      </c>
      <c r="J1982" t="n">
        <v>0.1951</v>
      </c>
      <c r="K1982" t="n">
        <v>0.1923</v>
      </c>
      <c r="L1982" t="inlineStr">
        <is>
          <t>This Java class `org.apache.storm` appears to be part of a Storm-based system, likely used for testing purposes within the Apache Storm framework. It includes a test suite that uses JUnit Jupiter to verify the correctness of various methods related to storm components. The tests involve assertions to ensure expected outcomes based on input data, such as checking if certain values are returned correctly from methods like `getComponent</t>
        </is>
      </c>
      <c r="M1982" t="n">
        <v>0.0027</v>
      </c>
      <c r="N1982" t="n">
        <v>0.0256</v>
      </c>
      <c r="O1982" t="n">
        <v>0.07190000000000001</v>
      </c>
    </row>
    <row r="1983">
      <c r="A1983" t="inlineStr">
        <is>
          <t>storm</t>
        </is>
      </c>
      <c r="B1983" t="inlineStr">
        <is>
          <t>storm-client/test/jvm/org/apache/storm/TestStormSubmitter.java</t>
        </is>
      </c>
      <c r="C1983">
        <f>HYPERLINK("https://github.com/apache/storm/blob/master/storm-client/test/jvm/org/apache/storm/TestStormSubmitter.java")</f>
        <v/>
      </c>
      <c r="D1983" t="inlineStr">
        <is>
          <t>The provided code is part of the Apache Storm project, which is a distributed real-time computation system designed for processing large volumes of data streams. This code appears to be related to submitting topologies to the Storm cluster. It includes imports necessary for working with Storm's generated classes, such as `InvalidTopologyException` and `StormTopology`. The complexity of the implementation is O(N), indicating that it processes</t>
        </is>
      </c>
      <c r="E1983" t="n">
        <v>0.0034</v>
      </c>
      <c r="F1983" t="n">
        <v>0.0533</v>
      </c>
      <c r="G1983" t="n">
        <v>0.1471</v>
      </c>
      <c r="H1983" t="inlineStr">
        <is>
          <t>The code implements core algorithms for backend software components. Complexity is O(N), indicating linear time complexity. Comments describe the implementation of core algorithms. Initial codebase commit was made. Code size is 1000 lines.</t>
        </is>
      </c>
      <c r="I1983" t="n">
        <v>0.0132</v>
      </c>
      <c r="J1983" t="n">
        <v>0.1429</v>
      </c>
      <c r="K1983" t="n">
        <v>0.1429</v>
      </c>
      <c r="L1983" t="inlineStr">
        <is>
          <t>The code implements a Storm topology submission process, which involves validating the topology configuration and submitting it to the cluster. It uses Java and interacts with the Apache Storm framework's generated classes to handle topology validation and submission tasks.</t>
        </is>
      </c>
      <c r="M1983" t="n">
        <v>0.0056</v>
      </c>
      <c r="N1983" t="n">
        <v>0.0833</v>
      </c>
      <c r="O1983" t="n">
        <v>0.1351</v>
      </c>
    </row>
    <row r="1984">
      <c r="A1984" t="inlineStr">
        <is>
          <t>storm</t>
        </is>
      </c>
      <c r="B1984" t="inlineStr">
        <is>
          <t>storm-client/test/jvm/org/apache/storm/PaceMakerStateStorageFactoryTest.java</t>
        </is>
      </c>
      <c r="C1984">
        <f>HYPERLINK("https://github.com/apache/storm/blob/master/storm-client/test/jvm/org/apache/storm/PaceMakerStateStorageFactoryTest.java")</f>
        <v/>
      </c>
      <c r="D1984" t="inlineStr">
        <is>
          <t>The provided code is part of a Storm project, which appears to be a distributed real-time computation system. It includes unit tests that verify the implementation of core algorithms using Mockito for mocking dependencies. The complexity of the algorithm is O(N), indicating linear time complexity. The comments suggest that the implementation involves complex logic, possibly related to data processing or streaming tasks within Storm. The code size is 10</t>
        </is>
      </c>
      <c r="E1984" t="n">
        <v>0.0026</v>
      </c>
      <c r="F1984" t="n">
        <v>0.0759</v>
      </c>
      <c r="G1984" t="n">
        <v>0.1064</v>
      </c>
      <c r="H1984" t="inlineStr">
        <is>
          <t>This repository contains backend software components implementing core algorithms.</t>
        </is>
      </c>
      <c r="I1984" t="n">
        <v>0.0316</v>
      </c>
      <c r="J1984" t="n">
        <v>0.4706</v>
      </c>
      <c r="K1984" t="n">
        <v>0.3897</v>
      </c>
      <c r="L1984" t="inlineStr">
        <is>
          <t>This Java package `org.apache.storm` appears to contain backend software components that utilize Mockito for unit testing. It includes methods like `verify()` and `when()`, which are used to mock objects and verify interactions during tests. The code complexity is moderate, as indicated by the comment about being implemented using core algorithms.</t>
        </is>
      </c>
      <c r="M1984" t="n">
        <v>0.0052</v>
      </c>
      <c r="N1984" t="n">
        <v>0.1333</v>
      </c>
      <c r="O1984" t="n">
        <v>0.2459</v>
      </c>
    </row>
    <row r="1985">
      <c r="A1985" t="inlineStr">
        <is>
          <t>storm</t>
        </is>
      </c>
      <c r="B1985" t="inlineStr">
        <is>
          <t>storm-client/test/jvm/org/apache/storm/state/BaseBinaryStateIteratorTest.java</t>
        </is>
      </c>
      <c r="C1985">
        <f>HYPERLINK("https://github.com/apache/storm/blob/master/storm-client/test/jvm/org/apache/storm/state/BaseBinaryStateIteratorTest.java")</f>
        <v/>
      </c>
      <c r="D1985" t="inlineStr">
        <is>
          <t>The provided Java code defines a class `State` that implements various state management functionalities using a TreeMap as its underlying data structure. It includes methods for adding, removing, and retrieving key-value pairs from the state store. The complexity of these operations is O(log N), where N is the number of entries in the map. The code also handles concurrent access through thread-safe operations.</t>
        </is>
      </c>
      <c r="E1985" t="n">
        <v>0.0034</v>
      </c>
      <c r="F1985" t="n">
        <v>0.08110000000000001</v>
      </c>
      <c r="G1985" t="n">
        <v>0.1111</v>
      </c>
      <c r="H1985" t="inlineStr">
        <is>
          <t>Manages state storage using NavigableMaps and provides basic operations like adding elements. Complexity is O(N), indicating linear time complexity for certain operations.</t>
        </is>
      </c>
      <c r="I1985" t="n">
        <v>0.008699999999999999</v>
      </c>
      <c r="J1985" t="n">
        <v>0.0645</v>
      </c>
      <c r="K1985" t="n">
        <v>0.1064</v>
      </c>
      <c r="L1985" t="inlineStr">
        <is>
          <t>This Java class provides a state management system using a TreeMap to store data in sorted order based on keys. It includes methods for adding, removing, and retrieving entries from the map, as well as iterating over all entries. The implementation uses generics to allow storing any type of key-value pairs.</t>
        </is>
      </c>
      <c r="M1985" t="n">
        <v>0.0043</v>
      </c>
      <c r="N1985" t="n">
        <v>0.0667</v>
      </c>
      <c r="O1985" t="n">
        <v>0.1626</v>
      </c>
    </row>
    <row r="1986">
      <c r="A1986" t="inlineStr">
        <is>
          <t>storm</t>
        </is>
      </c>
      <c r="B1986" t="inlineStr">
        <is>
          <t>storm-client/test/jvm/org/apache/storm/state/InMemoryKeyValueStateTest.java</t>
        </is>
      </c>
      <c r="C1986">
        <f>HYPERLINK("https://github.com/apache/storm/blob/master/storm-client/test/jvm/org/apache/storm/state/InMemoryKeyValueStateTest.java")</f>
        <v/>
      </c>
      <c r="D1986" t="inlineStr">
        <is>
          <t>The provided Java code defines a test suite for state management operations using JUnit Jupiter. It includes tests for various functionalities such as adding elements to a list, checking if an element exists, removing elements from a set, and asserting array equality. The complexity of these operations is O(N), where N represents the number of elements involved. The comments indicate that the implementation focuses on core algorithms related to state management</t>
        </is>
      </c>
      <c r="E1986" t="n">
        <v>0.003</v>
      </c>
      <c r="F1986" t="n">
        <v>0.05</v>
      </c>
      <c r="G1986" t="n">
        <v>0.1399</v>
      </c>
      <c r="H1986" t="inlineStr">
        <is>
          <t>The repository contains backend software components implementing core algorithms.</t>
        </is>
      </c>
      <c r="I1986" t="n">
        <v>0.0285</v>
      </c>
      <c r="J1986" t="n">
        <v>0.3529</v>
      </c>
      <c r="K1986" t="n">
        <v>0.3155</v>
      </c>
      <c r="L1986" t="inlineStr">
        <is>
          <t>The provided Java code appears to be part of a unit test suite for a state management component within the Apache Storm framework. It uses JUnit Jupiter annotations to define tests that verify the correctness of methods related to state storage and retrieval. The `State` class is likely responsible for managing data across different nodes in a distributed system. The tests focus on ensuring that the state can be correctly stored and retrieved from</t>
        </is>
      </c>
      <c r="M1986" t="n">
        <v>0.0025</v>
      </c>
      <c r="N1986" t="n">
        <v>0.0244</v>
      </c>
      <c r="O1986" t="n">
        <v>0.06850000000000001</v>
      </c>
    </row>
    <row r="1987">
      <c r="A1987" t="inlineStr">
        <is>
          <t>storm</t>
        </is>
      </c>
      <c r="B1987" t="inlineStr">
        <is>
          <t>storm-client/test/jvm/org/apache/storm/state/DefaultStateSerializerTest.java</t>
        </is>
      </c>
      <c r="C1987">
        <f>HYPERLINK("https://github.com/apache/storm/blob/master/storm-client/test/jvm/org/apache/storm/state/DefaultStateSerializerTest.java")</f>
        <v/>
      </c>
      <c r="D1987" t="inlineStr">
        <is>
          <t>The provided Java code defines a class `CheckPointState` within the package `org.apache.storm.state`. This class implements the `CheckpointState` interface, which likely provides methods for managing checkpointing data in a Storm topology. The code includes comments explaining its purpose, licensing, and dependencies. It also mentions that it has a complexity of O(N), indicating linear time complexity operations, and notes that</t>
        </is>
      </c>
      <c r="E1987" t="n">
        <v>0.0041</v>
      </c>
      <c r="F1987" t="n">
        <v>0.0857</v>
      </c>
      <c r="G1987" t="n">
        <v>0.1154</v>
      </c>
      <c r="H1987" t="inlineStr">
        <is>
          <t>Manages state storage for Storm spouts using CheckPointState interface. Contains implementation of core algorithms for managing state data structures like ArrayLists and Collections. Complexity is O(N), indicating linear time complexity due to operations involving lists and collections.</t>
        </is>
      </c>
      <c r="I1987" t="n">
        <v>0.006</v>
      </c>
      <c r="J1987" t="n">
        <v>0.1304</v>
      </c>
      <c r="K1987" t="n">
        <v>0.1835</v>
      </c>
      <c r="L1987" t="inlineStr">
        <is>
          <t>This Java package `org.apache.storm.state` provides utilities for managing state in Storm topologies using CheckpointState objects. It includes methods for creating and manipulating lists of CheckpointState instances, which can be used for checkpointing data across worker nodes during distributed processing tasks.</t>
        </is>
      </c>
      <c r="M1987" t="n">
        <v>0.0055</v>
      </c>
      <c r="N1987" t="n">
        <v>0.0784</v>
      </c>
      <c r="O1987" t="n">
        <v>0.1339</v>
      </c>
    </row>
    <row r="1988">
      <c r="A1988" t="inlineStr">
        <is>
          <t>storm</t>
        </is>
      </c>
      <c r="B1988" t="inlineStr">
        <is>
          <t>storm-client/test/jvm/org/apache/storm/spout/CheckpointSpoutTest.java</t>
        </is>
      </c>
      <c r="C1988">
        <f>HYPERLINK("https://github.com/apache/storm/blob/master/storm-client/test/jvm/org/apache/storm/spout/CheckpointSpoutTest.java")</f>
        <v/>
      </c>
      <c r="D1988" t="inlineStr">
        <is>
          <t>The provided Java code defines a class `Spout` within the package `org.apache.storm.spout`. This class appears to be part of a Storm-based system, which is used for real-time data processing. Here's a concise summary of its functionality:
**Class Purpose:**
- **Data Spout:** Acts as a source of data that feeds into a Storm topology. It generates tuples and</t>
        </is>
      </c>
      <c r="E1988" t="n">
        <v>0.0038</v>
      </c>
      <c r="F1988" t="n">
        <v>0.0857</v>
      </c>
      <c r="G1988" t="n">
        <v>0.1163</v>
      </c>
      <c r="H1988" t="inlineStr">
        <is>
          <t>The repository contains backend software components implementing core algorithms. Complexity is O(N), indicating linear time complexity. Comments describe the implementation of these algorithms. Initial codebase commit was made. Code size is 1000 lines.</t>
        </is>
      </c>
      <c r="I1988" t="n">
        <v>0.0067</v>
      </c>
      <c r="J1988" t="n">
        <v>0.1429</v>
      </c>
      <c r="K1988" t="n">
        <v>0.1429</v>
      </c>
      <c r="L1988" t="inlineStr">
        <is>
          <t>This Java class implements a Spout component in Apache Storm, which serves as a data producer that emits tuples into a topology. It utilizes state management through KeyValueState to store and retrieve intermediate results during processing. The spout processes incoming messages, applies transformations, and sends them downstream to other bolts in the topology.</t>
        </is>
      </c>
      <c r="M1988" t="n">
        <v>0.0045</v>
      </c>
      <c r="N1988" t="n">
        <v>0.0984</v>
      </c>
      <c r="O1988" t="n">
        <v>0.12</v>
      </c>
    </row>
    <row r="1989">
      <c r="A1989" t="inlineStr">
        <is>
          <t>storm</t>
        </is>
      </c>
      <c r="B1989" t="inlineStr">
        <is>
          <t>storm-client/test/jvm/org/apache/storm/daemon/metrics/ClientMetricsUtilsTest.java</t>
        </is>
      </c>
      <c r="C1989">
        <f>HYPERLINK("https://github.com/apache/storm/blob/master/storm-client/test/jvm/org/apache/storm/daemon/metrics/ClientMetricsUtilsTest.java")</f>
        <v/>
      </c>
      <c r="D1989" t="inlineStr">
        <is>
          <t>The provided Java code defines a class `Metrics` within the package `org.apache.storm.daemon.metrics`. It includes methods for testing assertions related to metrics data using JUnit Jupiter framework. The code uses static imports from `org.junit.jupiter.api.Assertions`, which allows for concise assertion statements like `assertEquals()` and `assertNull()`. The complexity of the implementation is O(1), as it involves</t>
        </is>
      </c>
      <c r="E1989" t="n">
        <v>0.0035</v>
      </c>
      <c r="F1989" t="n">
        <v>0.0286</v>
      </c>
      <c r="G1989" t="n">
        <v>0.12</v>
      </c>
      <c r="H1989" t="inlineStr">
        <is>
          <t>This repository contains backend software components implementing core algorithms.</t>
        </is>
      </c>
      <c r="I1989" t="n">
        <v>0.0316</v>
      </c>
      <c r="J1989" t="n">
        <v>0.4706</v>
      </c>
      <c r="K1989" t="n">
        <v>0.3897</v>
      </c>
      <c r="L1989" t="inlineStr">
        <is>
          <t>The code provides unit tests for metrics handling in Storm's daemon component using JUnit. It includes assertions to verify that metric values are correctly set and retrieved from a `HashMap`. The code size is 1000 lines, making it complex, though existing comments indicate implementation of core algorithms.</t>
        </is>
      </c>
      <c r="M1989" t="n">
        <v>0.0046</v>
      </c>
      <c r="N1989" t="n">
        <v>0.07140000000000001</v>
      </c>
      <c r="O1989" t="n">
        <v>0.1681</v>
      </c>
    </row>
    <row r="1990">
      <c r="A1990" t="inlineStr">
        <is>
          <t>storm</t>
        </is>
      </c>
      <c r="B1990" t="inlineStr">
        <is>
          <t>storm-client/test/jvm/org/apache/storm/daemon/worker/BackPressureTrackerTest.java</t>
        </is>
      </c>
      <c r="C1990">
        <f>HYPERLINK("https://github.com/apache/storm/blob/master/storm-client/test/jvm/org/apache/storm/daemon/worker/BackPressureTrackerTest.java")</f>
        <v/>
      </c>
      <c r="D1990" t="inlineStr">
        <is>
          <t>The provided Java code snippet is part of the Storm framework, specifically within the Worker class. It includes unit tests that verify the behavior of methods related to backpressure handling in the worker component. The tests check if certain conditions are met when processing tuples and managing backpressure events.</t>
        </is>
      </c>
      <c r="E1990" t="n">
        <v>0.0037</v>
      </c>
      <c r="F1990" t="n">
        <v>0.0351</v>
      </c>
      <c r="G1990" t="n">
        <v>0.08260000000000001</v>
      </c>
      <c r="H1990" t="inlineStr">
        <is>
          <t>This repository contains backend software components implementing core algorithms. Complexity is O(N), indicating linear time complexity. Comments describe the implementation of these algorithms. Initial codebase commit was made. Code size is 1000 lines.</t>
        </is>
      </c>
      <c r="I1990" t="n">
        <v>0.0074</v>
      </c>
      <c r="J1990" t="n">
        <v>0.1905</v>
      </c>
      <c r="K1990" t="n">
        <v>0.1905</v>
      </c>
      <c r="L1990" t="inlineStr">
        <is>
          <t>This Java class from the Apache Storm project implements worker backpressure management within the storm-daemon module. It uses Mockito for mocking dependencies and Hamcrest for assertions to test various scenarios related to backpressure handling during topology execution. The class provides methods to simulate backpressure conditions and verify that the worker responds appropriately by adjusting resource allocation accordingly.</t>
        </is>
      </c>
      <c r="M1990" t="n">
        <v>0.0042</v>
      </c>
      <c r="N1990" t="n">
        <v>0.09089999999999999</v>
      </c>
      <c r="O1990" t="n">
        <v>0.155</v>
      </c>
    </row>
    <row r="1991">
      <c r="A1991" t="inlineStr">
        <is>
          <t>storm</t>
        </is>
      </c>
      <c r="B1991" t="inlineStr">
        <is>
          <t>storm-client/test/jvm/org/apache/storm/daemon/worker/TestUtilsForWorkerState.java</t>
        </is>
      </c>
      <c r="C1991">
        <f>HYPERLINK("https://github.com/apache/storm/blob/master/storm-client/test/jvm/org/apache/storm/daemon/worker/TestUtilsForWorkerState.java")</f>
        <v/>
      </c>
      <c r="D1991" t="inlineStr">
        <is>
          <t>The provided code is part of the Storm framework's worker component, which handles tasks assigned to supervisors. It includes classes such as `Assignment`, `Credentials`, and `Supervisor` from the Storm generated Java API. The code also uses interfaces like `IStateStorage` and `IStormClusterState` for state management and cluster communication. The complexity of the implementation is O(N), indicating that it</t>
        </is>
      </c>
      <c r="E1991" t="n">
        <v>0.0032</v>
      </c>
      <c r="F1991" t="n">
        <v>0.0299</v>
      </c>
      <c r="G1991" t="n">
        <v>0.1163</v>
      </c>
      <c r="H1991" t="inlineStr">
        <is>
          <t>This repository contains backend software components that implement core algorithms. Complexity is O(N), indicating linear time complexity. Comments describe the implementation details. Initial codebase commit was made. Code size is 1000 lines.</t>
        </is>
      </c>
      <c r="I1991" t="n">
        <v>0.0077</v>
      </c>
      <c r="J1991" t="n">
        <v>0.1951</v>
      </c>
      <c r="K1991" t="n">
        <v>0.1923</v>
      </c>
      <c r="L1991" t="inlineStr">
        <is>
          <t>The provided code implements a worker component within the Apache Storm framework responsible for managing tasks assigned to supervisors. It includes methods for handling supervisor assignments, credentials, and executing base worker hooks. The code size is 1000 lines, and existing comments indicate that it primarily focuses on implementing core algorithms related to storm cluster management.</t>
        </is>
      </c>
      <c r="M1991" t="n">
        <v>0.0044</v>
      </c>
      <c r="N1991" t="n">
        <v>0.0635</v>
      </c>
      <c r="O1991" t="n">
        <v>0.1181</v>
      </c>
    </row>
    <row r="1992">
      <c r="A1992" t="inlineStr">
        <is>
          <t>storm</t>
        </is>
      </c>
      <c r="B1992" t="inlineStr">
        <is>
          <t>storm-client/test/jvm/org/apache/storm/daemon/worker/WorkerTest.java</t>
        </is>
      </c>
      <c r="C1992">
        <f>HYPERLINK("https://github.com/apache/storm/blob/master/storm-client/test/jvm/org/apache/storm/daemon/worker/WorkerTest.java")</f>
        <v/>
      </c>
      <c r="D1992" t="inlineStr">
        <is>
          <t>The provided Java code snippet appears to be part of the Storm project, specifically within the Worker component. It includes a test case using Mockito to verify the behavior of `ConnectionWithStatus`. The code does not contain any complex logic; it simply sets up a mock object and makes assertions about its methods. The complexity level is O(1), as there are no loops or recursive calls that would increase based</t>
        </is>
      </c>
      <c r="E1992" t="n">
        <v>0.0026</v>
      </c>
      <c r="F1992" t="n">
        <v>0.0256</v>
      </c>
      <c r="G1992" t="n">
        <v>0.0709</v>
      </c>
      <c r="H1992" t="inlineStr">
        <is>
          <t>This repository contains backend software components that implement core algorithms. It includes unit tests using JUnit Jupiter API and Mockito for mocking dependencies.</t>
        </is>
      </c>
      <c r="I1992" t="n">
        <v>0.0117</v>
      </c>
      <c r="J1992" t="n">
        <v>0.3226</v>
      </c>
      <c r="K1992" t="n">
        <v>0.4488</v>
      </c>
      <c r="L1992" t="inlineStr">
        <is>
          <t>The provided code implements a unit test for the `ConnectionWithStatus` class within the Storm worker package. It uses Mockito to mock dependencies and verify that methods like `connect()` and `disconnect()` behave as expected when called. The tests ensure proper handling of connection status updates and error scenarios.</t>
        </is>
      </c>
      <c r="M1992" t="n">
        <v>0.0046</v>
      </c>
      <c r="N1992" t="n">
        <v>0.0727</v>
      </c>
      <c r="O1992" t="n">
        <v>0.1261</v>
      </c>
    </row>
    <row r="1993">
      <c r="A1993" t="inlineStr">
        <is>
          <t>storm</t>
        </is>
      </c>
      <c r="B1993" t="inlineStr">
        <is>
          <t>storm-client/test/jvm/org/apache/storm/daemon/worker/WorkerStateTest.java</t>
        </is>
      </c>
      <c r="C1993">
        <f>HYPERLINK("https://github.com/apache/storm/blob/master/storm-client/test/jvm/org/apache/storm/daemon/worker/WorkerStateTest.java")</f>
        <v/>
      </c>
      <c r="D1993" t="inlineStr">
        <is>
          <t>The provided Java code defines a class `Worker` within the `org.apache.storm.daemon.worker` package. It includes methods for interacting with Storm's supervisor and managing storm topologies. The code uses various libraries such as Apache Thrift for communication and Apache Commons IO for I/O operations. The complexity of the implementation is O(N), where N represents the number of elements involved in processing data.</t>
        </is>
      </c>
      <c r="E1993" t="n">
        <v>0.003</v>
      </c>
      <c r="F1993" t="n">
        <v>0.0267</v>
      </c>
      <c r="G1993" t="n">
        <v>0.1136</v>
      </c>
      <c r="H1993" t="inlineStr">
        <is>
          <t>The provided code is part of a Storm worker implementation within the Apache Storm project. It includes tests for various aspects of storm topology execution and management. The complexity is high due to the extensive testing framework used, which involves multiple test cases across different scenarios. The comments indicate that the code implements core algorithms related to storm's internal operations.</t>
        </is>
      </c>
      <c r="I1993" t="n">
        <v>0.0071</v>
      </c>
      <c r="J1993" t="n">
        <v>0.058</v>
      </c>
      <c r="K1993" t="n">
        <v>0.2391</v>
      </c>
      <c r="L1993" t="inlineStr">
        <is>
          <t>This Java class implements worker functionality within Apache Storm's daemon layer. It handles topology execution, manages resources such as files and directories, and interacts with supervisor services through Thrift interfaces. The code processes storm configurations, executes topologies, and ensures resource cleanup upon completion.</t>
        </is>
      </c>
      <c r="M1993" t="n">
        <v>0.0061</v>
      </c>
      <c r="N1993" t="n">
        <v>0.1538</v>
      </c>
      <c r="O1993" t="n">
        <v>0.1739</v>
      </c>
    </row>
    <row r="1994">
      <c r="A1994" t="inlineStr">
        <is>
          <t>storm</t>
        </is>
      </c>
      <c r="B1994" t="inlineStr">
        <is>
          <t>storm-client/test/jvm/org/apache/storm/daemon/worker/LogConfigManagerTest.java</t>
        </is>
      </c>
      <c r="C1994">
        <f>HYPERLINK("https://github.com/apache/storm/blob/master/storm-client/test/jvm/org/apache/storm/daemon/worker/LogConfigManagerTest.java")</f>
        <v/>
      </c>
      <c r="D1994" t="inlineStr">
        <is>
          <t>The code defines a class `Worker` within the package `org.apache.storm.daemon`. It uses a TreeMap to store data and an AtomicReference for atomic operations. The class includes logging using Log4j for debugging purposes. The complexity of the implementation is O(N), indicating linear time complexity for certain operations involving the TreeMap. The comments suggest that the code implements core algorithms, and there have been</t>
        </is>
      </c>
      <c r="E1994" t="n">
        <v>0.0069</v>
      </c>
      <c r="F1994" t="n">
        <v>0.08110000000000001</v>
      </c>
      <c r="G1994" t="n">
        <v>0.2355</v>
      </c>
      <c r="H1994" t="inlineStr">
        <is>
          <t>Manages backend software components using TreeMap and AtomicReference. Complexity is O(N). Comments describe implementation of core algorithms. Initial codebase commit. Code size is 1000 lines.</t>
        </is>
      </c>
      <c r="I1994" t="n">
        <v>0.01</v>
      </c>
      <c r="J1994" t="n">
        <v>0.1765</v>
      </c>
      <c r="K1994" t="n">
        <v>0.2577</v>
      </c>
      <c r="L1994" t="inlineStr">
        <is>
          <t>The code implements a worker component within the Apache Storm framework, responsible for processing tasks assigned to it. It uses a TreeMap to manage task assignments efficiently and maintains atomic references for thread-safe updates. The implementation includes logging using Log4j for tracking events and errors during operation.</t>
        </is>
      </c>
      <c r="M1994" t="n">
        <v>0.0046</v>
      </c>
      <c r="N1994" t="n">
        <v>0.07140000000000001</v>
      </c>
      <c r="O1994" t="n">
        <v>0.1261</v>
      </c>
    </row>
    <row r="1995">
      <c r="A1995" t="inlineStr">
        <is>
          <t>storm</t>
        </is>
      </c>
      <c r="B1995" t="inlineStr">
        <is>
          <t>storm-client/test/jvm/org/apache/storm/serialization/SerializationFactoryTest.java</t>
        </is>
      </c>
      <c r="C1995">
        <f>HYPERLINK("https://github.com/apache/storm/blob/master/storm-client/test/jvm/org/apache/storm/serialization/SerializationFactoryTest.java")</f>
        <v/>
      </c>
      <c r="D1995" t="inlineStr">
        <is>
          <t>The provided code defines a Kryo-based tuple serializer that uses Blowfish encryption for serialization and deserialization. It includes configuration options for specifying the key size and whether to enable encryption. This implementation is part of a larger Storm project used for real-time data processing.</t>
        </is>
      </c>
      <c r="E1995" t="n">
        <v>0.005</v>
      </c>
      <c r="F1995" t="n">
        <v>0.0741</v>
      </c>
      <c r="G1995" t="n">
        <v>0.1724</v>
      </c>
      <c r="H1995" t="inlineStr">
        <is>
          <t>The repository contains backend software components that implement core algorithms. Complexity is O(N), indicating linear time complexity. Comments describe the implementation of these algorithms. Initial codebase commit was made. Code size is 1000 lines.</t>
        </is>
      </c>
      <c r="I1995" t="n">
        <v>0.0065</v>
      </c>
      <c r="J1995" t="n">
        <v>0.1395</v>
      </c>
      <c r="K1995" t="n">
        <v>0.1415</v>
      </c>
      <c r="L1995" t="inlineStr">
        <is>
          <t>The provided code implements a Kryo-based tuple serializer using Blowfish encryption for serialization and deserialization processes within Apache Storm's security framework. It includes methods for serializing tuples into byte arrays and deserializing them back into their original form, ensuring data integrity through cryptographic protection.</t>
        </is>
      </c>
      <c r="M1995" t="n">
        <v>0.005</v>
      </c>
      <c r="N1995" t="n">
        <v>0.0741</v>
      </c>
      <c r="O1995" t="n">
        <v>0.1293</v>
      </c>
    </row>
    <row r="1996">
      <c r="A1996" t="inlineStr">
        <is>
          <t>storm</t>
        </is>
      </c>
      <c r="B1996" t="inlineStr">
        <is>
          <t>storm-client/test/jvm/org/apache/storm/serialization/GzipBridgeThriftSerializationDelegateTest.java</t>
        </is>
      </c>
      <c r="C1996">
        <f>HYPERLINK("https://github.com/apache/storm/blob/master/storm-client/test/jvm/org/apache/storm/serialization/GzipBridgeThriftSerializationDelegateTest.java")</f>
        <v/>
      </c>
      <c r="D1996" t="inlineStr">
        <is>
          <t>The provided Java code snippet appears to be part of a Storm serialization library within the Apache Hadoop ecosystem. It includes comments explaining its purpose, licensing, and dependencies. The code does not contain any executable logic but rather serves as documentation for the package `org.apache.storm.serialization`. The complexity is described as O(N), which suggests that it involves operations proportional to the size of input data N. The</t>
        </is>
      </c>
      <c r="E1996" t="n">
        <v>0.0028</v>
      </c>
      <c r="F1996" t="n">
        <v>0.0513</v>
      </c>
      <c r="G1996" t="n">
        <v>0.0725</v>
      </c>
      <c r="H1996" t="inlineStr">
        <is>
          <t>This repository contains backend software components implementing core algorithms.</t>
        </is>
      </c>
      <c r="I1996" t="n">
        <v>0.0316</v>
      </c>
      <c r="J1996" t="n">
        <v>0.4706</v>
      </c>
      <c r="K1996" t="n">
        <v>0.3897</v>
      </c>
      <c r="L1996" t="inlineStr">
        <is>
          <t>This Java package `org.apache.storm.serialization` appears to be part of a Storm-based system, likely used for serialization and deserialization of data within the Storm framework. It includes tests that verify the correctness of global stream ID handling using JUnit. The code complexity is moderate, given its size of approximately 1000 lines, which suggests it involves multiple functionalities related to message serialization and des</t>
        </is>
      </c>
      <c r="M1996" t="n">
        <v>0.0035</v>
      </c>
      <c r="N1996" t="n">
        <v>0.08110000000000001</v>
      </c>
      <c r="O1996" t="n">
        <v>0.1119</v>
      </c>
    </row>
    <row r="1997">
      <c r="A1997" t="inlineStr">
        <is>
          <t>storm</t>
        </is>
      </c>
      <c r="B1997" t="inlineStr">
        <is>
          <t>storm-client/test/jvm/org/apache/storm/serialization/ThriftBridgeSerializationDelegateTest.java</t>
        </is>
      </c>
      <c r="C1997">
        <f>HYPERLINK("https://github.com/apache/storm/blob/master/storm-client/test/jvm/org/apache/storm/serialization/ThriftBridgeSerializationDelegateTest.java")</f>
        <v/>
      </c>
      <c r="D1997" t="inlineStr">
        <is>
          <t>The provided code appears to be part of a Java library that handles serialization and deserialization operations using Apache Storm's generated classes. It includes unit tests for error handling related to serialization errors. The complexity of the implementation is O(N), indicating linear time complexity, which suggests it processes data sequentially. The comments indicate that the code implements core algorithms for serialization and deserialization tasks within the context of Apache Storm.</t>
        </is>
      </c>
      <c r="E1997" t="n">
        <v>0.0061</v>
      </c>
      <c r="F1997" t="n">
        <v>0.075</v>
      </c>
      <c r="G1997" t="n">
        <v>0.2223</v>
      </c>
      <c r="H1997" t="inlineStr">
        <is>
          <t>This repository contains backend software components implementing core algorithms.</t>
        </is>
      </c>
      <c r="I1997" t="n">
        <v>0.0316</v>
      </c>
      <c r="J1997" t="n">
        <v>0.4706</v>
      </c>
      <c r="K1997" t="n">
        <v>0.3897</v>
      </c>
      <c r="L1997" t="inlineStr">
        <is>
          <t>This Java package contains serialization utilities for Apache Storm, including classes for handling error information during message transmission. It includes JUnit tests for verifying the correctness of these serialization methods.</t>
        </is>
      </c>
      <c r="M1997" t="n">
        <v>0.0062</v>
      </c>
      <c r="N1997" t="n">
        <v>0.0526</v>
      </c>
      <c r="O1997" t="n">
        <v>0.049</v>
      </c>
    </row>
    <row r="1998">
      <c r="A1998" t="inlineStr">
        <is>
          <t>storm</t>
        </is>
      </c>
      <c r="B1998" t="inlineStr">
        <is>
          <t>storm-client/test/jvm/org/apache/storm/utils/ThriftTopologyUtilsTest.java</t>
        </is>
      </c>
      <c r="C1998">
        <f>HYPERLINK("https://github.com/apache/storm/blob/master/storm-client/test/jvm/org/apache/storm/utils/ThriftTopologyUtilsTest.java")</f>
        <v/>
      </c>
      <c r="D1998" t="inlineStr">
        <is>
          <t>The provided code is part of the Apache Storm project, specifically within its `org.apache.storm.utils` package. It includes utility classes and methods that support various aspects of storm's internal operations. The complexity of the implementation is O(N), indicating linear time complexity for certain operations. The comments indicate that it implements core algorithms necessary for storm's functioning. The code size is approximately 1000</t>
        </is>
      </c>
      <c r="E1998" t="n">
        <v>0.007</v>
      </c>
      <c r="F1998" t="n">
        <v>0.08</v>
      </c>
      <c r="G1998" t="n">
        <v>0.2373</v>
      </c>
      <c r="H1998" t="inlineStr">
        <is>
          <t>The code implements core algorithms for a Storm backend system, using Java and NIO. It includes classes such as Bolt and ComponentCommon, which are part of the Apache Storm framework. The complexity is high due to its extensive implementation of various algorithms necessary for storm's operation.</t>
        </is>
      </c>
      <c r="I1998" t="n">
        <v>0.0094</v>
      </c>
      <c r="J1998" t="n">
        <v>0.1091</v>
      </c>
      <c r="K1998" t="n">
        <v>0.2675</v>
      </c>
      <c r="L1998" t="inlineStr">
        <is>
          <t>The provided Java code defines utility methods within the `org.apache.storm.utils` package that handle various tasks related to Storm's Bolt interface, including serialization and deserialization of Bolt objects using ByteBuffer, as well as parsing component common configurations from JSON strings. These utilities support the implementation of core algorithms necessary for processing data streams in Apache Storm.</t>
        </is>
      </c>
      <c r="M1998" t="n">
        <v>0.004</v>
      </c>
      <c r="N1998" t="n">
        <v>0.0597</v>
      </c>
      <c r="O1998" t="n">
        <v>0.1575</v>
      </c>
    </row>
    <row r="1999">
      <c r="A1999" t="inlineStr">
        <is>
          <t>storm</t>
        </is>
      </c>
      <c r="B1999" t="inlineStr">
        <is>
          <t>storm-client/test/jvm/org/apache/storm/utils/UtilsTest.java</t>
        </is>
      </c>
      <c r="C1999">
        <f>HYPERLINK("https://github.com/apache/storm/blob/master/storm-client/test/jvm/org/apache/storm/utils/UtilsTest.java")</f>
        <v/>
      </c>
      <c r="D1999" t="inlineStr">
        <is>
          <t>The provided code is part of the Storm project, which is an open-source distributed real-time computation system. It includes utility classes and methods that support various functionalities within the Storm framework. The code is licensed under the Apache License, Version 2.0. The complexity of the implementation is O(N), indicating linear time complexity. The comments provide context about the licensing, purpose, and usage of the code</t>
        </is>
      </c>
      <c r="E1999" t="n">
        <v>0.0028</v>
      </c>
      <c r="F1999" t="n">
        <v>0.0519</v>
      </c>
      <c r="G1999" t="n">
        <v>0.1095</v>
      </c>
      <c r="H1999" t="inlineStr">
        <is>
          <t>This repository contains backend software components that implement core algorithms. Complexity is O(N), indicating linear time complexity for certain operations. Comments describe the implementation details, and commits include the initial creation of the codebase. The total size of the code is 1000 lines.</t>
        </is>
      </c>
      <c r="I1999" t="n">
        <v>0.0061</v>
      </c>
      <c r="J1999" t="n">
        <v>0.1923</v>
      </c>
      <c r="K1999" t="n">
        <v>0.2174</v>
      </c>
      <c r="L1999" t="inlineStr">
        <is>
          <t>The provided Java code defines utility methods within the `org.apache.storm.utils` package, primarily focused on handling network-related tasks such as socket exceptions and managing collections. It includes methods like `socketTimeoutHandler`, which manages timeouts during socket operations, and `sortArrayList`, which sorts an ArrayList using Collections.sort(). These utilities support various aspects of Storm's backend software components, enhancing their robustness and performance</t>
        </is>
      </c>
      <c r="M1999" t="n">
        <v>0.0037</v>
      </c>
      <c r="N1999" t="n">
        <v>0.0556</v>
      </c>
      <c r="O1999" t="n">
        <v>0.1154</v>
      </c>
    </row>
    <row r="2000">
      <c r="A2000" t="inlineStr">
        <is>
          <t>storm</t>
        </is>
      </c>
      <c r="B2000" t="inlineStr">
        <is>
          <t>storm-client/test/jvm/org/apache/storm/utils/JCQueueBackpressureTest.java</t>
        </is>
      </c>
      <c r="C2000">
        <f>HYPERLINK("https://github.com/apache/storm/blob/master/storm-client/test/jvm/org/apache/storm/utils/JCQueueBackpressureTest.java")</f>
        <v/>
      </c>
      <c r="D2000" t="inlineStr">
        <is>
          <t>The provided Java code defines utility classes related to Storm metrics and wait strategies. It includes:
1. `StormMetricRegistry`: A class that manages metric registries used in Apache Storm for monitoring system performance.
2. `WaitStrategyPark`: An implementation of a wait strategy where tasks park until they receive new data.
3. `JCQueue.Consumer`: A consumer interface for a queue-based system using JC</t>
        </is>
      </c>
      <c r="E2000" t="n">
        <v>0.0031</v>
      </c>
      <c r="F2000" t="n">
        <v>0.029</v>
      </c>
      <c r="G2000" t="n">
        <v>0.1145</v>
      </c>
      <c r="H2000" t="inlineStr">
        <is>
          <t>This repository contains backend software components that implement core algorithms using Java. It includes classes such as `StormMetricRegistry`, `WaitStrategyPark`, and `JCQueue.Consumer`. The complexity of these implementations is O(N), indicating they involve processing collections or sequences of data.</t>
        </is>
      </c>
      <c r="I2000" t="n">
        <v>0.0071</v>
      </c>
      <c r="J2000" t="n">
        <v>0.2128</v>
      </c>
      <c r="K2000" t="n">
        <v>0.2752</v>
      </c>
      <c r="L2000" t="inlineStr">
        <is>
          <t>This Java class provides utility methods for managing Storm metrics and wait strategies, including creating a metric registry and implementing a custom consumer interface using JCQueue. It includes comments explaining the licensing and usage terms, as well as documentation for each method.</t>
        </is>
      </c>
      <c r="M2000" t="n">
        <v>0.0052</v>
      </c>
      <c r="N2000" t="n">
        <v>0.12</v>
      </c>
      <c r="O2000" t="n">
        <v>0.1754</v>
      </c>
    </row>
    <row r="2001">
      <c r="A2001" t="inlineStr">
        <is>
          <t>storm</t>
        </is>
      </c>
      <c r="B2001" t="inlineStr">
        <is>
          <t>storm-client/test/jvm/org/apache/storm/utils/ConfigUtilsTest.java</t>
        </is>
      </c>
      <c r="C2001">
        <f>HYPERLINK("https://github.com/apache/storm/blob/master/storm-client/test/jvm/org/apache/storm/utils/ConfigUtilsTest.java")</f>
        <v/>
      </c>
      <c r="D2001" t="inlineStr">
        <is>
          <t>The provided code is part of the Storm project, which is an open-source distributed real-time computation system. It includes utility classes such as `Utils` that provide various helper methods for network operations, string manipulation, and data processing. The complexity of these utilities is O(N), indicating linear time complexity for certain operations like array manipulations or hash table lookups. The comments within the code describe its purpose</t>
        </is>
      </c>
      <c r="E2001" t="n">
        <v>0.0028</v>
      </c>
      <c r="F2001" t="n">
        <v>0.026</v>
      </c>
      <c r="G2001" t="n">
        <v>0.0725</v>
      </c>
      <c r="H2001" t="inlineStr">
        <is>
          <t>This repository contains backend software components that implement core algorithms. Complexity is O(N), indicating linear time complexity. Comments describe the implementation details. Initial codebase commit was made. Code size is 1000 lines.</t>
        </is>
      </c>
      <c r="I2001" t="n">
        <v>0.0077</v>
      </c>
      <c r="J2001" t="n">
        <v>0.1951</v>
      </c>
      <c r="K2001" t="n">
        <v>0.1923</v>
      </c>
      <c r="L2001" t="inlineStr">
        <is>
          <t>The code provides utility functions for handling network connections and data structures in Apache Storm, focusing on efficient data manipulation and networking tasks. It includes methods for managing host lists, hash tables, and other collections, as well as utilities for resolving hostnames and handling exceptions related to network communication.</t>
        </is>
      </c>
      <c r="M2001" t="n">
        <v>0.0037</v>
      </c>
      <c r="N2001" t="n">
        <v>0.0702</v>
      </c>
      <c r="O2001" t="n">
        <v>0.08260000000000001</v>
      </c>
    </row>
    <row r="2002">
      <c r="A2002" t="inlineStr">
        <is>
          <t>storm</t>
        </is>
      </c>
      <c r="B2002" t="inlineStr">
        <is>
          <t>storm-client/test/jvm/org/apache/storm/utils/SecurityUtilsTest.java</t>
        </is>
      </c>
      <c r="C2002">
        <f>HYPERLINK("https://github.com/apache/storm/blob/master/storm-client/test/jvm/org/apache/storm/utils/SecurityUtilsTest.java")</f>
        <v/>
      </c>
      <c r="D2002" t="inlineStr">
        <is>
          <t>The `SecurityUtils` class contains unit tests for the `inferKeyStoreTypeFromPath` method within the `org.apache.storm.utils` package. This method determines the type of key store from its path based on common extensions like `.jks`, `.keystore`, and `.pkcs12`. The tests verify that the method correctly identifies these types and handles various edge cases such as incorrect</t>
        </is>
      </c>
      <c r="E2002" t="n">
        <v>0.0042</v>
      </c>
      <c r="F2002" t="n">
        <v>0.0635</v>
      </c>
      <c r="G2002" t="n">
        <v>0.0806</v>
      </c>
      <c r="H2002" t="inlineStr">
        <is>
          <t>This repository contains backend software components that implement core algorithms. Complexity is O(N), indicating linear time complexity. Comments describe the implementation of these algorithms. Initial codebase commit was made. The total size of the codebase is 1000 lines.</t>
        </is>
      </c>
      <c r="I2002" t="n">
        <v>0.0064</v>
      </c>
      <c r="J2002" t="n">
        <v>0.1702</v>
      </c>
      <c r="K2002" t="n">
        <v>0.1818</v>
      </c>
      <c r="L2002" t="inlineStr">
        <is>
          <t>The `SecurityUtilsTest` class contains a single JUnit test method that verifies the functionality of the `inferKeyStoreTypeFromPath` method within the `org.apache.storm.utils.SecurityUtils` package. The method attempts to infer the type of a keystore from its path using different extensions like `.jks`, `.keystore`, `.pkcs12`, etc., and asserts that the</t>
        </is>
      </c>
      <c r="M2002" t="n">
        <v>0.0048</v>
      </c>
      <c r="N2002" t="n">
        <v>0.06900000000000001</v>
      </c>
      <c r="O2002" t="n">
        <v>0.0847</v>
      </c>
    </row>
    <row r="2003">
      <c r="A2003" t="inlineStr">
        <is>
          <t>storm</t>
        </is>
      </c>
      <c r="B2003" t="inlineStr">
        <is>
          <t>storm-client/test/jvm/org/apache/storm/utils/StormBoundedExponentialBackoffRetryTest.java</t>
        </is>
      </c>
      <c r="C2003">
        <f>HYPERLINK("https://github.com/apache/storm/blob/master/storm-client/test/jvm/org/apache/storm/utils/StormBoundedExponentialBackoffRetryTest.java")</f>
        <v/>
      </c>
      <c r="D2003" t="inlineStr">
        <is>
          <t>The provided Java code defines a test class `StormBoundedExpo` within the package `org.apache.storm.utils`. This class uses JUnit Jupiter for testing and SLF4J for logging. It includes a single test method named `testBoundedExponentialFunctionality`, which asserts that the bounded exponential function behaves as expected. The complexity of the implementation is O(N), indicating linear time</t>
        </is>
      </c>
      <c r="E2003" t="n">
        <v>0.0042</v>
      </c>
      <c r="F2003" t="n">
        <v>0.0625</v>
      </c>
      <c r="G2003" t="n">
        <v>0.1613</v>
      </c>
      <c r="H2003" t="inlineStr">
        <is>
          <t>The code implements core algorithms for a backend system using JUnit tests and SLF4J logging. It has a complexity of O(N) due to its algorithmic nature, and it includes comments explaining the implementation details. The code size is 1000 lines.</t>
        </is>
      </c>
      <c r="I2003" t="n">
        <v>0.0108</v>
      </c>
      <c r="J2003" t="n">
        <v>0.1224</v>
      </c>
      <c r="K2003" t="n">
        <v>0.2818</v>
      </c>
      <c r="L2003" t="inlineStr">
        <is>
          <t>The `StormBoundedExpo` class provides utility methods for exponential backoff strategies used in storm-based systems, focusing on bounded retry mechanisms to handle transient failures gracefully. It includes test cases to verify the correctness of these methods using JUnit and SLF4J logging.</t>
        </is>
      </c>
      <c r="M2003" t="n">
        <v>0.0046</v>
      </c>
      <c r="N2003" t="n">
        <v>0.0408</v>
      </c>
      <c r="O2003" t="n">
        <v>0.0893</v>
      </c>
    </row>
    <row r="2004">
      <c r="A2004" t="inlineStr">
        <is>
          <t>storm</t>
        </is>
      </c>
      <c r="B2004" t="inlineStr">
        <is>
          <t>storm-client/test/jvm/org/apache/storm/utils/MockTupleHelpers.java</t>
        </is>
      </c>
      <c r="C2004">
        <f>HYPERLINK("https://github.com/apache/storm/blob/master/storm-client/test/jvm/org/apache/storm/utils/MockTupleHelpers.java")</f>
        <v/>
      </c>
      <c r="D2004" t="inlineStr">
        <is>
          <t>The `MockTupleHelpers` class provides utility methods for creating mock tuples using Mockito, which can be used in unit tests for Storm applications. It includes a constructor that prevents instantiation and several static methods for generating mock tuples based on different scenarios. These methods help streamline testing by allowing developers to easily create test data without manually constructing tuple objects.</t>
        </is>
      </c>
      <c r="E2004" t="n">
        <v>0.0031</v>
      </c>
      <c r="F2004" t="n">
        <v>0.0299</v>
      </c>
      <c r="G2004" t="n">
        <v>0.07630000000000001</v>
      </c>
      <c r="H2004" t="inlineStr">
        <is>
          <t>Provides helper methods for mocking tuples in Apache Storm's unit tests.</t>
        </is>
      </c>
      <c r="I2004" t="n">
        <v>0</v>
      </c>
      <c r="J2004" t="n">
        <v>0</v>
      </c>
      <c r="K2004" t="n">
        <v>0</v>
      </c>
      <c r="L2004" t="inlineStr">
        <is>
          <t>The `MockTupleHelpers` class provides utility methods for creating mock tuples using Mockito, which can be used in unit tests for Storm components. It includes methods to create mock tuples with various fields such as values, headers, and timestamps, facilitating easier testing of tuple processing logic within Storm applications.</t>
        </is>
      </c>
      <c r="M2004" t="n">
        <v>0.0038</v>
      </c>
      <c r="N2004" t="n">
        <v>0.07140000000000001</v>
      </c>
      <c r="O2004" t="n">
        <v>0.0833</v>
      </c>
    </row>
    <row r="2005">
      <c r="A2005" t="inlineStr">
        <is>
          <t>storm</t>
        </is>
      </c>
      <c r="B2005" t="inlineStr">
        <is>
          <t>storm-client/test/jvm/org/apache/storm/utils/ShellUtilsTest.java</t>
        </is>
      </c>
      <c r="C2005">
        <f>HYPERLINK("https://github.com/apache/storm/blob/master/storm-client/test/jvm/org/apache/storm/utils/ShellUtilsTest.java")</f>
        <v/>
      </c>
      <c r="D2005" t="inlineStr">
        <is>
          <t>The provided Java code defines utility classes and methods within the `org.apache.storm.utils` package. It includes:
1. **ShellMsg Class**: Represents messages sent between Storm tasks and external processes using shell scripts.
2. **TopologyContext Class**: Provides context information about the topology being executed, such as component IDs, task indices, etc.
3. **Config Class**: Contains configuration settings used by</t>
        </is>
      </c>
      <c r="E2005" t="n">
        <v>0.0033</v>
      </c>
      <c r="F2005" t="n">
        <v>0.0299</v>
      </c>
      <c r="G2005" t="n">
        <v>0.0781</v>
      </c>
      <c r="H2005" t="inlineStr">
        <is>
          <t>Manages backend software components implementing core algorithms. Complexity is O(N).</t>
        </is>
      </c>
      <c r="I2005" t="n">
        <v>0.0251</v>
      </c>
      <c r="J2005" t="n">
        <v>0.3158</v>
      </c>
      <c r="K2005" t="n">
        <v>0.3117</v>
      </c>
      <c r="L2005" t="inlineStr">
        <is>
          <t>This Java class provides utility methods for handling configuration settings and shell messages within Apache Storm's topology context. It includes methods for retrieving configuration values from `TopologyContext` objects and processing ShellMessages received during task execution. The implementation focuses on maintaining clarity and efficiency, leveraging HashMaps for quick lookups.</t>
        </is>
      </c>
      <c r="M2005" t="n">
        <v>0.0045</v>
      </c>
      <c r="N2005" t="n">
        <v>0.1053</v>
      </c>
      <c r="O2005" t="n">
        <v>0.125</v>
      </c>
    </row>
    <row r="2006">
      <c r="A2006" t="inlineStr">
        <is>
          <t>storm</t>
        </is>
      </c>
      <c r="B2006" t="inlineStr">
        <is>
          <t>storm-client/test/jvm/org/apache/storm/utils/ShellBoltMessageQueueTest.java</t>
        </is>
      </c>
      <c r="C2006">
        <f>HYPERLINK("https://github.com/apache/storm/blob/master/storm-client/test/jvm/org/apache/storm/utils/ShellBoltMessageQueueTest.java")</f>
        <v/>
      </c>
      <c r="D2006" t="inlineStr">
        <is>
          <t>The provided Java code defines utility methods for handling messages in Apache Storm's multilang interface. It includes methods for converting between `BoltMsg` objects and lists of strings, as well as utilities for managing timeouts using `TimeUnit`. The complexity is O(1), indicating constant time operations for basic conversions and timeout management.</t>
        </is>
      </c>
      <c r="E2006" t="n">
        <v>0.0037</v>
      </c>
      <c r="F2006" t="n">
        <v>0.0333</v>
      </c>
      <c r="G2006" t="n">
        <v>0.082</v>
      </c>
      <c r="H2006" t="inlineStr">
        <is>
          <t>This repository contains backend software components that implement core algorithms. It includes Java source files and uses Google Guava library for concurrent operations. The complexity of the implementation is O(N), indicating linear time complexity.</t>
        </is>
      </c>
      <c r="I2006" t="n">
        <v>0.0077</v>
      </c>
      <c r="J2006" t="n">
        <v>0.2326</v>
      </c>
      <c r="K2006" t="n">
        <v>0.283</v>
      </c>
      <c r="L2006" t="inlineStr">
        <is>
          <t>The code provides utility functions for processing messages in Storm, including handling Bolt messages and managing timeouts using Google Guava's `TimeUnit`. It includes methods for converting milliseconds to seconds and vice versa, as well as utilities for working with lists and timing operations.</t>
        </is>
      </c>
      <c r="M2006" t="n">
        <v>0.0043</v>
      </c>
      <c r="N2006" t="n">
        <v>0.0769</v>
      </c>
      <c r="O2006" t="n">
        <v>0.08699999999999999</v>
      </c>
    </row>
    <row r="2007">
      <c r="A2007" t="inlineStr">
        <is>
          <t>storm</t>
        </is>
      </c>
      <c r="B2007" t="inlineStr">
        <is>
          <t>storm-client/test/jvm/org/apache/storm/utils/PredicateMatcher.java</t>
        </is>
      </c>
      <c r="C2007">
        <f>HYPERLINK("https://github.com/apache/storm/blob/master/storm-client/test/jvm/org/apache/storm/utils/PredicateMatcher.java")</f>
        <v/>
      </c>
      <c r="D2007" t="inlineStr">
        <is>
          <t>The provided Java code defines a `PredicateMatcher` class that extends `TypeSafeMatcher`, allowing it to be used as a matcher for predicates within Hamcrest matchers. This class takes a `Predicate&lt;T&gt;` as input and provides methods to check if a given object matches the predicate's criteria. It includes a constructor to initialize the predicate and a method to describe the expected behavior when using the matcher.</t>
        </is>
      </c>
      <c r="E2007" t="n">
        <v>0.0034</v>
      </c>
      <c r="F2007" t="n">
        <v>0.0541</v>
      </c>
      <c r="G2007" t="n">
        <v>0.1103</v>
      </c>
      <c r="H2007" t="inlineStr">
        <is>
          <t>The repository contains backend software components that implement core algorithms. Complexity is O(N), indicating linear time complexity. Comments describe the implementation as core algorithms. Initial codebase commit was made. Code size is 1000 lines.</t>
        </is>
      </c>
      <c r="I2007" t="n">
        <v>0.0065</v>
      </c>
      <c r="J2007" t="n">
        <v>0.1395</v>
      </c>
      <c r="K2007" t="n">
        <v>0.1415</v>
      </c>
      <c r="L2007" t="inlineStr">
        <is>
          <t>This Java class `PredicateMatcher` extends `TypeSafeMatcher` from the Hamcrest library to provide a custom matcher that checks if a given object satisfies a specified predicate function. It allows developers to easily test objects against complex conditions using Hamcrest matchers.</t>
        </is>
      </c>
      <c r="M2007" t="n">
        <v>0.0047</v>
      </c>
      <c r="N2007" t="n">
        <v>0.0851</v>
      </c>
      <c r="O2007" t="n">
        <v>0.0901</v>
      </c>
    </row>
    <row r="2008">
      <c r="A2008" t="inlineStr">
        <is>
          <t>storm</t>
        </is>
      </c>
      <c r="B2008" t="inlineStr">
        <is>
          <t>storm-client/test/jvm/org/apache/storm/utils/SimpleVersionTest.java</t>
        </is>
      </c>
      <c r="C2008">
        <f>HYPERLINK("https://github.com/apache/storm/blob/master/storm-client/test/jvm/org/apache/storm/utils/SimpleVersionTest.java")</f>
        <v/>
      </c>
      <c r="D2008" t="inlineStr">
        <is>
          <t>The provided code defines a simple version test using JUnit Jupiter. It includes a single test method `testSimpleVersion` that checks if a string representation of a version matches expected values. The complexity of the implementation is O(1), as it involves basic string comparison operations.</t>
        </is>
      </c>
      <c r="E2008" t="n">
        <v>0</v>
      </c>
      <c r="F2008" t="n">
        <v>0.0377</v>
      </c>
      <c r="G2008" t="n">
        <v>0.0862</v>
      </c>
      <c r="H2008" t="inlineStr">
        <is>
          <t>This repository contains backend software components that implement core algorithms. Complexity is O(N), indicating linear time complexity. Comments describe the implementation of these algorithms. Initial codebase was committed. Code size is 1000 lines.</t>
        </is>
      </c>
      <c r="I2008" t="n">
        <v>0.0074</v>
      </c>
      <c r="J2008" t="n">
        <v>0.1905</v>
      </c>
      <c r="K2008" t="n">
        <v>0.1905</v>
      </c>
      <c r="L2008" t="inlineStr">
        <is>
          <t>The `SimpleVersionTest` class contains JUnit tests that verify the correctness of version-related methods within the `org.apache.storm.utils.SimpleVersion` package. It includes assertions to ensure that the version comparison functions return expected results based on different input scenarios.</t>
        </is>
      </c>
      <c r="M2008" t="n">
        <v>0</v>
      </c>
      <c r="N2008" t="n">
        <v>0.0417</v>
      </c>
      <c r="O2008" t="n">
        <v>0.0467</v>
      </c>
    </row>
    <row r="2009">
      <c r="A2009" t="inlineStr">
        <is>
          <t>storm</t>
        </is>
      </c>
      <c r="B2009" t="inlineStr">
        <is>
          <t>storm-client/test/jvm/org/apache/storm/utils/JCQueueTest.java</t>
        </is>
      </c>
      <c r="C2009">
        <f>HYPERLINK("https://github.com/apache/storm/blob/master/storm-client/test/jvm/org/apache/storm/utils/JCQueueTest.java")</f>
        <v/>
      </c>
      <c r="D2009" t="inlineStr">
        <is>
          <t>The provided Java code snippet is part of a test suite for the `org.apache.storm.utils` package within the Apache Storm project. It includes JUnit tests that verify various functionalities related to core algorithms used in storm's utilities. The tests check assertions about expected outcomes using methods like `assertEquals`, `assertFalse`, and `assertTrue`. The complexity of these tests is O(N), indicating they involve iterating over</t>
        </is>
      </c>
      <c r="E2009" t="n">
        <v>0.0035</v>
      </c>
      <c r="F2009" t="n">
        <v>0.0533</v>
      </c>
      <c r="G2009" t="n">
        <v>0.1119</v>
      </c>
      <c r="H2009" t="inlineStr">
        <is>
          <t>The code provides JUnit tests for verifying assertions about the implementation of core algorithms in the Apache Storm project. It includes methods for comparing expected outcomes with actual results using `assertEquals`, `assertFalse`, and `assertTrue`.</t>
        </is>
      </c>
      <c r="I2009" t="n">
        <v>0.0065</v>
      </c>
      <c r="J2009" t="n">
        <v>0.1429</v>
      </c>
      <c r="K2009" t="n">
        <v>0.1887</v>
      </c>
      <c r="L2009" t="inlineStr">
        <is>
          <t>The code provides utility functions for testing purposes within the Apache Storm project. It includes assertions for comparing expected outcomes against actual results using JUnit Jupiter API methods.</t>
        </is>
      </c>
      <c r="M2009" t="n">
        <v>0</v>
      </c>
      <c r="N2009" t="n">
        <v>0.0556</v>
      </c>
      <c r="O2009" t="n">
        <v>0.05</v>
      </c>
    </row>
    <row r="2010">
      <c r="A2010" t="inlineStr">
        <is>
          <t>storm</t>
        </is>
      </c>
      <c r="B2010" t="inlineStr">
        <is>
          <t>storm-client/test/jvm/org/apache/storm/utils/ThrowableNestedCauseMatcher.java</t>
        </is>
      </c>
      <c r="C2010">
        <f>HYPERLINK("https://github.com/apache/storm/blob/master/storm-client/test/jvm/org/apache/storm/utils/ThrowableNestedCauseMatcher.java")</f>
        <v/>
      </c>
      <c r="D2010" t="inlineStr">
        <is>
          <t>The `ThrowableNestedCauseMatcher` class is a custom matcher used in Java testing frameworks like JUnit. It checks if a given throwable has a nested cause that matches another specified throwable. This is useful for verifying that exceptions have been thrown correctly with expected causes during unit tests.</t>
        </is>
      </c>
      <c r="E2010" t="n">
        <v>0.004</v>
      </c>
      <c r="F2010" t="n">
        <v>0.037</v>
      </c>
      <c r="G2010" t="n">
        <v>0.0847</v>
      </c>
      <c r="H2010" t="inlineStr">
        <is>
          <t>The code defines a `ThrowableNestedCauseMatcher` class that extends `TypeSafeMatcher&lt;Throwable&gt;` from the Hamcrest library. It is used to match exceptions based on their nested cause. The README describes it as part of a larger project containing backend software components, implementing core algorithms. Complexity is O(N), indicating linear time complexity due to potential recursive operations within the matcher. Commits indicate the initial</t>
        </is>
      </c>
      <c r="I2010" t="n">
        <v>0.0036</v>
      </c>
      <c r="J2010" t="n">
        <v>0.0857</v>
      </c>
      <c r="K2010" t="n">
        <v>0.2391</v>
      </c>
      <c r="L2010" t="inlineStr">
        <is>
          <t>The `ThrowableNestedCauseMatcher` class extends `TypeSafeMatcher&lt;Throwable&gt;` from the Hamcrest library to facilitate testing of exceptions that have nested causes. It provides methods to match exceptions based on their cause hierarchy, allowing developers to verify if a thrown exception has a specific root cause.</t>
        </is>
      </c>
      <c r="M2010" t="n">
        <v>0</v>
      </c>
      <c r="N2010" t="n">
        <v>0</v>
      </c>
      <c r="O2010" t="n">
        <v>0</v>
      </c>
    </row>
    <row r="2011">
      <c r="A2011" t="inlineStr">
        <is>
          <t>storm</t>
        </is>
      </c>
      <c r="B2011" t="inlineStr">
        <is>
          <t>storm-client/test/jvm/org/apache/storm/utils/CuratorUtilsTest.java</t>
        </is>
      </c>
      <c r="C2011">
        <f>HYPERLINK("https://github.com/apache/storm/blob/master/storm-client/test/jvm/org/apache/storm/utils/CuratorUtilsTest.java")</f>
        <v/>
      </c>
      <c r="D2011" t="inlineStr">
        <is>
          <t>The provided Java code defines utility methods for working with files and ZooKeeper instances in Apache Storm. It includes functions for creating directories, checking if a directory exists, listing files within a directory, and managing ZooKeeper client connections. The complexity of these operations is O(N), where N represents the number of elements being processed. The code is part of the Apache Storm project's backend software components and has been</t>
        </is>
      </c>
      <c r="E2011" t="n">
        <v>0.0031</v>
      </c>
      <c r="F2011" t="n">
        <v>0.0506</v>
      </c>
      <c r="G2011" t="n">
        <v>0.1064</v>
      </c>
      <c r="H2011" t="inlineStr">
        <is>
          <t>Manages backend software components using ZooKeeper.</t>
        </is>
      </c>
      <c r="I2011" t="n">
        <v>0.0293</v>
      </c>
      <c r="J2011" t="n">
        <v>0.1429</v>
      </c>
      <c r="K2011" t="n">
        <v>0.1282</v>
      </c>
      <c r="L2011" t="inlineStr">
        <is>
          <t>The code implements utility functions related to ZooKeeper client management within the Apache Storm framework. It includes methods for creating and managing instances of `InstanceSpec`, which represent cluster nodes, and provides utilities for interacting with ZooKeeper servers using Curator library. The code handles basic configurations such as setting up connection parameters and handling exceptions during ZooKeeper interactions.</t>
        </is>
      </c>
      <c r="M2011" t="n">
        <v>0.0038</v>
      </c>
      <c r="N2011" t="n">
        <v>0.09229999999999999</v>
      </c>
      <c r="O2011" t="n">
        <v>0.1163</v>
      </c>
    </row>
    <row r="2012">
      <c r="A2012" t="inlineStr">
        <is>
          <t>storm</t>
        </is>
      </c>
      <c r="B2012" t="inlineStr">
        <is>
          <t>storm-client/test/jvm/org/apache/storm/utils/DefaultShellLogHandlerTest.java</t>
        </is>
      </c>
      <c r="C2012">
        <f>HYPERLINK("https://github.com/apache/storm/blob/master/storm-client/test/jvm/org/apache/storm/utils/DefaultShellLogHandlerTest.java")</f>
        <v/>
      </c>
      <c r="D2012" t="inlineStr">
        <is>
          <t>The provided code appears to be part of the Apache Storm project, specifically within the `org.apache.storm.utils` package. It includes a class that handles shell messages used in the Storm multilang interface. The class has methods to process these messages, including setting log levels and handling different types of shell output. There are also JUnit tests for this class, which suggests it's part of a</t>
        </is>
      </c>
      <c r="E2012" t="n">
        <v>0.0028</v>
      </c>
      <c r="F2012" t="n">
        <v>0.0263</v>
      </c>
      <c r="G2012" t="n">
        <v>0.1103</v>
      </c>
      <c r="H2012" t="inlineStr">
        <is>
          <t>The repository contains backend software components that implement core algorithms. Complexity is O(N), indicating linear time complexity. Comments describe the implementation of these algorithms. Initial codebase commit was made. Code size is 1000 lines.</t>
        </is>
      </c>
      <c r="I2012" t="n">
        <v>0.0065</v>
      </c>
      <c r="J2012" t="n">
        <v>0.1395</v>
      </c>
      <c r="K2012" t="n">
        <v>0.1415</v>
      </c>
      <c r="L2012" t="inlineStr">
        <is>
          <t>The provided Java code appears to be part of a Storm project, specifically within the `org.apache.storm.utils` package. It includes JUnit tests that verify the implementation of shell message handling in the Storm framework. The tests focus on testing various aspects of the `ShellMsg` class, including logging levels and message parsing. The code complexity is moderate, given the number of test cases and the need</t>
        </is>
      </c>
      <c r="M2012" t="n">
        <v>0.0028</v>
      </c>
      <c r="N2012" t="n">
        <v>0.0533</v>
      </c>
      <c r="O2012" t="n">
        <v>0.1103</v>
      </c>
    </row>
    <row r="2013">
      <c r="A2013" t="inlineStr">
        <is>
          <t>storm</t>
        </is>
      </c>
      <c r="B2013" t="inlineStr">
        <is>
          <t>storm-client/test/jvm/org/apache/storm/utils/TimeTest.java</t>
        </is>
      </c>
      <c r="C2013">
        <f>HYPERLINK("https://github.com/apache/storm/blob/master/storm-client/test/jvm/org/apache/storm/utils/TimeTest.java")</f>
        <v/>
      </c>
      <c r="D2013" t="inlineStr">
        <is>
          <t>The provided code appears to be part of a Storm project, specifically within the `org.apache.storm.utils` package. It includes utility classes and methods related to time simulation using the SimulatedTime class from the same package. The code also contains JUnit tests that verify the correctness of these utilities. The complexity of the implementation is O(N), indicating linear time complexity, which suggests it processes data sequentially</t>
        </is>
      </c>
      <c r="E2013" t="n">
        <v>0.0028</v>
      </c>
      <c r="F2013" t="n">
        <v>0.0263</v>
      </c>
      <c r="G2013" t="n">
        <v>0.1103</v>
      </c>
      <c r="H2013" t="inlineStr">
        <is>
          <t>This repository contains backend software components that implement core algorithms. Complexity is O(N), indicating linear time complexity. Comments describe the implementation of these algorithms. Initial codebase commit was made. Code size is 1000 lines.</t>
        </is>
      </c>
      <c r="I2013" t="n">
        <v>0.0072</v>
      </c>
      <c r="J2013" t="n">
        <v>0.186</v>
      </c>
      <c r="K2013" t="n">
        <v>0.1887</v>
      </c>
      <c r="L2013" t="inlineStr">
        <is>
          <t>The provided code appears to be part of a Storm framework implementation, specifically focusing on testing utilities within the `org.apache.storm.utils` package. It includes a test class that uses JUnit Jupiter to verify the correctness of methods related to time simulation in the Storm environment. The code snippet demonstrates setting up simulated time using `SimulatedTime`, which is crucial for testing scenarios involving timing-dependent operations within Storm</t>
        </is>
      </c>
      <c r="M2013" t="n">
        <v>0</v>
      </c>
      <c r="N2013" t="n">
        <v>0.026</v>
      </c>
      <c r="O2013" t="n">
        <v>0.0365</v>
      </c>
    </row>
    <row r="2014">
      <c r="A2014" t="inlineStr">
        <is>
          <t>storm</t>
        </is>
      </c>
      <c r="B2014" t="inlineStr">
        <is>
          <t>storm-client/test/jvm/org/apache/storm/tuple/FieldsTest.java</t>
        </is>
      </c>
      <c r="C2014">
        <f>HYPERLINK("https://github.com/apache/storm/blob/master/storm-client/test/jvm/org/apache/storm/tuple/FieldsTest.java")</f>
        <v/>
      </c>
      <c r="D2014" t="inlineStr">
        <is>
          <t>The provided code is part of the Apache Storm project, specifically within the `org.apache.storm.tuple` package. It includes a JUnit test class that tests the functionality of tuple operations using the `Arrays.asList()` method. The complexity of the implementation is O(1), as it involves creating a list from an array directly without any nested loops or recursive calls. The comments indicate that the code</t>
        </is>
      </c>
      <c r="E2014" t="n">
        <v>0.0029</v>
      </c>
      <c r="F2014" t="n">
        <v>0.0267</v>
      </c>
      <c r="G2014" t="n">
        <v>0.0746</v>
      </c>
      <c r="H2014" t="inlineStr">
        <is>
          <t>This repository contains backend software components implementing core algorithms.</t>
        </is>
      </c>
      <c r="I2014" t="n">
        <v>0.0316</v>
      </c>
      <c r="J2014" t="n">
        <v>0.4706</v>
      </c>
      <c r="K2014" t="n">
        <v>0.3897</v>
      </c>
      <c r="L2014" t="inlineStr">
        <is>
          <t>The provided Java code defines a class `Tuple` within the `org.apache.storm.tuple` package, which represents a tuple of values used in Apache Storm's message passing system. It includes methods for creating tuples from arrays, lists, and individual elements, as well as iterating over their contents. The class also provides utility methods for comparing tuples and converting them to strings. The code is part of</t>
        </is>
      </c>
      <c r="M2014" t="n">
        <v>0.0029</v>
      </c>
      <c r="N2014" t="n">
        <v>0.0267</v>
      </c>
      <c r="O2014" t="n">
        <v>0.0741</v>
      </c>
    </row>
    <row r="2015">
      <c r="A2015" t="inlineStr">
        <is>
          <t>storm</t>
        </is>
      </c>
      <c r="B2015" t="inlineStr">
        <is>
          <t>storm-client/test/jvm/org/apache/storm/tuple/ValuesTest.java</t>
        </is>
      </c>
      <c r="C2015">
        <f>HYPERLINK("https://github.com/apache/storm/blob/master/storm-client/test/jvm/org/apache/storm/tuple/ValuesTest.java")</f>
        <v/>
      </c>
      <c r="D2015" t="inlineStr">
        <is>
          <t>The `Values` class in the Apache Storm project provides utility methods for creating tuples from various data types. It includes a method `testNoArgsToValues()` that tests the creation of a tuple without any arguments using JUnit Jupiter. This method uses assertions to verify that the created tuple has no elements. The complexity of the implementation is O(1), as it involves basic operations like object instantiation and</t>
        </is>
      </c>
      <c r="E2015" t="n">
        <v>0.0033</v>
      </c>
      <c r="F2015" t="n">
        <v>0.08110000000000001</v>
      </c>
      <c r="G2015" t="n">
        <v>0.146</v>
      </c>
      <c r="H2015" t="inlineStr">
        <is>
          <t>The repository contains backend software components that implement core algorithms. Complexity is O(N), indicating linear time complexity, which means performance increases proportionally with input size. Comments describe the implementation as core algorithms. Initial codebase commit was made. Code size is 1000 lines.</t>
        </is>
      </c>
      <c r="I2015" t="n">
        <v>0.0052</v>
      </c>
      <c r="J2015" t="n">
        <v>0.1176</v>
      </c>
      <c r="K2015" t="n">
        <v>0.1316</v>
      </c>
      <c r="L2015" t="inlineStr">
        <is>
          <t>The `Values` class provides utility methods for creating tuples from various data types, including arrays, lists, maps, and individual elements. It includes tests that verify the creation of empty tuples using no arguments.</t>
        </is>
      </c>
      <c r="M2015" t="n">
        <v>0.0056</v>
      </c>
      <c r="N2015" t="n">
        <v>0.0488</v>
      </c>
      <c r="O2015" t="n">
        <v>0.09520000000000001</v>
      </c>
    </row>
    <row r="2016">
      <c r="A2016" t="inlineStr">
        <is>
          <t>storm</t>
        </is>
      </c>
      <c r="B2016" t="inlineStr">
        <is>
          <t>storm-client/test/jvm/org/apache/storm/assignments/LocalAssignmentsBackendTest.java</t>
        </is>
      </c>
      <c r="C2016">
        <f>HYPERLINK("https://github.com/apache/storm/blob/master/storm-client/test/jvm/org/apache/storm/assignments/LocalAssignmentsBackendTest.java")</f>
        <v/>
      </c>
      <c r="D2016" t="inlineStr">
        <is>
          <t>The provided Java code defines a class `CoreAlgorithms` within the package `org.apache.storm.assignments`. This class appears to implement core algorithms that handle data assignments in a Storm cluster environment. The code includes methods for managing mappings between tasks and workers, as well as handling collections such as maps and sets. It also references other classes like `HashMap`, `HashSet`, `List`, and `</t>
        </is>
      </c>
      <c r="E2016" t="n">
        <v>0.004</v>
      </c>
      <c r="F2016" t="n">
        <v>0.1143</v>
      </c>
      <c r="G2016" t="n">
        <v>0.2818</v>
      </c>
      <c r="H2016" t="inlineStr">
        <is>
          <t>Manages backend software components using core algorithms.</t>
        </is>
      </c>
      <c r="I2016" t="n">
        <v>0.0341</v>
      </c>
      <c r="J2016" t="n">
        <v>0.2667</v>
      </c>
      <c r="K2016" t="n">
        <v>0.1899</v>
      </c>
      <c r="L2016" t="inlineStr">
        <is>
          <t>The code implements a class `Assignments` within the `org.apache.storm.assignments` package that manages task assignments for Storm topologies. It uses a map to store tasks assigned to nodes and provides methods to add, remove, and retrieve these assignments. The implementation includes basic data structures like HashMap and HashSet to manage node-to-task mappings efficiently.</t>
        </is>
      </c>
      <c r="M2016" t="n">
        <v>0.0042</v>
      </c>
      <c r="N2016" t="n">
        <v>0.0615</v>
      </c>
      <c r="O2016" t="n">
        <v>0.121</v>
      </c>
    </row>
    <row r="2017">
      <c r="A2017" t="inlineStr">
        <is>
          <t>storm</t>
        </is>
      </c>
      <c r="B2017" t="inlineStr">
        <is>
          <t>storm-client/test/jvm/org/apache/storm/trident/TestTridentTopology.java</t>
        </is>
      </c>
      <c r="C2017">
        <f>HYPERLINK("https://github.com/apache/storm/blob/master/storm-client/test/jvm/org/apache/storm/trident/TestTridentTopology.java")</f>
        <v/>
      </c>
      <c r="D2017" t="inlineStr">
        <is>
          <t>The provided Java code defines a class `Trident` within the package `org.apache.storm.trident`. This class appears to be part of a larger system designed for processing streams of data using the Trident framework, which is used in Apache Storm for building real-time applications. The class likely includes methods for defining and executing topologies that process stream data through various bolts and spouts. The comments indicate</t>
        </is>
      </c>
      <c r="E2017" t="n">
        <v>0.0034</v>
      </c>
      <c r="F2017" t="n">
        <v>0.0526</v>
      </c>
      <c r="G2017" t="n">
        <v>0.1103</v>
      </c>
      <c r="H2017" t="inlineStr">
        <is>
          <t>This repository contains backend software components that implement core algorithms. Complexity is O(N), indicating linear time complexity. Comments describe the implementation of these algorithms. Initial codebase commit was made. Code size is 1000 lines.</t>
        </is>
      </c>
      <c r="I2017" t="n">
        <v>0.0072</v>
      </c>
      <c r="J2017" t="n">
        <v>0.186</v>
      </c>
      <c r="K2017" t="n">
        <v>0.1887</v>
      </c>
      <c r="L2017" t="inlineStr">
        <is>
          <t>This Java package provides classes for building Trident topologies, which are used to define data processing workflows in Apache Storm. The `TridentTopology` class allows users to create streams of tuples that can be processed using various operators like stateful functions and spouts. The `Bolt` class represents individual processing units within the topology, capable of transforming input tuples into output tuples. Users can add bolts to</t>
        </is>
      </c>
      <c r="M2017" t="n">
        <v>0.0033</v>
      </c>
      <c r="N2017" t="n">
        <v>0.0822</v>
      </c>
      <c r="O2017" t="n">
        <v>0.1865</v>
      </c>
    </row>
    <row r="2018">
      <c r="A2018" t="inlineStr">
        <is>
          <t>storm</t>
        </is>
      </c>
      <c r="B2018" t="inlineStr">
        <is>
          <t>storm-client/test/jvm/org/apache/storm/trident/TridentWindowingTest.java</t>
        </is>
      </c>
      <c r="C2018">
        <f>HYPERLINK("https://github.com/apache/storm/blob/master/storm-client/test/jvm/org/apache/storm/trident/TridentWindowingTest.java")</f>
        <v/>
      </c>
      <c r="D2018" t="inlineStr">
        <is>
          <t>The provided code appears to be part of the Apache Storm project, specifically within the Trident framework. It defines a class `BaseWindowedBolt` that extends a base bolt for windowed processing in Storm. This class uses an `InMemoryWindowsStore` to manage state for windows, which allows it to process data over time intervals efficiently. The complexity of the implementation is O(N), indicating linear</t>
        </is>
      </c>
      <c r="E2018" t="n">
        <v>0.003</v>
      </c>
      <c r="F2018" t="n">
        <v>0.0571</v>
      </c>
      <c r="G2018" t="n">
        <v>0.1128</v>
      </c>
      <c r="H2018" t="inlineStr">
        <is>
          <t>This repository contains backend software components implementing core algorithms. Complexity is O(N), indicating linear time complexity. Comments describe the implementation of these algorithms. Initial codebase commit was made. Code size is 1000 lines.</t>
        </is>
      </c>
      <c r="I2018" t="n">
        <v>0.0074</v>
      </c>
      <c r="J2018" t="n">
        <v>0.1905</v>
      </c>
      <c r="K2018" t="n">
        <v>0.1905</v>
      </c>
      <c r="L2018" t="inlineStr">
        <is>
          <t>The provided code defines a class `BaseWindowedBolt` within the `org.apache.storm.trident` package, which serves as a base implementation for windowed bolts in Apache Storm's Trident topology framework. It includes methods for managing in-memory windows using the `InMemoryWindowsStore`. The class is designed to handle time-based windows efficiently, allowing users to process data streams over specified intervals.</t>
        </is>
      </c>
      <c r="M2018" t="n">
        <v>0</v>
      </c>
      <c r="N2018" t="n">
        <v>0.0294</v>
      </c>
      <c r="O2018" t="n">
        <v>0.0794</v>
      </c>
    </row>
    <row r="2019">
      <c r="A2019" t="inlineStr">
        <is>
          <t>storm</t>
        </is>
      </c>
      <c r="B2019" t="inlineStr">
        <is>
          <t>storm-client/test/jvm/org/apache/storm/testing/IntegrationTest.java</t>
        </is>
      </c>
      <c r="C2019">
        <f>HYPERLINK("https://github.com/apache/storm/blob/master/storm-client/test/jvm/org/apache/storm/testing/IntegrationTest.java")</f>
        <v/>
      </c>
      <c r="D2019" t="inlineStr">
        <is>
          <t>The provided Java code defines an annotation `@Test` that can be used to mark test methods within classes. This annotation includes metadata such as the author's name, email, date, and description of the test method. It also specifies whether the test should run in parallel and provides options for skipping tests based on certain conditions. The complexity of implementing this feature is O(1), as it involves defining</t>
        </is>
      </c>
      <c r="E2019" t="n">
        <v>0.0032</v>
      </c>
      <c r="F2019" t="n">
        <v>0.0519</v>
      </c>
      <c r="G2019" t="n">
        <v>0.1439</v>
      </c>
      <c r="H2019" t="inlineStr">
        <is>
          <t>This repository contains backend software components that implement core algorithms. Complexity is O(N), indicating linear time complexity. Comments describe the implementation of these algorithms. Initial codebase commit was made. Code size is 1000 lines.</t>
        </is>
      </c>
      <c r="I2019" t="n">
        <v>0.0072</v>
      </c>
      <c r="J2019" t="n">
        <v>0.186</v>
      </c>
      <c r="K2019" t="n">
        <v>0.1887</v>
      </c>
      <c r="L2019" t="inlineStr">
        <is>
          <t>The provided Java code defines annotations (`@Test`, `@Ignore`) used for testing purposes within the Apache Storm project. These annotations help manage test cases and their execution status, allowing developers to easily identify which tests should be run and which can be ignored during development.</t>
        </is>
      </c>
      <c r="M2019" t="n">
        <v>0.0042</v>
      </c>
      <c r="N2019" t="n">
        <v>0.0385</v>
      </c>
      <c r="O2019" t="n">
        <v>0.1616</v>
      </c>
    </row>
    <row r="2020">
      <c r="A2020" t="inlineStr">
        <is>
          <t>storm</t>
        </is>
      </c>
      <c r="B2020" t="inlineStr">
        <is>
          <t>storm-client/test/jvm/org/apache/storm/testing/PerformanceTest.java</t>
        </is>
      </c>
      <c r="C2020">
        <f>HYPERLINK("https://github.com/apache/storm/blob/master/storm-client/test/jvm/org/apache/storm/testing/PerformanceTest.java")</f>
        <v/>
      </c>
      <c r="D2020" t="inlineStr">
        <is>
          <t>The provided code is part of the Apache Storm project, specifically within its testing package. It includes annotations used for defining test cases, which can be inherited across multiple classes. The complexity of the implementation is O(N), indicating that it scales linearly with input size N. The comments suggest that the code implements core algorithms necessary for testing purposes. There have been no commits yet, so the initial version was</t>
        </is>
      </c>
      <c r="E2020" t="n">
        <v>0.0055</v>
      </c>
      <c r="F2020" t="n">
        <v>0.0506</v>
      </c>
      <c r="G2020" t="n">
        <v>0.18</v>
      </c>
      <c r="H2020" t="inlineStr">
        <is>
          <t>The repository contains backend software components that implement core algorithms. Complexity is O(N), indicating linear time complexity. Comments describe the implementation of these algorithms. Initial codebase commit was made. Code size is 1000 lines.</t>
        </is>
      </c>
      <c r="I2020" t="n">
        <v>0.0065</v>
      </c>
      <c r="J2020" t="n">
        <v>0.1395</v>
      </c>
      <c r="K2020" t="n">
        <v>0.1415</v>
      </c>
      <c r="L2020" t="inlineStr">
        <is>
          <t>This Java package `org.apache.storm.testing` contains classes designed for testing purposes within the Apache Storm framework. It includes annotations that can be used to mark test cases and utilities for generating mock data and simulating network conditions. The code complexity is moderate, with approximately 1000 lines, and it serves as part of the initial implementation of core algorithms related to storm's testing capabilities.</t>
        </is>
      </c>
      <c r="M2020" t="n">
        <v>0.0039</v>
      </c>
      <c r="N2020" t="n">
        <v>0.08110000000000001</v>
      </c>
      <c r="O2020" t="n">
        <v>0.1866</v>
      </c>
    </row>
    <row r="2021">
      <c r="A2021" t="inlineStr">
        <is>
          <t>storm</t>
        </is>
      </c>
      <c r="B2021" t="inlineStr">
        <is>
          <t>storm-client/test/jvm/org/apache/storm/security/serialization/BlowfishTupleSerializerTest.java</t>
        </is>
      </c>
      <c r="C2021">
        <f>HYPERLINK("https://github.com/apache/storm/blob/master/storm-client/test/jvm/org/apache/storm/security/serialization/BlowfishTupleSerializerTest.java")</f>
        <v/>
      </c>
      <c r="D2021" t="inlineStr">
        <is>
          <t>The provided code defines a class `KryoSerializer` that uses the Kryo library for serialization and deserialization of objects. It includes methods to serialize data into bytes using `Output`, deserialize bytes back into objects using `Input`, and handle arrays of objects. The complexity of these operations is O(N), where N is the number of elements being serialized or deserialized.</t>
        </is>
      </c>
      <c r="E2021" t="n">
        <v>0.0031</v>
      </c>
      <c r="F2021" t="n">
        <v>0.0299</v>
      </c>
      <c r="G2021" t="n">
        <v>0.0769</v>
      </c>
      <c r="H2021" t="inlineStr">
        <is>
          <t>The repository contains backend software components implementing core algorithms. Complexity is O(N), indicating linear time complexity. Comments describe the implementation of these algorithms. Initial codebase commit was made. Code size is 1000 lines.</t>
        </is>
      </c>
      <c r="I2021" t="n">
        <v>0.0067</v>
      </c>
      <c r="J2021" t="n">
        <v>0.1429</v>
      </c>
      <c r="K2021" t="n">
        <v>0.1429</v>
      </c>
      <c r="L2021" t="inlineStr">
        <is>
          <t>The code provides serialization utilities using Kryo, a fast Java object graph serializer. It includes methods for serializing and deserializing objects, which can be used to efficiently store and transmit data between different parts of a Storm application.</t>
        </is>
      </c>
      <c r="M2021" t="n">
        <v>0.0049</v>
      </c>
      <c r="N2021" t="n">
        <v>0.0435</v>
      </c>
      <c r="O2021" t="n">
        <v>0.09089999999999999</v>
      </c>
    </row>
    <row r="2022">
      <c r="A2022" t="inlineStr">
        <is>
          <t>storm</t>
        </is>
      </c>
      <c r="B2022" t="inlineStr">
        <is>
          <t>storm-client/test/jvm/org/apache/storm/security/auth/ThriftClientTest.java</t>
        </is>
      </c>
      <c r="C2022">
        <f>HYPERLINK("https://github.com/apache/storm/blob/master/storm-client/test/jvm/org/apache/storm/security/auth/ThriftClientTest.java")</f>
        <v/>
      </c>
      <c r="D2022" t="inlineStr">
        <is>
          <t>The provided Java code defines a package `org.apache.storm.security.auth` that includes classes related to authentication and authorization within Apache Storm. It uses Thrift transports and handles exceptions such as `TTransportException`. The code is licensed under the Apache License, Version 2.0. The README indicates that it contains backend software components and provides details about its complexity, implementation, comments, commits, and</t>
        </is>
      </c>
      <c r="E2022" t="n">
        <v>0.0037</v>
      </c>
      <c r="F2022" t="n">
        <v>0.08450000000000001</v>
      </c>
      <c r="G2022" t="n">
        <v>0.1154</v>
      </c>
      <c r="H2022" t="inlineStr">
        <is>
          <t>This repository contains backend software components implementing core algorithms. Complexity is O(N), indicating linear time complexity. Comments describe the implementation of these algorithms. Initial codebase commit was made. Code size is 1000 lines.</t>
        </is>
      </c>
      <c r="I2022" t="n">
        <v>0.0074</v>
      </c>
      <c r="J2022" t="n">
        <v>0.1905</v>
      </c>
      <c r="K2022" t="n">
        <v>0.1905</v>
      </c>
      <c r="L2022" t="inlineStr">
        <is>
          <t>This Java package provides authentication mechanisms for Storm, including handling Thrift transport exceptions and using configuration settings from Apache Storm's `Config` class. It includes JUnit tests for storm security auth functionalities.</t>
        </is>
      </c>
      <c r="M2022" t="n">
        <v>0.0072</v>
      </c>
      <c r="N2022" t="n">
        <v>0.1</v>
      </c>
      <c r="O2022" t="n">
        <v>0.1456</v>
      </c>
    </row>
    <row r="2023">
      <c r="A2023" t="inlineStr">
        <is>
          <t>storm</t>
        </is>
      </c>
      <c r="B2023" t="inlineStr">
        <is>
          <t>storm-client/test/jvm/org/apache/storm/security/auth/ReqContextTest.java</t>
        </is>
      </c>
      <c r="C2023">
        <f>HYPERLINK("https://github.com/apache/storm/blob/master/storm-client/test/jvm/org/apache/storm/security/auth/ReqContextTest.java")</f>
        <v/>
      </c>
      <c r="D2023" t="inlineStr">
        <is>
          <t>The provided Java code defines a class `Principal` that represents a user principal in a security context. It includes methods to retrieve the name of the principal and its associated IP address. The code uses basic networking operations to determine the client's IP address from their hostname. This implementation is part of a larger system designed for secure authentication and authorization within Apache Storm.</t>
        </is>
      </c>
      <c r="E2023" t="n">
        <v>0.0034</v>
      </c>
      <c r="F2023" t="n">
        <v>0.0822</v>
      </c>
      <c r="G2023" t="n">
        <v>0.1471</v>
      </c>
      <c r="H2023" t="inlineStr">
        <is>
          <t>This repository contains backend software components implementing core algorithms. Complexity is O(N), indicating linear time complexity. Comments describe the implementation of these algorithms. Initial codebase commit was made. Code size is 1000 lines.</t>
        </is>
      </c>
      <c r="I2023" t="n">
        <v>0.0074</v>
      </c>
      <c r="J2023" t="n">
        <v>0.1905</v>
      </c>
      <c r="K2023" t="n">
        <v>0.1905</v>
      </c>
      <c r="L2023" t="inlineStr">
        <is>
          <t>This Java package provides authentication mechanisms for Storm, including methods to check if a principal has access based on IP addresses and roles. It includes classes like `IPAccessChecker` that implement custom authorization checks using sets of allowed IPs and roles.</t>
        </is>
      </c>
      <c r="M2023" t="n">
        <v>0.0055</v>
      </c>
      <c r="N2023" t="n">
        <v>0.125</v>
      </c>
      <c r="O2023" t="n">
        <v>0.1786</v>
      </c>
    </row>
    <row r="2024">
      <c r="A2024" t="inlineStr">
        <is>
          <t>storm</t>
        </is>
      </c>
      <c r="B2024" t="inlineStr">
        <is>
          <t>storm-client/test/jvm/org/apache/storm/security/auth/TlsTransportPluginTest.java</t>
        </is>
      </c>
      <c r="C2024">
        <f>HYPERLINK("https://github.com/apache/storm/blob/master/storm-client/test/jvm/org/apache/storm/security/auth/TlsTransportPluginTest.java")</f>
        <v/>
      </c>
      <c r="D2024" t="inlineStr">
        <is>
          <t>The provided Java code defines a package `org.apache.storm.security.auth` that includes classes related to authentication and authorization within Apache Storm. It uses TLS (Transport Layer Security) for secure communication between nodes in the cluster. The code does not contain any implementation details but rather serves as a framework for security-related features in Storm.</t>
        </is>
      </c>
      <c r="E2024" t="n">
        <v>0.0035</v>
      </c>
      <c r="F2024" t="n">
        <v>0.0308</v>
      </c>
      <c r="G2024" t="n">
        <v>0.121</v>
      </c>
      <c r="H2024" t="inlineStr">
        <is>
          <t>The code implements core algorithms for backend software components. It includes Java classes and methods that handle security-related tasks such as TLS encryption and authentication. The complexity is high due to its extensive implementation of various cryptographic functions and data structures.</t>
        </is>
      </c>
      <c r="I2024" t="n">
        <v>0.0113</v>
      </c>
      <c r="J2024" t="n">
        <v>0.16</v>
      </c>
      <c r="K2024" t="n">
        <v>0.3947</v>
      </c>
      <c r="L2024" t="inlineStr">
        <is>
          <t>This Java class provides authentication support for Storm clusters using TLS certificates. It includes methods for configuring SSL settings, retrieving client certificate details from Nimbus, and managing trust stores. The implementation uses a `HashMap` to store configuration properties related to security.</t>
        </is>
      </c>
      <c r="M2024" t="n">
        <v>0.0054</v>
      </c>
      <c r="N2024" t="n">
        <v>0.08160000000000001</v>
      </c>
      <c r="O2024" t="n">
        <v>0.177</v>
      </c>
    </row>
    <row r="2025">
      <c r="A2025" t="inlineStr">
        <is>
          <t>storm</t>
        </is>
      </c>
      <c r="B2025" t="inlineStr">
        <is>
          <t>storm-client/test/jvm/org/apache/storm/security/auth/SubjectCompatTest.java</t>
        </is>
      </c>
      <c r="C2025">
        <f>HYPERLINK("https://github.com/apache/storm/blob/master/storm-client/test/jvm/org/apache/storm/security/auth/SubjectCompatTest.java")</f>
        <v/>
      </c>
      <c r="D2025" t="inlineStr">
        <is>
          <t>The provided code appears to be part of the Apache Storm project, specifically within the `org.apache.storm.security.auth` package. It includes a JUnit test class that tests the functionality of some authentication-related classes. The comments indicate that it implements core algorithms related to security authentication. The complexity of the implementation is O(N), suggesting linear time complexity operations. The code size is 1000</t>
        </is>
      </c>
      <c r="E2025" t="n">
        <v>0.0071</v>
      </c>
      <c r="F2025" t="n">
        <v>0.0541</v>
      </c>
      <c r="G2025" t="n">
        <v>0.1936</v>
      </c>
      <c r="H2025" t="inlineStr">
        <is>
          <t>This repository contains backend software components implementing core algorithms. Complexity is O(N), indicating linear time complexity. Comments describe the implementation of these algorithms. Initial codebase commit was made. Code size is 1000 lines.</t>
        </is>
      </c>
      <c r="I2025" t="n">
        <v>0.0074</v>
      </c>
      <c r="J2025" t="n">
        <v>0.1905</v>
      </c>
      <c r="K2025" t="n">
        <v>0.1905</v>
      </c>
      <c r="L2025" t="inlineStr">
        <is>
          <t>The provided Java code snippet appears to be part of a unit test suite for the `Subject` class within the Apache Storm security authentication package. It uses JUnit Jupiter annotations to define a test method that checks if the `equals` method behaves as expected when comparing two `Subject` objects. The test asserts that two subjects are equal based on their principals and credentials, ensuring proper implementation of the equality check</t>
        </is>
      </c>
      <c r="M2025" t="n">
        <v>0.0026</v>
      </c>
      <c r="N2025" t="n">
        <v>0.0256</v>
      </c>
      <c r="O2025" t="n">
        <v>0.1056</v>
      </c>
    </row>
    <row r="2026">
      <c r="A2026" t="inlineStr">
        <is>
          <t>storm</t>
        </is>
      </c>
      <c r="B2026" t="inlineStr">
        <is>
          <t>storm-client/test/jvm/org/apache/storm/security/auth/SaslTransportPluginTest.java</t>
        </is>
      </c>
      <c r="C2026">
        <f>HYPERLINK("https://github.com/apache/storm/blob/master/storm-client/test/jvm/org/apache/storm/security/auth/SaslTransportPluginTest.java")</f>
        <v/>
      </c>
      <c r="D2026" t="inlineStr">
        <is>
          <t>The provided code is part of the Apache Storm project, specifically within the `org.apache.storm.security.auth` package. It includes a test class that verifies the functionality of a SASL transport plugin using JUnit Jupiter. The test checks if the plugin's initialization method returns the expected result. The complexity of the implementation is O(1), as it involves simple operations like checking equality.</t>
        </is>
      </c>
      <c r="E2026" t="n">
        <v>0.0031</v>
      </c>
      <c r="F2026" t="n">
        <v>0.0274</v>
      </c>
      <c r="G2026" t="n">
        <v>0.07630000000000001</v>
      </c>
      <c r="H2026" t="inlineStr">
        <is>
          <t>The repository contains backend software components that implement core algorithms. Complexity is O(N), indicating linear time complexity. Comments describe the implementation of these algorithms. Initial codebase commit was made. Code size is 1000 lines.</t>
        </is>
      </c>
      <c r="I2026" t="n">
        <v>0.0065</v>
      </c>
      <c r="J2026" t="n">
        <v>0.1395</v>
      </c>
      <c r="K2026" t="n">
        <v>0.1415</v>
      </c>
      <c r="L2026" t="inlineStr">
        <is>
          <t>The provided Java code defines a test suite for `SaslTransportPlugin` within the Apache Storm security authentication package. It includes a single JUnit test that verifies the correctness of the plugin's initialization process. The test checks if the plugin can be instantiated without throwing any exceptions and ensures that the plugin has been properly configured.</t>
        </is>
      </c>
      <c r="M2026" t="n">
        <v>0.0034</v>
      </c>
      <c r="N2026" t="n">
        <v>0.0317</v>
      </c>
      <c r="O2026" t="n">
        <v>0.0397</v>
      </c>
    </row>
    <row r="2027">
      <c r="A2027" t="inlineStr">
        <is>
          <t>storm</t>
        </is>
      </c>
      <c r="B2027" t="inlineStr">
        <is>
          <t>storm-client/test/jvm/org/apache/storm/security/auth/TestingITransportPlugin.java</t>
        </is>
      </c>
      <c r="C2027">
        <f>HYPERLINK("https://github.com/apache/storm/blob/master/storm-client/test/jvm/org/apache/storm/security/auth/TestingITransportPlugin.java")</f>
        <v/>
      </c>
      <c r="D2027" t="inlineStr">
        <is>
          <t>The provided code is part of a Storm security authentication package. It includes classes that handle Thrift processors and servers for secure communication within a Storm cluster. The complexity is O(N), indicating linear time operations based on input size N. The implementation focuses on core algorithms related to security and authentication mechanisms used in Storm's distributed computing framework.</t>
        </is>
      </c>
      <c r="E2027" t="n">
        <v>0.0037</v>
      </c>
      <c r="F2027" t="n">
        <v>0.0882</v>
      </c>
      <c r="G2027" t="n">
        <v>0.1538</v>
      </c>
      <c r="H2027" t="inlineStr">
        <is>
          <t>This repository contains backend software components implementing core algorithms.</t>
        </is>
      </c>
      <c r="I2027" t="n">
        <v>0.0316</v>
      </c>
      <c r="J2027" t="n">
        <v>0.4706</v>
      </c>
      <c r="K2027" t="n">
        <v>0.3897</v>
      </c>
      <c r="L2027" t="inlineStr">
        <is>
          <t>This Java class implements a secure authentication server using Thrift, which processes incoming requests from clients through a specified processor and serves them over a network using a TServer instance. It handles various configurations such as port number, transport type, and protocol version, ensuring robust security measures are applied during communication.</t>
        </is>
      </c>
      <c r="M2027" t="n">
        <v>0.0047</v>
      </c>
      <c r="N2027" t="n">
        <v>0.1017</v>
      </c>
      <c r="O2027" t="n">
        <v>0.1626</v>
      </c>
    </row>
    <row r="2028">
      <c r="A2028" t="inlineStr">
        <is>
          <t>storm</t>
        </is>
      </c>
      <c r="B2028" t="inlineStr">
        <is>
          <t>storm-client/test/jvm/org/apache/storm/security/auth/AutoSSLTest.java</t>
        </is>
      </c>
      <c r="C2028">
        <f>HYPERLINK("https://github.com/apache/storm/blob/master/storm-client/test/jvm/org/apache/storm/security/auth/AutoSSLTest.java")</f>
        <v/>
      </c>
      <c r="D2028" t="inlineStr">
        <is>
          <t>The provided Java code defines a package `org.apache.storm.security.auth` that includes classes related to security authentication within Apache Storm. It provides methods for reading files containing user credentials and managing access control lists. The complexity of the implementation is O(N), where N represents the number of lines in the input files being processed. The comments indicate that the code implements core algorithms necessary for secure authentication mechanisms in Storm</t>
        </is>
      </c>
      <c r="E2028" t="n">
        <v>0.0063</v>
      </c>
      <c r="F2028" t="n">
        <v>0.0494</v>
      </c>
      <c r="G2028" t="n">
        <v>0.1825</v>
      </c>
      <c r="H2028" t="inlineStr">
        <is>
          <t>The code implements core algorithms for a backend software component. It includes operations such as reading files, handling character sets, and processing arrays. Complexity is O(N), indicating linear time complexity based on input size.</t>
        </is>
      </c>
      <c r="I2028" t="n">
        <v>0.0138</v>
      </c>
      <c r="J2028" t="n">
        <v>0.1395</v>
      </c>
      <c r="K2028" t="n">
        <v>0.2978</v>
      </c>
      <c r="L2028" t="inlineStr">
        <is>
          <t>The provided Java code defines a class `AuthUtils` within the `org.apache.storm.security.auth` package. It includes methods for reading configuration files from specified paths and parsing their contents into lists of strings. The class uses standard library functions like `Files.readAllLines()` to read files and handle exceptions such as `IOException`. The method `readConfigFile(String path)` takes a file path as</t>
        </is>
      </c>
      <c r="M2028" t="n">
        <v>0.0033</v>
      </c>
      <c r="N2028" t="n">
        <v>0.0571</v>
      </c>
      <c r="O2028" t="n">
        <v>0.0781</v>
      </c>
    </row>
    <row r="2029">
      <c r="A2029" t="inlineStr">
        <is>
          <t>storm</t>
        </is>
      </c>
      <c r="B2029" t="inlineStr">
        <is>
          <t>storm-client/test/jvm/org/apache/storm/security/auth/AuthUtilsTestMock.java</t>
        </is>
      </c>
      <c r="C2029">
        <f>HYPERLINK("https://github.com/apache/storm/blob/master/storm-client/test/jvm/org/apache/storm/security/auth/AuthUtilsTestMock.java")</f>
        <v/>
      </c>
      <c r="D2029" t="inlineStr">
        <is>
          <t>The provided Java class `NimbusCredentialPlugin` implements an interface `INimbusCredentialPlugin`. It appears to be part of a larger system designed for security authentication within Apache Storm. The class does not contain any implementation details; it only declares that it should provide credentials for accessing Nimbus nodes. The complexity is O(1), as there are no loops or recursive operations involved. The comments indicate that the</t>
        </is>
      </c>
      <c r="E2029" t="n">
        <v>0.0029</v>
      </c>
      <c r="F2029" t="n">
        <v>0.0278</v>
      </c>
      <c r="G2029" t="n">
        <v>0.0741</v>
      </c>
      <c r="H2029" t="inlineStr">
        <is>
          <t>This repository contains backend software components that implement core algorithms. Complexity is O(N), indicating linear time complexity, which suggests processing each element once. Comments describe the implementation of these algorithms. Initial codebase commit was made. Code size is 1000 lines.</t>
        </is>
      </c>
      <c r="I2029" t="n">
        <v>0.0061</v>
      </c>
      <c r="J2029" t="n">
        <v>0.1633</v>
      </c>
      <c r="K2029" t="n">
        <v>0.1786</v>
      </c>
      <c r="L2029" t="inlineStr">
        <is>
          <t>This Java class implements `INimbusCredentialPlugin`, which provides authentication credentials for Nimbus servers. It processes subject data from Storm's configuration settings and returns a set of credentials based on the user roles defined in the configuration. If no valid roles are found, it throws an `IOException`.</t>
        </is>
      </c>
      <c r="M2029" t="n">
        <v>0.0054</v>
      </c>
      <c r="N2029" t="n">
        <v>0.1111</v>
      </c>
      <c r="O2029" t="n">
        <v>0.1709</v>
      </c>
    </row>
    <row r="2030">
      <c r="A2030" t="inlineStr">
        <is>
          <t>storm</t>
        </is>
      </c>
      <c r="B2030" t="inlineStr">
        <is>
          <t>storm-client/test/jvm/org/apache/storm/security/auth/X509CertPrincipalToLocalTest.java</t>
        </is>
      </c>
      <c r="C2030">
        <f>HYPERLINK("https://github.com/apache/storm/blob/master/storm-client/test/jvm/org/apache/storm/security/auth/X509CertPrincipalToLocalTest.java")</f>
        <v/>
      </c>
      <c r="D2030" t="inlineStr">
        <is>
          <t>The provided Java code snippet appears to be part of a larger project related to Apache Storm's security authentication system. It includes:
1. **License Information**: The code is licensed under the Apache License, Version 2.0.
2. **Package Declaration**: It belongs to the `org.apache.storm.security.auth` package.
3. **Imports**: It imports necessary classes such as `AccessControl</t>
        </is>
      </c>
      <c r="E2030" t="n">
        <v>0</v>
      </c>
      <c r="F2030" t="n">
        <v>0</v>
      </c>
      <c r="G2030" t="n">
        <v>0.04</v>
      </c>
      <c r="H2030" t="inlineStr">
        <is>
          <t>This repository contains backend software components implementing core algorithms. Complexity is O(N), indicating linear time complexity. Comments describe the implementation details. Initial codebase commit was made. Code size is 1000 lines.</t>
        </is>
      </c>
      <c r="I2030" t="n">
        <v>0.007900000000000001</v>
      </c>
      <c r="J2030" t="n">
        <v>0.2</v>
      </c>
      <c r="K2030" t="n">
        <v>0.1942</v>
      </c>
      <c r="L2030" t="inlineStr">
        <is>
          <t>The provided Java code defines a test suite for authentication-related classes within the Apache Storm project. It includes JUnit tests that verify various aspects of access control and authorization mechanisms used in storm security. The code uses a HashMap to store and manage user roles and permissions, ensuring secure access to resources based on these configurations.</t>
        </is>
      </c>
      <c r="M2030" t="n">
        <v>0.0033</v>
      </c>
      <c r="N2030" t="n">
        <v>0.0308</v>
      </c>
      <c r="O2030" t="n">
        <v>0.1465</v>
      </c>
    </row>
    <row r="2031">
      <c r="A2031" t="inlineStr">
        <is>
          <t>storm</t>
        </is>
      </c>
      <c r="B2031" t="inlineStr">
        <is>
          <t>storm-client/test/jvm/org/apache/storm/security/auth/ClientAuthUtilsTest.java</t>
        </is>
      </c>
      <c r="C2031">
        <f>HYPERLINK("https://github.com/apache/storm/blob/master/storm-client/test/jvm/org/apache/storm/security/auth/ClientAuthUtilsTest.java")</f>
        <v/>
      </c>
      <c r="D2031" t="inlineStr">
        <is>
          <t>The provided code is part of the Apache Storm project, specifically within its security authentication module. It includes classes that handle user authorization and authentication processes. The code is licensed under the Apache License, Version 2.0. The complexity of the implementation is O(N), indicating linear time complexity relative to input size. Comments throughout the code describe the purpose and functionality of various parts, while the README provides basic</t>
        </is>
      </c>
      <c r="E2031" t="n">
        <v>0.0032</v>
      </c>
      <c r="F2031" t="n">
        <v>0.0769</v>
      </c>
      <c r="G2031" t="n">
        <v>0.1071</v>
      </c>
      <c r="H2031" t="inlineStr">
        <is>
          <t>Manages backend software components with core algorithm implementations.</t>
        </is>
      </c>
      <c r="I2031" t="n">
        <v>0.033</v>
      </c>
      <c r="J2031" t="n">
        <v>0.25</v>
      </c>
      <c r="K2031" t="n">
        <v>0.125</v>
      </c>
      <c r="L2031" t="inlineStr">
        <is>
          <t>The provided Java code defines a package `org.apache.storm.security.auth` that includes classes related to authentication and authorization within the Apache Storm framework. It handles file I/O operations, collection management, and possibly cryptographic functions. The code complexity is moderate, given its size of approximately 1000 lines, and it appears to be part of a larger system responsible for securing storm cluster resources.</t>
        </is>
      </c>
      <c r="M2031" t="n">
        <v>0.003</v>
      </c>
      <c r="N2031" t="n">
        <v>0.0548</v>
      </c>
      <c r="O2031" t="n">
        <v>0.07580000000000001</v>
      </c>
    </row>
    <row r="2032">
      <c r="A2032" t="inlineStr">
        <is>
          <t>storm</t>
        </is>
      </c>
      <c r="B2032" t="inlineStr">
        <is>
          <t>storm-client/test/jvm/org/apache/storm/security/auth/MultiThriftServerTest.java</t>
        </is>
      </c>
      <c r="C2032">
        <f>HYPERLINK("https://github.com/apache/storm/blob/master/storm-client/test/jvm/org/apache/storm/security/auth/MultiThriftServerTest.java")</f>
        <v/>
      </c>
      <c r="D2032" t="inlineStr">
        <is>
          <t>The provided code appears to be part of a Storm framework component responsible for handling security authentication within a distributed computing environment. It includes comments indicating that it implements core algorithms related to user authentication and authorization. The complexity of the implementation is O(N), suggesting linear time operations based on input size N. The code is licensed under the Apache License, Version 2.0.</t>
        </is>
      </c>
      <c r="E2032" t="n">
        <v>0.0068</v>
      </c>
      <c r="F2032" t="n">
        <v>0.0822</v>
      </c>
      <c r="G2032" t="n">
        <v>0.2338</v>
      </c>
      <c r="H2032" t="inlineStr">
        <is>
          <t>The code implements core algorithms for backend software components, using Java and JUnit testing framework. It includes various packages such as `org.apache.storm`, `org.apache.storm.generated`, and `org.junit.jupiter.api`. The complexity is O(N), indicating that it scales linearly with input size.</t>
        </is>
      </c>
      <c r="I2032" t="n">
        <v>0.0126</v>
      </c>
      <c r="J2032" t="n">
        <v>0.1111</v>
      </c>
      <c r="K2032" t="n">
        <v>0.3413</v>
      </c>
      <c r="L2032" t="inlineStr">
        <is>
          <t>This Java package `org.apache.storm.security.auth` implements authentication mechanisms for Storm, a distributed real-time computation system. It includes classes for handling user credentials and authorization within the Storm cluster, leveraging Nimbus for configuration management. The code complexity is moderate, with a size of approximately 1000 lines, focusing on implementing core algorithms related to security and authentication.</t>
        </is>
      </c>
      <c r="M2032" t="n">
        <v>0.0048</v>
      </c>
      <c r="N2032" t="n">
        <v>0.1194</v>
      </c>
      <c r="O2032" t="n">
        <v>0.1587</v>
      </c>
    </row>
    <row r="2033">
      <c r="A2033" t="inlineStr">
        <is>
          <t>storm</t>
        </is>
      </c>
      <c r="B2033" t="inlineStr">
        <is>
          <t>storm-client/test/jvm/org/apache/storm/security/auth/ShellBasedGroupsMappingTest.java</t>
        </is>
      </c>
      <c r="C2033">
        <f>HYPERLINK("https://github.com/apache/storm/blob/master/storm-client/test/jvm/org/apache/storm/security/auth/ShellBasedGroupsMappingTest.java")</f>
        <v/>
      </c>
      <c r="D2033" t="inlineStr">
        <is>
          <t>The provided code appears to be part of the Apache Storm project, specifically within the `org.apache.storm.security.auth` package. It includes classes related to authentication and authorization mechanisms used in Storm clusters. The code uses Java and JUnit for testing. The complexity of the implementation is O(N), indicating that it involves operations proportional to the size of input data. The comments suggest that the code implements core</t>
        </is>
      </c>
      <c r="E2033" t="n">
        <v>0.0066</v>
      </c>
      <c r="F2033" t="n">
        <v>0.0513</v>
      </c>
      <c r="G2033" t="n">
        <v>0.2304</v>
      </c>
      <c r="H2033" t="inlineStr">
        <is>
          <t>Manages Storm security authentication packages. Contains Java source files implementing core algorithms. Complexity is O(N) due to potential processing of large datasets.</t>
        </is>
      </c>
      <c r="I2033" t="n">
        <v>0.008699999999999999</v>
      </c>
      <c r="J2033" t="n">
        <v>0.129</v>
      </c>
      <c r="K2033" t="n">
        <v>0.1995</v>
      </c>
      <c r="L2033" t="inlineStr">
        <is>
          <t>The provided Java code defines a class `Authenticator` within the `org.apache.storm.security.auth` package. It includes methods for authenticating users based on their credentials stored in a database. The class uses a shell command runner to execute authentication scripts and handles time-related functionalities using simulated time if needed. The code also sets up configurations and initializes necessary utilities like `ShellCommandRunner`, `ShellUtils</t>
        </is>
      </c>
      <c r="M2033" t="n">
        <v>0.0031</v>
      </c>
      <c r="N2033" t="n">
        <v>0.0556</v>
      </c>
      <c r="O2033" t="n">
        <v>0.07630000000000001</v>
      </c>
    </row>
    <row r="2034">
      <c r="A2034" t="inlineStr">
        <is>
          <t>storm</t>
        </is>
      </c>
      <c r="B2034" t="inlineStr">
        <is>
          <t>storm-client/test/jvm/org/apache/storm/security/auth/kerberos/AutoLoginModuleTest.java</t>
        </is>
      </c>
      <c r="C2034">
        <f>HYPERLINK("https://github.com/apache/storm/blob/master/storm-client/test/jvm/org/apache/storm/security/auth/kerberos/AutoLoginModuleTest.java")</f>
        <v/>
      </c>
      <c r="D2034" t="inlineStr">
        <is>
          <t>The code provides tests for the `AutoTGTKrb5LoginModule` class within the Apache Storm project's Kerberos authentication module. It uses JUnit Jupiter to verify that the login module correctly handles various scenarios related to Kerberos ticket granting tickets (GTTs). The test cases cover different aspects such as successful login attempts, handling exceptions, and verifying the subject's principal after successful authentication.</t>
        </is>
      </c>
      <c r="E2034" t="n">
        <v>0.0037</v>
      </c>
      <c r="F2034" t="n">
        <v>0.0588</v>
      </c>
      <c r="G2034" t="n">
        <v>0.1154</v>
      </c>
      <c r="H2034" t="inlineStr">
        <is>
          <t>The repository contains backend software components that implement core algorithms. Complexity is O(N), indicating linear time complexity. Comments describe the implementation details, while commits include the initial codebase creation. The code size is 1000 lines.</t>
        </is>
      </c>
      <c r="I2034" t="n">
        <v>0.0063</v>
      </c>
      <c r="J2034" t="n">
        <v>0.1364</v>
      </c>
      <c r="K2034" t="n">
        <v>0.1402</v>
      </c>
      <c r="L2034" t="inlineStr">
        <is>
          <t>The code provides unit tests for the `AutoTGTKrb5LoginModule` class within the Storm security authentication package using JUnit Jupiter. It verifies that the login module correctly handles Kerberos credentials and subject setup during authentication processes.</t>
        </is>
      </c>
      <c r="M2034" t="n">
        <v>0.0065</v>
      </c>
      <c r="N2034" t="n">
        <v>0.09520000000000001</v>
      </c>
      <c r="O2034" t="n">
        <v>0.1415</v>
      </c>
    </row>
    <row r="2035">
      <c r="A2035" t="inlineStr">
        <is>
          <t>storm</t>
        </is>
      </c>
      <c r="B2035" t="inlineStr">
        <is>
          <t>storm-client/test/jvm/org/apache/storm/security/auth/authorizer/DRPCSimpleACLAuthorizerTest.java</t>
        </is>
      </c>
      <c r="C2035">
        <f>HYPERLINK("https://github.com/apache/storm/blob/master/storm-client/test/jvm/org/apache/storm/security/auth/authorizer/DRPCSimpleACLAuthorizerTest.java")</f>
        <v/>
      </c>
      <c r="D2035" t="inlineStr">
        <is>
          <t>The code implements a custom authorizer for Apache Storm that writes authorization decisions to a log file. It uses Java's `BufferedWriter` to append lines to a specified log file located in the `/tmp/storm-authorization.log` directory. Each line represents an authorization decision made during the execution of Storm tasks. The complexity of the implementation is O(1), as it involves basic file operations without</t>
        </is>
      </c>
      <c r="E2035" t="n">
        <v>0.003</v>
      </c>
      <c r="F2035" t="n">
        <v>0.027</v>
      </c>
      <c r="G2035" t="n">
        <v>0.0752</v>
      </c>
      <c r="H2035" t="inlineStr">
        <is>
          <t>This repository contains backend software components implementing core algorithms.</t>
        </is>
      </c>
      <c r="I2035" t="n">
        <v>0.0316</v>
      </c>
      <c r="J2035" t="n">
        <v>0.4706</v>
      </c>
      <c r="K2035" t="n">
        <v>0.3897</v>
      </c>
      <c r="L2035" t="inlineStr">
        <is>
          <t>The provided Java code defines a class `Authorizer` within the `org.apache.storm.security.auth.authorizer` package. It includes methods for authorizing access based on user roles and permissions. The class uses buffered writers to write authorization logs to files. The code complexity is O(N), where N represents the number of users being authorized. The implementation focuses on core algorithms related to role-based access control</t>
        </is>
      </c>
      <c r="M2035" t="n">
        <v>0.0036</v>
      </c>
      <c r="N2035" t="n">
        <v>0.0533</v>
      </c>
      <c r="O2035" t="n">
        <v>0.1515</v>
      </c>
    </row>
    <row r="2036">
      <c r="A2036" t="inlineStr">
        <is>
          <t>storm</t>
        </is>
      </c>
      <c r="B2036" t="inlineStr">
        <is>
          <t>storm-client/test/jvm/org/apache/storm/security/auth/authorizer/SimpleACLAuthorizerTest.java</t>
        </is>
      </c>
      <c r="C2036">
        <f>HYPERLINK("https://github.com/apache/storm/blob/master/storm-client/test/jvm/org/apache/storm/security/auth/authorizer/SimpleACLAuthorizerTest.java")</f>
        <v/>
      </c>
      <c r="D2036" t="inlineStr">
        <is>
          <t>The provided code defines an interface `IAuthorizer` within the package `org.apache.storm.security.auth.authorizer`. This interface is used for authorizing access to resources based on user credentials and group mappings. It includes methods such as `authorize`, which checks if a given user has permission to perform certain actions on specified resources. The implementation details are not shown, but it appears to be part of</t>
        </is>
      </c>
      <c r="E2036" t="n">
        <v>0.0036</v>
      </c>
      <c r="F2036" t="n">
        <v>0.0541</v>
      </c>
      <c r="G2036" t="n">
        <v>0.1504</v>
      </c>
      <c r="H2036" t="inlineStr">
        <is>
          <t>Manages authorization rules for Storm clusters using various group mapping services. Complexity is O(N), indicating linear time complexity based on input size. Comments describe the implementation of core algorithms. Initial codebase commit was made. Total code size is 1000 lines.</t>
        </is>
      </c>
      <c r="I2036" t="n">
        <v>0.0046</v>
      </c>
      <c r="J2036" t="n">
        <v>0.08160000000000001</v>
      </c>
      <c r="K2036" t="n">
        <v>0.1339</v>
      </c>
      <c r="L2036" t="inlineStr">
        <is>
          <t>This Java class implements an authorizer for Storm's security system using Apache Hadoop's Kerberos authentication mechanism. It provides methods to authorize users based on their groups and configurations, ensuring that only authorized users can access resources within the Storm cluster.</t>
        </is>
      </c>
      <c r="M2036" t="n">
        <v>0.0061</v>
      </c>
      <c r="N2036" t="n">
        <v>0.12</v>
      </c>
      <c r="O2036" t="n">
        <v>0.1786</v>
      </c>
    </row>
    <row r="2037">
      <c r="A2037" t="inlineStr">
        <is>
          <t>storm</t>
        </is>
      </c>
      <c r="B2037" t="inlineStr">
        <is>
          <t>storm-client/test/jvm/org/apache/storm/messaging/DeserializingConnectionCallbackTest.java</t>
        </is>
      </c>
      <c r="C2037">
        <f>HYPERLINK("https://github.com/apache/storm/blob/master/storm-client/test/jvm/org/apache/storm/messaging/DeserializingConnectionCallbackTest.java")</f>
        <v/>
      </c>
      <c r="D2037" t="inlineStr">
        <is>
          <t>The provided code is part of the Apache Storm project, specifically within the `org.apache.storm.messaging` package. It appears to be implementing messaging functionalities related to storm tasks and workers. The code uses Java and includes comments indicating its purpose and licensing details. The complexity level is O(N), suggesting it involves processing data in linear time relative to input size. The implementation focuses on core algorithms necessary for message</t>
        </is>
      </c>
      <c r="E2037" t="n">
        <v>0.0032</v>
      </c>
      <c r="F2037" t="n">
        <v>0.0759</v>
      </c>
      <c r="G2037" t="n">
        <v>0.1439</v>
      </c>
      <c r="H2037" t="inlineStr">
        <is>
          <t>This repository contains backend software components that implement core algorithms.</t>
        </is>
      </c>
      <c r="I2037" t="n">
        <v>0.0278</v>
      </c>
      <c r="J2037" t="n">
        <v>0.4444</v>
      </c>
      <c r="K2037" t="n">
        <v>0.3849</v>
      </c>
      <c r="L2037" t="inlineStr">
        <is>
          <t>The code provides a framework for managing messaging within Storm, focusing on worker state management and topology configuration. It includes classes such as `WorkerState` and `GeneralTopologyContext`, which facilitate communication between tasks and manage the overall state of the storm cluster. The implementation complexity is O(N), and existing comments indicate that it implements core algorithms related to message handling and task coordination.</t>
        </is>
      </c>
      <c r="M2037" t="n">
        <v>0.007</v>
      </c>
      <c r="N2037" t="n">
        <v>0.0857</v>
      </c>
      <c r="O2037" t="n">
        <v>0.1921</v>
      </c>
    </row>
    <row r="2038">
      <c r="A2038" t="inlineStr">
        <is>
          <t>storm</t>
        </is>
      </c>
      <c r="B2038" t="inlineStr">
        <is>
          <t>storm-client/test/jvm/org/apache/storm/dependency/DependencyPropertiesParserTest.java</t>
        </is>
      </c>
      <c r="C2038">
        <f>HYPERLINK("https://github.com/apache/storm/blob/master/storm-client/test/jvm/org/apache/storm/dependency/DependencyPropertiesParserTest.java")</f>
        <v/>
      </c>
      <c r="D2038" t="inlineStr">
        <is>
          <t>The provided Java code defines a class `DependencyResolver` within the package `org.apache.storm.dependency`. This class appears to be part of a dependency resolution system used in Apache Storm, which is a distributed real-time computation system designed for processing large volumes of data streams. The class likely handles various aspects of resolving dependencies between different modules or packages within the Storm ecosystem.
Key functionalities include:
1.</t>
        </is>
      </c>
      <c r="E2038" t="n">
        <v>0.0028</v>
      </c>
      <c r="F2038" t="n">
        <v>0.0789</v>
      </c>
      <c r="G2038" t="n">
        <v>0.1103</v>
      </c>
      <c r="H2038" t="inlineStr">
        <is>
          <t>Manages dependency resolution for Apache Storm projects using Java. Complexity is O(N), implementing core algorithms.</t>
        </is>
      </c>
      <c r="I2038" t="n">
        <v>0.0132</v>
      </c>
      <c r="J2038" t="n">
        <v>0.1667</v>
      </c>
      <c r="K2038" t="n">
        <v>0.2937</v>
      </c>
      <c r="L2038" t="inlineStr">
        <is>
          <t>The code provides utility functions for managing dependencies in Storm, including parsing JSON files containing dependency information and handling file paths. It uses Java's `HashMap` and `List` classes to store and manipulate data related to dependencies. The code includes comments explaining implementation details and follows best practices for code readability and maintainability.</t>
        </is>
      </c>
      <c r="M2038" t="n">
        <v>0.0035</v>
      </c>
      <c r="N2038" t="n">
        <v>0.06560000000000001</v>
      </c>
      <c r="O2038" t="n">
        <v>0.121</v>
      </c>
    </row>
    <row r="2039">
      <c r="A2039" t="inlineStr">
        <is>
          <t>storm</t>
        </is>
      </c>
      <c r="B2039" t="inlineStr">
        <is>
          <t>storm-client/test/jvm/org/apache/storm/dependency/DependencyUploaderTest.java</t>
        </is>
      </c>
      <c r="C2039">
        <f>HYPERLINK("https://github.com/apache/storm/blob/master/storm-client/test/jvm/org/apache/storm/dependency/DependencyUploaderTest.java")</f>
        <v/>
      </c>
      <c r="D2039" t="inlineStr">
        <is>
          <t>The provided Java code defines a class `DependencyManager` within the package `org.apache.storm.dependency`. This class appears to handle dependency management tasks, possibly involving reading from files, processing data, and writing results back to files. It uses basic I/O operations such as `BufferedWriter`, `FileWriter`, and `IOException` for file handling. The complexity is O(N), indicating that</t>
        </is>
      </c>
      <c r="E2039" t="n">
        <v>0.0041</v>
      </c>
      <c r="F2039" t="n">
        <v>0.0606</v>
      </c>
      <c r="G2039" t="n">
        <v>0.12</v>
      </c>
      <c r="H2039" t="inlineStr">
        <is>
          <t>Manages dependency management for Storm projects. Complexity depends on project size; commits include initial setup.</t>
        </is>
      </c>
      <c r="I2039" t="n">
        <v>0</v>
      </c>
      <c r="J2039" t="n">
        <v>0</v>
      </c>
      <c r="K2039" t="n">
        <v>0</v>
      </c>
      <c r="L2039" t="inlineStr">
        <is>
          <t>The provided Java code defines a class `DependencyManager` within the `org.apache.storm.dependency` package. It manages dependency files by creating new directories and writing dependencies to them using a buffered writer. The method `createAndWriteDependencies` takes a list of strings representing dependencies and writes each string to a separate line in a newly created directory named after the first element of the input list. If</t>
        </is>
      </c>
      <c r="M2039" t="n">
        <v>0.0029</v>
      </c>
      <c r="N2039" t="n">
        <v>0.0274</v>
      </c>
      <c r="O2039" t="n">
        <v>0.0746</v>
      </c>
    </row>
    <row r="2040">
      <c r="A2040" t="inlineStr">
        <is>
          <t>storm</t>
        </is>
      </c>
      <c r="B2040" t="inlineStr">
        <is>
          <t>storm-client/test/jvm/org/apache/storm/metrics2/RollingAverageGaugeTest.java</t>
        </is>
      </c>
      <c r="C2040">
        <f>HYPERLINK("https://github.com/apache/storm/blob/master/storm-client/test/jvm/org/apache/storm/metrics2/RollingAverageGaugeTest.java")</f>
        <v/>
      </c>
      <c r="D2040" t="inlineStr">
        <is>
          <t>The provided Java code defines a unit test for `RollingAverageGauge`, which is part of the Apache Storm metrics library. It checks if the rolling average gauge correctly calculates averages over a specified window size. The test uses JUnit Jupiter annotations to define a simple test case that asserts the expected behavior of the rolling average calculation.</t>
        </is>
      </c>
      <c r="E2040" t="n">
        <v>0</v>
      </c>
      <c r="F2040" t="n">
        <v>0</v>
      </c>
      <c r="G2040" t="n">
        <v>0.0391</v>
      </c>
      <c r="H2040" t="inlineStr">
        <is>
          <t>The repository contains backend software components implementing core algorithms. Complexity is O(N), comments describe implementation details, commits include initial codebase creation, and code size is 1000 lines.</t>
        </is>
      </c>
      <c r="I2040" t="n">
        <v>0.0092</v>
      </c>
      <c r="J2040" t="n">
        <v>0.2222</v>
      </c>
      <c r="K2040" t="n">
        <v>0.202</v>
      </c>
      <c r="L2040" t="inlineStr">
        <is>
          <t>The `RollingAverageGauge` class tests the rolling average calculation implemented in the `org.apache.storm.metrics2.RollingAverageGauge` package using JUnit assertions. It verifies that the calculated averages match expected values based on input data points.</t>
        </is>
      </c>
      <c r="M2040" t="n">
        <v>0</v>
      </c>
      <c r="N2040" t="n">
        <v>0.0476</v>
      </c>
      <c r="O2040" t="n">
        <v>0.098</v>
      </c>
    </row>
    <row r="2041">
      <c r="A2041" t="inlineStr">
        <is>
          <t>storm</t>
        </is>
      </c>
      <c r="B2041" t="inlineStr">
        <is>
          <t>storm-client/test/jvm/org/apache/storm/metric/FileBasedEventLoggerTest.java</t>
        </is>
      </c>
      <c r="C2041">
        <f>HYPERLINK("https://github.com/apache/storm/blob/master/storm-client/test/jvm/org/apache/storm/metric/FileBasedEventLoggerTest.java")</f>
        <v/>
      </c>
      <c r="D2041" t="inlineStr">
        <is>
          <t>The provided code appears to be part of a larger project related to Apache Storm, specifically focusing on metric handling within the storm-metrics-core module. It includes comments indicating that it implements core algorithms for metrics collection and reporting. The complexity is rated as O(N), suggesting linear time complexity operations, which is typical for many data processing tasks involving collections. The code size is listed as 1000</t>
        </is>
      </c>
      <c r="E2041" t="n">
        <v>0.0065</v>
      </c>
      <c r="F2041" t="n">
        <v>0.1039</v>
      </c>
      <c r="G2041" t="n">
        <v>0.2287</v>
      </c>
      <c r="H2041" t="inlineStr">
        <is>
          <t>Manages and implements core algorithms for backend software components. Complexity is O(N), indicating linear time complexity based on input size N.</t>
        </is>
      </c>
      <c r="I2041" t="n">
        <v>0.023</v>
      </c>
      <c r="J2041" t="n">
        <v>0.1333</v>
      </c>
      <c r="K2041" t="n">
        <v>0.3394</v>
      </c>
      <c r="L2041" t="inlineStr">
        <is>
          <t>The provided code implements a metric system for monitoring Storm topologies. It includes methods for reading metrics from files, storing them in memory, and providing access to these metrics through various interfaces. The code uses Java's NIO library for file I/O operations and handles exceptions such as `IOException`. The implementation is designed to be efficient with a time complexity of O(N), where N is the number of lines</t>
        </is>
      </c>
      <c r="M2041" t="n">
        <v>0.0032</v>
      </c>
      <c r="N2041" t="n">
        <v>0.0506</v>
      </c>
      <c r="O2041" t="n">
        <v>0.1071</v>
      </c>
    </row>
    <row r="2042">
      <c r="A2042" t="inlineStr">
        <is>
          <t>storm</t>
        </is>
      </c>
      <c r="B2042" t="inlineStr">
        <is>
          <t>storm-client/test/jvm/org/apache/storm/metric/filter/FilterByMetricNameTest.java</t>
        </is>
      </c>
      <c r="C2042">
        <f>HYPERLINK("https://github.com/apache/storm/blob/master/storm-client/test/jvm/org/apache/storm/metric/filter/FilterByMetricNameTest.java")</f>
        <v/>
      </c>
      <c r="D2042" t="inlineStr">
        <is>
          <t>The provided code defines a class `Filter` within the package `org.apache.storm.metric.filter`. This class implements the `IMetricsConsumer` interface from the Storm framework, which allows it to filter metrics before they are processed further. It uses Google Guava's `Lists` utility to manage lists of filters. The complexity of the implementation is O(N), where N represents the number of metrics being</t>
        </is>
      </c>
      <c r="E2042" t="n">
        <v>0.0037</v>
      </c>
      <c r="F2042" t="n">
        <v>0.0556</v>
      </c>
      <c r="G2042" t="n">
        <v>0.1154</v>
      </c>
      <c r="H2042" t="inlineStr">
        <is>
          <t>The code implements core algorithms for a backend software component. It uses Google Guava's List utility class to manage lists efficiently. Complexity is O(N), indicating linear time complexity based on input size.</t>
        </is>
      </c>
      <c r="I2042" t="n">
        <v>0.0137</v>
      </c>
      <c r="J2042" t="n">
        <v>0.09520000000000001</v>
      </c>
      <c r="K2042" t="n">
        <v>0.3035</v>
      </c>
      <c r="L2042" t="inlineStr">
        <is>
          <t>The code provides a filter mechanism for metrics consumers in Apache Storm, allowing users to specify which metrics should be collected based on certain criteria. It includes methods to add filters, check if a metric matches any filter, and apply these filters when processing metrics from storm tasks. The implementation uses Google Guava's List utility class for managing lists of filters efficiently.</t>
        </is>
      </c>
      <c r="M2042" t="n">
        <v>0.0029</v>
      </c>
      <c r="N2042" t="n">
        <v>0.0282</v>
      </c>
      <c r="O2042" t="n">
        <v>0.1119</v>
      </c>
    </row>
    <row r="2043">
      <c r="A2043" t="inlineStr">
        <is>
          <t>storm</t>
        </is>
      </c>
      <c r="B2043" t="inlineStr">
        <is>
          <t>storm-client/test/jvm/org/apache/storm/metric/internal/CountStatTest.java</t>
        </is>
      </c>
      <c r="C2043">
        <f>HYPERLINK("https://github.com/apache/storm/blob/master/storm-client/test/jvm/org/apache/storm/metric/internal/CountStatTest.java")</f>
        <v/>
      </c>
      <c r="D2043" t="inlineStr">
        <is>
          <t>The provided Java code snippet is part of a unit test suite for a class within the `org.apache.storm.metric.internal` package. It uses JUnit Jupiter annotations to define a test case that checks if a method returns the expected result when given certain input parameters. Specifically, it tests whether the `getMetricValue` method from the `MetricsRegistryImpl` class correctly retrieves a metric value associated with</t>
        </is>
      </c>
      <c r="E2043" t="n">
        <v>0</v>
      </c>
      <c r="F2043" t="n">
        <v>0</v>
      </c>
      <c r="G2043" t="n">
        <v>0.0376</v>
      </c>
      <c r="H2043" t="inlineStr">
        <is>
          <t>This repository contains backend software components that implement core algorithms. Complexity is O(N), indicating linear time complexity. Comments describe the implementation of these algorithms. Initial codebase commit was made. Code size is 1000 lines.</t>
        </is>
      </c>
      <c r="I2043" t="n">
        <v>0.0072</v>
      </c>
      <c r="J2043" t="n">
        <v>0.186</v>
      </c>
      <c r="K2043" t="n">
        <v>0.1887</v>
      </c>
      <c r="L2043" t="inlineStr">
        <is>
          <t>The provided Java code is part of a unit test suite for the `MetricRegistry` class within the Storm framework. It uses JUnit Jupiter to verify that the metric registry correctly handles various operations such as adding metrics, retrieving metrics, and updating their values. The tests ensure that the metric registry functions according to expected specifications, including handling concurrent access and ensuring data integrity.</t>
        </is>
      </c>
      <c r="M2043" t="n">
        <v>0.0029</v>
      </c>
      <c r="N2043" t="n">
        <v>0.0563</v>
      </c>
      <c r="O2043" t="n">
        <v>0.0741</v>
      </c>
    </row>
    <row r="2044">
      <c r="A2044" t="inlineStr">
        <is>
          <t>storm</t>
        </is>
      </c>
      <c r="B2044" t="inlineStr">
        <is>
          <t>storm-client/test/jvm/org/apache/storm/metric/internal/RateTrackerTest.java</t>
        </is>
      </c>
      <c r="C2044">
        <f>HYPERLINK("https://github.com/apache/storm/blob/master/storm-client/test/jvm/org/apache/storm/metric/internal/RateTrackerTest.java")</f>
        <v/>
      </c>
      <c r="D2044" t="inlineStr">
        <is>
          <t>The provided Java code defines a unit test for `RateTracker`, a component within the Apache Storm framework used for tracking rates. The test checks if the rate tracker correctly calculates average values over time intervals using JUnit assertions.</t>
        </is>
      </c>
      <c r="E2044" t="n">
        <v>0</v>
      </c>
      <c r="F2044" t="n">
        <v>0</v>
      </c>
      <c r="G2044" t="n">
        <v>0.0455</v>
      </c>
      <c r="H2044" t="inlineStr">
        <is>
          <t>The code provides unit tests for the `RateTracker` class within the `org.apache.storm.metric.internal` package, ensuring that the implementation meets expected performance and correctness standards.</t>
        </is>
      </c>
      <c r="I2044" t="n">
        <v>0.0083</v>
      </c>
      <c r="J2044" t="n">
        <v>0.1143</v>
      </c>
      <c r="K2044" t="n">
        <v>0.1053</v>
      </c>
      <c r="L2044" t="inlineStr">
        <is>
          <t>The `RateTrackerTest` class contains unit tests for the `RateTracker` class within the Apache Storm framework's metric internal package. It uses JUnit Jupiter API to verify that the rate tracking functionality works as expected, ensuring accurate measurement and reporting of event rates over time.</t>
        </is>
      </c>
      <c r="M2044" t="n">
        <v>0.0051</v>
      </c>
      <c r="N2044" t="n">
        <v>0.0769</v>
      </c>
      <c r="O2044" t="n">
        <v>0.08699999999999999</v>
      </c>
    </row>
    <row r="2045">
      <c r="A2045" t="inlineStr">
        <is>
          <t>storm</t>
        </is>
      </c>
      <c r="B2045" t="inlineStr">
        <is>
          <t>storm-client/test/jvm/org/apache/storm/metric/internal/LatencyStatTest.java</t>
        </is>
      </c>
      <c r="C2045">
        <f>HYPERLINK("https://github.com/apache/storm/blob/master/storm-client/test/jvm/org/apache/storm/metric/internal/LatencyStatTest.java")</f>
        <v/>
      </c>
      <c r="D2045" t="inlineStr">
        <is>
          <t>The provided code appears to be a unit test for the `LatencyStat` class within the `org.apache.storm.metric.internal` package. It uses JUnit Jupiter API to verify that the `LatencyStat` class functions correctly. Specifically, it checks if the `getAverage()` method returns the expected average latency value based on some input data.</t>
        </is>
      </c>
      <c r="E2045" t="n">
        <v>0</v>
      </c>
      <c r="F2045" t="n">
        <v>0.0333</v>
      </c>
      <c r="G2045" t="n">
        <v>0.0417</v>
      </c>
      <c r="H2045" t="inlineStr">
        <is>
          <t>This repository contains backend software components that implement core algorithms. Complexity is O(N), indicating linear time complexity. Comments describe the implementation of these algorithms. Initial codebase commit was made. Code size is 1000 lines.</t>
        </is>
      </c>
      <c r="I2045" t="n">
        <v>0.0072</v>
      </c>
      <c r="J2045" t="n">
        <v>0.186</v>
      </c>
      <c r="K2045" t="n">
        <v>0.1887</v>
      </c>
      <c r="L2045" t="inlineStr">
        <is>
          <t>The code provides unit tests for the `LatencyStat` class within the Storm framework's metric internal package. It uses JUnit Jupiter API to verify that the latency statistics calculations are accurate and meet expected outcomes.</t>
        </is>
      </c>
      <c r="M2045" t="n">
        <v>0.0055</v>
      </c>
      <c r="N2045" t="n">
        <v>0.0465</v>
      </c>
      <c r="O2045" t="n">
        <v>0.09429999999999999</v>
      </c>
    </row>
    <row r="2046">
      <c r="A2046" t="inlineStr">
        <is>
          <t>storm</t>
        </is>
      </c>
      <c r="B2046" t="inlineStr">
        <is>
          <t>storm-client/test/jvm/org/apache/storm/metric/util/DataPointExpanderTest.java</t>
        </is>
      </c>
      <c r="C2046">
        <f>HYPERLINK("https://github.com/apache/storm/blob/master/storm-client/test/jvm/org/apache/storm/metric/util/DataPointExpanderTest.java")</f>
        <v/>
      </c>
      <c r="D2046" t="inlineStr">
        <is>
          <t>The provided Java code defines utility classes related to metrics consumers in Apache Storm. It includes:
1. **IMetricsConsumer Interface**: An interface that specifies methods for consuming metrics data from various sources within Storm.
2. **MetricsUtil Class**: A utility class containing helper methods for managing metric consumers. This class likely provides functionalities such as registering, unregistering, and retrieving metrics consumers.
3. **HashMap</t>
        </is>
      </c>
      <c r="E2046" t="n">
        <v>0.0036</v>
      </c>
      <c r="F2046" t="n">
        <v>0.08699999999999999</v>
      </c>
      <c r="G2046" t="n">
        <v>0.1128</v>
      </c>
      <c r="H2046" t="inlineStr">
        <is>
          <t>Manages backend software components using core algorithms.</t>
        </is>
      </c>
      <c r="I2046" t="n">
        <v>0.0341</v>
      </c>
      <c r="J2046" t="n">
        <v>0.2667</v>
      </c>
      <c r="K2046" t="n">
        <v>0.1899</v>
      </c>
      <c r="L2046" t="inlineStr">
        <is>
          <t>The provided Java code defines utility methods for managing metrics consumers in Apache Storm. It includes methods to add, remove, and retrieve metric consumers from a collection. The `addMetricsConsumer` method adds a consumer to the map if it doesn't already exist; `removeMetricsConsumer` removes a consumer based on its name; and `getMetricsConsumers` returns all registered consumers as a read-only view</t>
        </is>
      </c>
      <c r="M2046" t="n">
        <v>0.0031</v>
      </c>
      <c r="N2046" t="n">
        <v>0.029</v>
      </c>
      <c r="O2046" t="n">
        <v>0.07630000000000001</v>
      </c>
    </row>
    <row r="2047">
      <c r="A2047" t="inlineStr">
        <is>
          <t>storm</t>
        </is>
      </c>
      <c r="B2047" t="inlineStr">
        <is>
          <t>storm-client/test/jvm/org/apache/storm/nimbus/NimbusInfoTest.java</t>
        </is>
      </c>
      <c r="C2047">
        <f>HYPERLINK("https://github.com/apache/storm/blob/master/storm-client/test/jvm/org/apache/storm/nimbus/NimbusInfoTest.java")</f>
        <v/>
      </c>
      <c r="D2047" t="inlineStr">
        <is>
          <t>The provided code is part of the Apache Storm project's Nimbus component, which manages the cluster resources and schedules tasks across worker nodes. It includes unit tests that verify the correctness of various methods within the `Nimbus` class using JUnit Jupiter assertions. The complexity of the implementation is O(N), indicating linear time complexity, likely due to operations involving data structures like lists or arrays. The comments suggest that</t>
        </is>
      </c>
      <c r="E2047" t="n">
        <v>0.0027</v>
      </c>
      <c r="F2047" t="n">
        <v>0.0256</v>
      </c>
      <c r="G2047" t="n">
        <v>0.1071</v>
      </c>
      <c r="H2047" t="inlineStr">
        <is>
          <t>This repository contains backend software components that implement core algorithms. Complexity is high due to the size and number of files involved. Comments provide details about the implementation process. Initial codebase commit was made. Total code size is 1000 lines.</t>
        </is>
      </c>
      <c r="I2047" t="n">
        <v>0.0065</v>
      </c>
      <c r="J2047" t="n">
        <v>0.2083</v>
      </c>
      <c r="K2047" t="n">
        <v>0.2232</v>
      </c>
      <c r="L2047" t="inlineStr">
        <is>
          <t>This Java package `org.apache.storm.nimbus` appears to contain unit tests for the Nimbus class within the Storm framework. It uses JUnit Jupiter for testing, including assertions for expected outcomes such as equality checks (`assertEquals`) and exception handling (`assertThrows`). The tests appear to be part of an initial implementation of core algorithms related to the Nimbus component, which manages the communication between the ZooKeeper cluster</t>
        </is>
      </c>
      <c r="M2047" t="n">
        <v>0.0038</v>
      </c>
      <c r="N2047" t="n">
        <v>0.08110000000000001</v>
      </c>
      <c r="O2047" t="n">
        <v>0.1852</v>
      </c>
    </row>
    <row r="2048">
      <c r="A2048" t="inlineStr">
        <is>
          <t>storm</t>
        </is>
      </c>
      <c r="B2048" t="inlineStr">
        <is>
          <t>storm-client/test/jvm/org/apache/storm/bolt/TestJoinBolt.java</t>
        </is>
      </c>
      <c r="C2048">
        <f>HYPERLINK("https://github.com/apache/storm/blob/master/storm-client/test/jvm/org/apache/storm/bolt/TestJoinBolt.java")</f>
        <v/>
      </c>
      <c r="D2048" t="inlineStr">
        <is>
          <t>The provided code is part of a Storm bolt implementation that processes tuples from input streams. It includes methods for initializing the bolt, processing incoming tuples, and emitting processed data back to output streams. The complexity of the algorithm is O(N), where N represents the number of tuples processed. The code uses Java collections such as ArrayLists and HashMaps for storing intermediate results and configurations.</t>
        </is>
      </c>
      <c r="E2048" t="n">
        <v>0.0028</v>
      </c>
      <c r="F2048" t="n">
        <v>0.0541</v>
      </c>
      <c r="G2048" t="n">
        <v>0.1095</v>
      </c>
      <c r="H2048" t="inlineStr">
        <is>
          <t>This repository contains backend software components that implement core algorithms.</t>
        </is>
      </c>
      <c r="I2048" t="n">
        <v>0.0278</v>
      </c>
      <c r="J2048" t="n">
        <v>0.4444</v>
      </c>
      <c r="K2048" t="n">
        <v>0.3849</v>
      </c>
      <c r="L2048" t="inlineStr">
        <is>
          <t>The code implements a Bolt component in Apache Storm that processes incoming tuples from a spout. It maintains state using a HashMap to store intermediate results and uses a List to collect output tuples. The Bolt processes data based on certain conditions and emits processed tuples to downstream tasks.</t>
        </is>
      </c>
      <c r="M2048" t="n">
        <v>0.0045</v>
      </c>
      <c r="N2048" t="n">
        <v>0.0702</v>
      </c>
      <c r="O2048" t="n">
        <v>0.124</v>
      </c>
    </row>
    <row r="2049">
      <c r="A2049" t="inlineStr">
        <is>
          <t>storm</t>
        </is>
      </c>
      <c r="B2049" t="inlineStr">
        <is>
          <t>storm-client/test/jvm/org/apache/storm/streams/ProcessorBoltTest.java</t>
        </is>
      </c>
      <c r="C2049">
        <f>HYPERLINK("https://github.com/apache/storm/blob/master/storm-client/test/jvm/org/apache/storm/streams/ProcessorBoltTest.java")</f>
        <v/>
      </c>
      <c r="D2049" t="inlineStr">
        <is>
          <t>The provided code is part of the Apache Storm Streams project, which implements core algorithms for processing streams of data using Apache Storm. It includes classes such as `GlobalStreamId` and uses Java collections like `HashMap`, `Collections`, and `Set`. The complexity is O(N), indicating linear time operations based on input size N. The comments suggest that it's an implementation of core algorithms used in stream</t>
        </is>
      </c>
      <c r="E2049" t="n">
        <v>0.0067</v>
      </c>
      <c r="F2049" t="n">
        <v>0.08110000000000001</v>
      </c>
      <c r="G2049" t="n">
        <v>0.1471</v>
      </c>
      <c r="H2049" t="inlineStr">
        <is>
          <t>The code implements core algorithms for a backend software component, handling collections and maps efficiently. Complexity is O(N), indicating linear time complexity for operations involving large datasets. Comments describe its implementation as part of a larger project.</t>
        </is>
      </c>
      <c r="I2049" t="n">
        <v>0.0126</v>
      </c>
      <c r="J2049" t="n">
        <v>0.1304</v>
      </c>
      <c r="K2049" t="n">
        <v>0.3413</v>
      </c>
      <c r="L2049" t="inlineStr">
        <is>
          <t>This Java package `org.apache.storm.streams` appears to contain classes related to stream processing in Apache Storm. It includes methods for managing global stream IDs and possibly other functionalities related to data streams within the Storm framework. The code complexity suggests that it involves handling collections and maps, which could be part of implementing algorithms for stream transformations or aggregations. The comments indicate that the implementation focuses on core algorithms</t>
        </is>
      </c>
      <c r="M2049" t="n">
        <v>0.0035</v>
      </c>
      <c r="N2049" t="n">
        <v>0.0759</v>
      </c>
      <c r="O2049" t="n">
        <v>0.1786</v>
      </c>
    </row>
    <row r="2050">
      <c r="A2050" t="inlineStr">
        <is>
          <t>storm</t>
        </is>
      </c>
      <c r="B2050" t="inlineStr">
        <is>
          <t>storm-client/test/jvm/org/apache/storm/streams/StatefulProcessorBoltTest.java</t>
        </is>
      </c>
      <c r="C2050">
        <f>HYPERLINK("https://github.com/apache/storm/blob/master/storm-client/test/jvm/org/apache/storm/streams/StatefulProcessorBoltTest.java")</f>
        <v/>
      </c>
      <c r="D2050" t="inlineStr">
        <is>
          <t>The provided code is part of the Apache Storm Streams project, which includes backend software components. It implements core algorithms using Java and Google Guava libraries. The complexity of the implementation is O(N), indicating linear time complexity. The code size is approximately 1000 lines.</t>
        </is>
      </c>
      <c r="E2050" t="n">
        <v>0.0105</v>
      </c>
      <c r="F2050" t="n">
        <v>0.1509</v>
      </c>
      <c r="G2050" t="n">
        <v>0.3207</v>
      </c>
      <c r="H2050" t="inlineStr">
        <is>
          <t>The provided code implements core algorithms for a backend software component, using Java and Google Guava libraries. It processes collections and multimaps efficiently, handling large datasets according to its complexity of O(N).</t>
        </is>
      </c>
      <c r="I2050" t="n">
        <v>0.0147</v>
      </c>
      <c r="J2050" t="n">
        <v>0.1463</v>
      </c>
      <c r="K2050" t="n">
        <v>0.3577</v>
      </c>
      <c r="L2050" t="inlineStr">
        <is>
          <t>The provided code defines a package `org.apache.storm.streams` that includes classes and methods related to stream processing in Apache Storm. It likely handles data transformations, aggregations, and routing within a streaming environment, focusing on maintaining high performance and scalability through efficient algorithm implementations.</t>
        </is>
      </c>
      <c r="M2050" t="n">
        <v>0.0044</v>
      </c>
      <c r="N2050" t="n">
        <v>0.0377</v>
      </c>
      <c r="O2050" t="n">
        <v>0.0439</v>
      </c>
    </row>
    <row r="2051">
      <c r="A2051" t="inlineStr">
        <is>
          <t>storm</t>
        </is>
      </c>
      <c r="B2051" t="inlineStr">
        <is>
          <t>storm-client/test/jvm/org/apache/storm/streams/WindowedProcessorBoltTest.java</t>
        </is>
      </c>
      <c r="C2051">
        <f>HYPERLINK("https://github.com/apache/storm/blob/master/storm-client/test/jvm/org/apache/storm/streams/WindowedProcessorBoltTest.java")</f>
        <v/>
      </c>
      <c r="D2051" t="inlineStr">
        <is>
          <t>The provided code is part of the Apache Storm Streams project, which implements core algorithms for stream processing. It uses Java and Google Guava libraries, including `Multimap` from the `org.apache.storm.shade.com.google.common.collect` package. The complexity of the implementation is O(N), indicating linear time complexity relative to the input size N. The code includes comments explaining its purpose and usage,</t>
        </is>
      </c>
      <c r="E2051" t="n">
        <v>0.0075</v>
      </c>
      <c r="F2051" t="n">
        <v>0.0822</v>
      </c>
      <c r="G2051" t="n">
        <v>0.2447</v>
      </c>
      <c r="H2051" t="inlineStr">
        <is>
          <t>This repository contains backend software components that implement core algorithms. Complexity is O(N), indicating linear time complexity. Comments describe the implementation of these algorithms. Initial codebase was committed. The total size of the codebase is 1000 lines.</t>
        </is>
      </c>
      <c r="I2051" t="n">
        <v>0.0066</v>
      </c>
      <c r="J2051" t="n">
        <v>0.1739</v>
      </c>
      <c r="K2051" t="n">
        <v>0.1835</v>
      </c>
      <c r="L2051" t="inlineStr">
        <is>
          <t>The code implements a stream processing framework using Storm, designed to process data streams efficiently. It includes methods for handling input/output operations, managing state, and executing complex transformations on data streams. The implementation complexity is O(N), and it uses Google Guava's Multimap for efficient data storage and retrieval.</t>
        </is>
      </c>
      <c r="M2051" t="n">
        <v>0.0045</v>
      </c>
      <c r="N2051" t="n">
        <v>0.0678</v>
      </c>
      <c r="O2051" t="n">
        <v>0.125</v>
      </c>
    </row>
    <row r="2052">
      <c r="A2052" t="inlineStr">
        <is>
          <t>storm</t>
        </is>
      </c>
      <c r="B2052" t="inlineStr">
        <is>
          <t>storm-client/test/jvm/org/apache/storm/streams/StreamBuilderTest.java</t>
        </is>
      </c>
      <c r="C2052">
        <f>HYPERLINK("https://github.com/apache/storm/blob/master/storm-client/test/jvm/org/apache/storm/streams/StreamBuilderTest.java")</f>
        <v/>
      </c>
      <c r="D2052" t="inlineStr">
        <is>
          <t>The provided Java code defines a package `org.apache.storm.streams` containing classes related to stream processing in Apache Storm. It includes methods for creating bolts and global stream IDs, which are essential components for building complex data pipelines in storm-based applications. The complexity of the implementation is O(N), indicating that it scales linearly with input size. The comments suggest that the code implements core algorithms necessary for</t>
        </is>
      </c>
      <c r="E2052" t="n">
        <v>0.0066</v>
      </c>
      <c r="F2052" t="n">
        <v>0.0513</v>
      </c>
      <c r="G2052" t="n">
        <v>0.1865</v>
      </c>
      <c r="H2052" t="inlineStr">
        <is>
          <t>This repository contains backend software components implementing core algorithms.</t>
        </is>
      </c>
      <c r="I2052" t="n">
        <v>0.0316</v>
      </c>
      <c r="J2052" t="n">
        <v>0.4706</v>
      </c>
      <c r="K2052" t="n">
        <v>0.3897</v>
      </c>
      <c r="L2052" t="inlineStr">
        <is>
          <t>This Java package `org.apache.storm.streams` contains backend software components that implement core algorithms using Storm's Bolt interface. It processes data streams efficiently with a time complexity of O(N), leveraging existing comments and initial implementation details from a recent commit message. The code size is approximately 1000 lines, reflecting its importance within the project context.</t>
        </is>
      </c>
      <c r="M2052" t="n">
        <v>0.0049</v>
      </c>
      <c r="N2052" t="n">
        <v>0.1515</v>
      </c>
      <c r="O2052" t="n">
        <v>0.24</v>
      </c>
    </row>
    <row r="2053">
      <c r="A2053" t="inlineStr">
        <is>
          <t>storm</t>
        </is>
      </c>
      <c r="B2053" t="inlineStr">
        <is>
          <t>storm-client/test/jvm/org/apache/storm/streams/processors/JoinProcessorTest.java</t>
        </is>
      </c>
      <c r="C2053">
        <f>HYPERLINK("https://github.com/apache/storm/blob/master/storm-client/test/jvm/org/apache/storm/streams/processors/JoinProcessorTest.java")</f>
        <v/>
      </c>
      <c r="D2053" t="inlineStr">
        <is>
          <t>The provided Java code defines a processor class within the `org.apache.storm.streams.processors` package that processes data pairs using a set of predefined operations. It includes methods for handling list manipulations, such as adding elements to lists and performing arithmetic operations between pairs. The implementation uses basic Java constructs like arrays and sets, along with custom classes like `Pair`. The complexity of the algorithm is O</t>
        </is>
      </c>
      <c r="E2053" t="n">
        <v>0.0028</v>
      </c>
      <c r="F2053" t="n">
        <v>0.0526</v>
      </c>
      <c r="G2053" t="n">
        <v>0.1103</v>
      </c>
      <c r="H2053" t="inlineStr">
        <is>
          <t>The code implements core algorithms for processing streams using Storm, a real-time computation system. It includes classes such as `Pair` and `Processor`, which handle data pairs and process them accordingly. The complexity is O(N), indicating that it processes each element in the stream once.</t>
        </is>
      </c>
      <c r="I2053" t="n">
        <v>0.0098</v>
      </c>
      <c r="J2053" t="n">
        <v>0.1111</v>
      </c>
      <c r="K2053" t="n">
        <v>0.2721</v>
      </c>
      <c r="L2053" t="inlineStr">
        <is>
          <t>The provided code implements a processor that processes input data using a set of predefined rules and transformations. It utilizes Java's `ArrayList` and `Set` collections to store intermediate results and manage unique elements efficiently. The processor applies various operations such as filtering, mapping, and joining based on the input data pairs, ultimately producing output streams according to specified criteria.</t>
        </is>
      </c>
      <c r="M2053" t="n">
        <v>0.0037</v>
      </c>
      <c r="N2053" t="n">
        <v>0.0588</v>
      </c>
      <c r="O2053" t="n">
        <v>0.1145</v>
      </c>
    </row>
    <row r="2054">
      <c r="A2054" t="inlineStr">
        <is>
          <t>storm</t>
        </is>
      </c>
      <c r="B2054" t="inlineStr">
        <is>
          <t>storm-client/test/jvm/org/apache/storm/streams/processors/CoGroupByKeyProcessorTest.java</t>
        </is>
      </c>
      <c r="C2054">
        <f>HYPERLINK("https://github.com/apache/storm/blob/master/storm-client/test/jvm/org/apache/storm/streams/processors/CoGroupByKeyProcessorTest.java")</f>
        <v/>
      </c>
      <c r="D2054" t="inlineStr">
        <is>
          <t>The provided code is part of a Storm Streams library that includes processors for stream processing tasks. It implements core algorithms for handling data streams efficiently. The complexity of the implementation is O(N), indicating linear time operations based on input size N. The code uses Java collections such as ArrayList and Set, along with Pair from the Apache Storm library. The comments describe the purpose and licensing of the code, while the</t>
        </is>
      </c>
      <c r="E2054" t="n">
        <v>0.0059</v>
      </c>
      <c r="F2054" t="n">
        <v>0.0741</v>
      </c>
      <c r="G2054" t="n">
        <v>0.2192</v>
      </c>
      <c r="H2054" t="inlineStr">
        <is>
          <t>This repository contains backend software components that implement core algorithms. Complexity is O(N), indicating linear time complexity. Comments describe the implementation details. Initial codebase commit was made. Code size is 1000 lines.</t>
        </is>
      </c>
      <c r="I2054" t="n">
        <v>0.0077</v>
      </c>
      <c r="J2054" t="n">
        <v>0.1951</v>
      </c>
      <c r="K2054" t="n">
        <v>0.1923</v>
      </c>
      <c r="L2054" t="inlineStr">
        <is>
          <t>The code processes incoming data streams using a custom processor class that handles various operations such as filtering, mapping, and aggregating elements based on predefined rules. It uses Java collections like ArrayList and List to manage data efficiently. The implementation includes comments explaining the core algorithms used, making it easier to understand and maintain.</t>
        </is>
      </c>
      <c r="M2054" t="n">
        <v>0.004</v>
      </c>
      <c r="N2054" t="n">
        <v>0.0968</v>
      </c>
      <c r="O2054" t="n">
        <v>0.1587</v>
      </c>
    </row>
    <row r="2055">
      <c r="A2055" t="inlineStr">
        <is>
          <t>storm</t>
        </is>
      </c>
      <c r="B2055" t="inlineStr">
        <is>
          <t>storm-client/test/jvm/org/apache/storm/windowing/WaterMarkEventGeneratorTest.java</t>
        </is>
      </c>
      <c r="C2055">
        <f>HYPERLINK("https://github.com/apache/storm/blob/master/storm-client/test/jvm/org/apache/storm/windowing/WaterMarkEventGeneratorTest.java")</f>
        <v/>
      </c>
      <c r="D2055" t="inlineStr">
        <is>
          <t>The provided code implements core algorithms for windowing operations in Apache Storm, which processes data streams into windows based on time intervals or event counts. It includes classes such as `GlobalStreamId` and uses Java collections like `ArrayList`, `HashSet`, and `Collections`. The complexity is O(N), indicating linear time performance relative to the number of elements processed. The implementation focuses on handling stream processing tasks efficiently</t>
        </is>
      </c>
      <c r="E2055" t="n">
        <v>0.0067</v>
      </c>
      <c r="F2055" t="n">
        <v>0.0822</v>
      </c>
      <c r="G2055" t="n">
        <v>0.2321</v>
      </c>
      <c r="H2055" t="inlineStr">
        <is>
          <t>The code implements core algorithms for processing windowed data in Apache Storm. It includes classes such as `GlobalStreamId` and uses Java collections like `ArrayList`, `HashSet`, and `List`. The complexity is O(N), indicating linear time operations based on input size.</t>
        </is>
      </c>
      <c r="I2055" t="n">
        <v>0.0111</v>
      </c>
      <c r="J2055" t="n">
        <v>0.125</v>
      </c>
      <c r="K2055" t="n">
        <v>0.2843</v>
      </c>
      <c r="L2055" t="inlineStr">
        <is>
          <t>This Java package contains backend software components that implement windowing functionalities using Apache Storm. It includes classes such as `GlobalStreamId` which likely represents identifiers for global streams used in storm topologies. The code appears to be part of a larger system designed to process data streams efficiently within a storm cluster.</t>
        </is>
      </c>
      <c r="M2055" t="n">
        <v>0.0043</v>
      </c>
      <c r="N2055" t="n">
        <v>0.1356</v>
      </c>
      <c r="O2055" t="n">
        <v>0.1626</v>
      </c>
    </row>
    <row r="2056">
      <c r="A2056" t="inlineStr">
        <is>
          <t>storm</t>
        </is>
      </c>
      <c r="B2056" t="inlineStr">
        <is>
          <t>storm-client/test/jvm/org/apache/storm/windowing/WindowManagerTest.java</t>
        </is>
      </c>
      <c r="C2056">
        <f>HYPERLINK("https://github.com/apache/storm/blob/master/storm-client/test/jvm/org/apache/storm/windowing/WindowManagerTest.java")</f>
        <v/>
      </c>
      <c r="D2056" t="inlineStr">
        <is>
          <t>The provided Java code defines a package `org.apache.storm.windowing` that includes classes and methods related to windowing operations in Apache Storm. It appears to implement core algorithms for handling time-based windows in data processing systems. The complexity of the implementation is O(N), indicating linear time complexity relative to the number of elements being processed. The comments suggest that the code is part of a larger project focused</t>
        </is>
      </c>
      <c r="E2056" t="n">
        <v>0.0033</v>
      </c>
      <c r="F2056" t="n">
        <v>0.0506</v>
      </c>
      <c r="G2056" t="n">
        <v>0.1449</v>
      </c>
      <c r="H2056" t="inlineStr">
        <is>
          <t>The code implements core algorithms for a backend system, using Java and handling data structures like lists and sets. It includes comments explaining its purpose and complexity, as well as commits detailing the initial creation of the codebase.</t>
        </is>
      </c>
      <c r="I2056" t="n">
        <v>0.0114</v>
      </c>
      <c r="J2056" t="n">
        <v>0.1304</v>
      </c>
      <c r="K2056" t="n">
        <v>0.2869</v>
      </c>
      <c r="L2056" t="inlineStr">
        <is>
          <t>This Java package `org.apache.storm.windowing` provides classes for implementing windowing functions in Storm, which allow data processing to be done over time intervals rather than just individual events. It includes utilities for managing windows, such as calculating the start and end times of each window, and handling overlapping windows. The implementation uses basic data structures like lists and sets to manage window boundaries and elements within those windows</t>
        </is>
      </c>
      <c r="M2056" t="n">
        <v>0.0032</v>
      </c>
      <c r="N2056" t="n">
        <v>0.1026</v>
      </c>
      <c r="O2056" t="n">
        <v>0.1439</v>
      </c>
    </row>
    <row r="2057">
      <c r="A2057" t="inlineStr">
        <is>
          <t>storm</t>
        </is>
      </c>
      <c r="B2057" t="inlineStr">
        <is>
          <t>storm-client/test/jvm/org/apache/storm/windowing/persistence/WindowStateTest.java</t>
        </is>
      </c>
      <c r="C2057">
        <f>HYPERLINK("https://github.com/apache/storm/blob/master/storm-client/test/jvm/org/apache/storm/windowing/persistence/WindowStateTest.java")</f>
        <v/>
      </c>
      <c r="D2057" t="inlineStr">
        <is>
          <t>The code implements core algorithms for windowing persistence using Java. It uses data structures like Deques and HashMaps to manage state efficiently. The complexity is O(N), indicating linear time operations based on input size N. The implementation includes comments explaining its purpose and functionality.</t>
        </is>
      </c>
      <c r="E2057" t="n">
        <v>0.0098</v>
      </c>
      <c r="F2057" t="n">
        <v>0.1132</v>
      </c>
      <c r="G2057" t="n">
        <v>0.2721</v>
      </c>
      <c r="H2057" t="inlineStr">
        <is>
          <t>Manages persistence logic for Storm windowing components. Complexity is O(N), handling large datasets efficiently.</t>
        </is>
      </c>
      <c r="I2057" t="n">
        <v>0</v>
      </c>
      <c r="J2057" t="n">
        <v>0.08699999999999999</v>
      </c>
      <c r="K2057" t="n">
        <v>0</v>
      </c>
      <c r="L2057" t="inlineStr">
        <is>
          <t>The code implements a persistence mechanism for windowed data processing using Storm, focusing on managing event time windows efficiently. It uses a deque to store events within each window and a hashmap to track the current state of these windows. The implementation includes methods for adding new events, updating existing windows, and retrieving aggregated results based on specified time intervals.</t>
        </is>
      </c>
      <c r="M2057" t="n">
        <v>0.0036</v>
      </c>
      <c r="N2057" t="n">
        <v>0.0588</v>
      </c>
      <c r="O2057" t="n">
        <v>0.1136</v>
      </c>
    </row>
    <row r="2058">
      <c r="A2058" t="inlineStr">
        <is>
          <t>storm</t>
        </is>
      </c>
      <c r="B2058" t="inlineStr">
        <is>
          <t>storm-client/test/jvm/org/apache/storm/topology/StatefulWindowedBoltExecutorTest.java</t>
        </is>
      </c>
      <c r="C2058">
        <f>HYPERLINK("https://github.com/apache/storm/blob/master/storm-client/test/jvm/org/apache/storm/topology/StatefulWindowedBoltExecutorTest.java")</f>
        <v/>
      </c>
      <c r="D2058" t="inlineStr">
        <is>
          <t>The provided Java code defines a class `Topology` within the package `org.apache.storm.topology`. This class appears to be part of a larger system designed for managing topologies in Apache Storm, which is a distributed real-time computation system. The class likely includes methods for configuring and executing topologies, possibly involving data processing tasks across multiple nodes in a cluster. The comments indicate that it implements core</t>
        </is>
      </c>
      <c r="E2058" t="n">
        <v>0.0072</v>
      </c>
      <c r="F2058" t="n">
        <v>0.0789</v>
      </c>
      <c r="G2058" t="n">
        <v>0.2735</v>
      </c>
      <c r="H2058" t="inlineStr">
        <is>
          <t>This repository contains backend software components that implement core algorithms. Complexity is O(N), indicating linear time complexity. Comments describe the implementation of these algorithms. Initial codebase commit was made. Code size is 1000 lines.</t>
        </is>
      </c>
      <c r="I2058" t="n">
        <v>0.0072</v>
      </c>
      <c r="J2058" t="n">
        <v>0.186</v>
      </c>
      <c r="K2058" t="n">
        <v>0.1887</v>
      </c>
      <c r="L2058" t="inlineStr">
        <is>
          <t>The provided Java code defines a class `TopologyBuilder` within the `org.apache.storm.topology` package. It includes methods for constructing topologies using Storm's API. Key functionalities involve creating streams, setting up bolts, specifying input/output configurations, and managing resources such as spouts and reducers. The code complexity is O(N), where N represents the number of elements being processed, and it implements</t>
        </is>
      </c>
      <c r="M2058" t="n">
        <v>0.0038</v>
      </c>
      <c r="N2058" t="n">
        <v>0.0563</v>
      </c>
      <c r="O2058" t="n">
        <v>0.1163</v>
      </c>
    </row>
    <row r="2059">
      <c r="A2059" t="inlineStr">
        <is>
          <t>storm</t>
        </is>
      </c>
      <c r="B2059" t="inlineStr">
        <is>
          <t>storm-client/test/jvm/org/apache/storm/topology/SimpleWindowPartitionCacheTest.java</t>
        </is>
      </c>
      <c r="C2059">
        <f>HYPERLINK("https://github.com/apache/storm/blob/master/storm-client/test/jvm/org/apache/storm/topology/SimpleWindowPartitionCacheTest.java")</f>
        <v/>
      </c>
      <c r="D2059" t="inlineStr">
        <is>
          <t>The provided Java code defines a class `Topology` within the package `org.apache.storm.topology`. This class appears to be part of a larger system designed for handling topologies in Apache Storm, which is a distributed real-time computation system. The code includes methods for managing tasks and futures related to topology execution. It uses basic data structures like lists and arrays, along with concurrency utilities such as `</t>
        </is>
      </c>
      <c r="E2059" t="n">
        <v>0.0033</v>
      </c>
      <c r="F2059" t="n">
        <v>0.0526</v>
      </c>
      <c r="G2059" t="n">
        <v>0.1095</v>
      </c>
      <c r="H2059" t="inlineStr">
        <is>
          <t>Manages backend software components implementing core algorithms.</t>
        </is>
      </c>
      <c r="I2059" t="n">
        <v>0.0341</v>
      </c>
      <c r="J2059" t="n">
        <v>0.4</v>
      </c>
      <c r="K2059" t="n">
        <v>0.3235</v>
      </c>
      <c r="L2059" t="inlineStr">
        <is>
          <t>The code defines classes and methods related to topology management in Apache Storm, including creating topologies from configurations, managing spouts and bolts, and handling task assignments. It also includes utilities for scheduling tasks asynchronously using FutureTasks.</t>
        </is>
      </c>
      <c r="M2059" t="n">
        <v>0.0052</v>
      </c>
      <c r="N2059" t="n">
        <v>0.0455</v>
      </c>
      <c r="O2059" t="n">
        <v>0.0926</v>
      </c>
    </row>
    <row r="2060">
      <c r="A2060" t="inlineStr">
        <is>
          <t>storm</t>
        </is>
      </c>
      <c r="B2060" t="inlineStr">
        <is>
          <t>storm-client/test/jvm/org/apache/storm/topology/PersistentWindowedBoltExecutorTest.java</t>
        </is>
      </c>
      <c r="C2060">
        <f>HYPERLINK("https://github.com/apache/storm/blob/master/storm-client/test/jvm/org/apache/storm/topology/PersistentWindowedBoltExecutorTest.java")</f>
        <v/>
      </c>
      <c r="D2060" t="inlineStr">
        <is>
          <t>The provided code appears to be part of the Apache Storm project, specifically within its topology package. It includes various classes and methods related to topologies, which define how data flows through a distributed computing system using Apache Storm. The code uses Java collections such as ArrayLists, Deques, HashMaps, and Lists to manage data flow between different parts of the topology. The complexity of the implementation is O</t>
        </is>
      </c>
      <c r="E2060" t="n">
        <v>0.0027</v>
      </c>
      <c r="F2060" t="n">
        <v>0.0263</v>
      </c>
      <c r="G2060" t="n">
        <v>0.1071</v>
      </c>
      <c r="H2060" t="inlineStr">
        <is>
          <t>Manages backend software components using Java, implementing core algorithms. Complexity is O(N).</t>
        </is>
      </c>
      <c r="I2060" t="n">
        <v>0.0203</v>
      </c>
      <c r="J2060" t="n">
        <v>0.2857</v>
      </c>
      <c r="K2060" t="n">
        <v>0.3757</v>
      </c>
      <c r="L2060" t="inlineStr">
        <is>
          <t>This Java class defines a topology builder for Apache Storm, allowing users to construct complex data processing workflows programmatically. It includes methods for adding spouts, bolts, setting up stream connections, and configuring various settings such as parallelism levels andackers. The class uses collections like `ArrayList`, `HashMap`, and `Deque` to manage state and dependencies within the topology.</t>
        </is>
      </c>
      <c r="M2060" t="n">
        <v>0.0039</v>
      </c>
      <c r="N2060" t="n">
        <v>0.0625</v>
      </c>
      <c r="O2060" t="n">
        <v>0.1172</v>
      </c>
    </row>
    <row r="2061">
      <c r="A2061" t="inlineStr">
        <is>
          <t>storm</t>
        </is>
      </c>
      <c r="B2061" t="inlineStr">
        <is>
          <t>storm-client/test/jvm/org/apache/storm/topology/TopologyBuilderTest.java</t>
        </is>
      </c>
      <c r="C2061">
        <f>HYPERLINK("https://github.com/apache/storm/blob/master/storm-client/test/jvm/org/apache/storm/topology/TopologyBuilderTest.java")</f>
        <v/>
      </c>
      <c r="D2061" t="inlineStr">
        <is>
          <t>The provided Java code defines a class `StormTopology` within the package `org.apache.storm.topology`. This class appears to be part of a Storm topology implementation used in Apache Storm, which is a distributed real-time computation system designed for processing large volumes of data streams. The class likely encapsulates logic related to defining and managing topologies, including handling global stream IDs and possibly other aspects of storm</t>
        </is>
      </c>
      <c r="E2061" t="n">
        <v>0.0034</v>
      </c>
      <c r="F2061" t="n">
        <v>0.0789</v>
      </c>
      <c r="G2061" t="n">
        <v>0.1471</v>
      </c>
      <c r="H2061" t="inlineStr">
        <is>
          <t>This repository contains backend software components implementing core algorithms. Complexity is O(N), indicating linear time complexity. Comments describe the implementation details. Initial codebase commit was made. Code size is 1000 lines.</t>
        </is>
      </c>
      <c r="I2061" t="n">
        <v>0.007900000000000001</v>
      </c>
      <c r="J2061" t="n">
        <v>0.2</v>
      </c>
      <c r="K2061" t="n">
        <v>0.1942</v>
      </c>
      <c r="L2061" t="inlineStr">
        <is>
          <t>The provided code defines a class `StormTopology` within the package `org.apache.storm.topology`. It includes methods for managing topologies in Apache Storm, such as adding bolts, setting up streams between them, and defining global stream IDs. The code complexity is O(N), indicating that certain operations might scale linearly with input size. The implementation focuses on core algorithms related to topology management, which</t>
        </is>
      </c>
      <c r="M2061" t="n">
        <v>0.0036</v>
      </c>
      <c r="N2061" t="n">
        <v>0.0556</v>
      </c>
      <c r="O2061" t="n">
        <v>0.1136</v>
      </c>
    </row>
    <row r="2062">
      <c r="A2062" t="inlineStr">
        <is>
          <t>storm</t>
        </is>
      </c>
      <c r="B2062" t="inlineStr">
        <is>
          <t>storm-client/test/jvm/org/apache/storm/topology/WindowedBoltExecutorTest.java</t>
        </is>
      </c>
      <c r="C2062">
        <f>HYPERLINK("https://github.com/apache/storm/blob/master/storm-client/test/jvm/org/apache/storm/topology/WindowedBoltExecutorTest.java")</f>
        <v/>
      </c>
      <c r="D2062" t="inlineStr">
        <is>
          <t>The provided Java code defines a package `org.apache.storm.topology` that includes classes and methods related to topology management in Apache Storm. It does not contain any actual implementation details but rather serves as a placeholder for future development. The complexity is O(N), indicating linear time operations, and it uses basic data structures like lists, maps, and sets. The comments suggest that the code will implement core</t>
        </is>
      </c>
      <c r="E2062" t="n">
        <v>0.0033</v>
      </c>
      <c r="F2062" t="n">
        <v>0.0519</v>
      </c>
      <c r="G2062" t="n">
        <v>0.2304</v>
      </c>
      <c r="H2062" t="inlineStr">
        <is>
          <t>The code implements core algorithms for a backend software component. It uses Java and includes various data structures such as lists, maps, and sets. The complexity is O(N), indicating linear time operations.</t>
        </is>
      </c>
      <c r="I2062" t="n">
        <v>0.0147</v>
      </c>
      <c r="J2062" t="n">
        <v>0.1463</v>
      </c>
      <c r="K2062" t="n">
        <v>0.3577</v>
      </c>
      <c r="L2062" t="inlineStr">
        <is>
          <t>The code implements a topology builder for Apache Storm, allowing users to define and configure complex data processing workflows using Java classes. It includes methods for creating streams, setting up spouts and bolts, defining dependencies between them, and managing stateful computations. The implementation uses various collections like `ArrayList`, `HashMap`, and `HashSet` to manage topological structures efficiently.</t>
        </is>
      </c>
      <c r="M2062" t="n">
        <v>0.0039</v>
      </c>
      <c r="N2062" t="n">
        <v>0.0625</v>
      </c>
      <c r="O2062" t="n">
        <v>0.1172</v>
      </c>
    </row>
    <row r="2063">
      <c r="A2063" t="inlineStr">
        <is>
          <t>storm</t>
        </is>
      </c>
      <c r="B2063" t="inlineStr">
        <is>
          <t>storm-client/test/jvm/org/apache/storm/topology/StatefulBoltExecutorTest.java</t>
        </is>
      </c>
      <c r="C2063">
        <f>HYPERLINK("https://github.com/apache/storm/blob/master/storm-client/test/jvm/org/apache/storm/topology/StatefulBoltExecutorTest.java")</f>
        <v/>
      </c>
      <c r="D2063" t="inlineStr">
        <is>
          <t>The provided code defines a class `TopologyBuilder` within the package `org.apache.storm.topology`. This class appears to be part of a Storm topology builder library used for constructing topologies in Apache Storm, which is a distributed real-time computation system. The class likely provides methods for defining streams, grouping tasks, and other aspects of building storm topologies programmatically. The comments indicate that it implements</t>
        </is>
      </c>
      <c r="E2063" t="n">
        <v>0.0039</v>
      </c>
      <c r="F2063" t="n">
        <v>0.0548</v>
      </c>
      <c r="G2063" t="n">
        <v>0.1504</v>
      </c>
      <c r="H2063" t="inlineStr">
        <is>
          <t>This repository contains backend software components that implement core algorithms. Complexity is O(N), indicating linear time complexity. Comments describe the implementation of these algorithms. Initial codebase commit was made. Code size is 1000 lines.</t>
        </is>
      </c>
      <c r="I2063" t="n">
        <v>0.0072</v>
      </c>
      <c r="J2063" t="n">
        <v>0.186</v>
      </c>
      <c r="K2063" t="n">
        <v>0.1887</v>
      </c>
      <c r="L2063" t="inlineStr">
        <is>
          <t>The provided code defines a class `TopologyBuilder` within the `org.apache.storm.topology` package. It includes methods for building Storm topologies, which define how data flows through a cluster. Key functionalities include adding spouts, bolts, setting up stream groups, and defining input/output streams. The class uses Java generics to allow flexibility in specifying component types.</t>
        </is>
      </c>
      <c r="M2063" t="n">
        <v>0.0035</v>
      </c>
      <c r="N2063" t="n">
        <v>0.0625</v>
      </c>
      <c r="O2063" t="n">
        <v>0.0806</v>
      </c>
    </row>
    <row r="2064">
      <c r="A2064" t="inlineStr">
        <is>
          <t>storm</t>
        </is>
      </c>
      <c r="B2064" t="inlineStr">
        <is>
          <t>storm-client/test/jvm/org/apache/storm/cluster/StormClusterStateImplTest.java</t>
        </is>
      </c>
      <c r="C2064">
        <f>HYPERLINK("https://github.com/apache/storm/blob/master/storm-client/test/jvm/org/apache/storm/cluster/StormClusterStateImplTest.java")</f>
        <v/>
      </c>
      <c r="D2064" t="inlineStr">
        <is>
          <t>The provided Java code defines a class `ClusterManager` within the package `org.apache.storm.cluster`. This class appears to be part of a larger system designed to manage cluster resources in Apache Storm, likely focusing on assigning tasks to nodes based on local assignments. The code includes:
- A comment block describing licensing terms and project details.
- An import statement for `LocalAssignmentsBackendFactory`, which</t>
        </is>
      </c>
      <c r="E2064" t="n">
        <v>0.0036</v>
      </c>
      <c r="F2064" t="n">
        <v>0.0571</v>
      </c>
      <c r="G2064" t="n">
        <v>0.1128</v>
      </c>
      <c r="H2064" t="inlineStr">
        <is>
          <t>Manages backend software components implementing core algorithms.</t>
        </is>
      </c>
      <c r="I2064" t="n">
        <v>0.0341</v>
      </c>
      <c r="J2064" t="n">
        <v>0.4</v>
      </c>
      <c r="K2064" t="n">
        <v>0.3235</v>
      </c>
      <c r="L2064" t="inlineStr">
        <is>
          <t>The code implements a cluster management system within the Apache Storm framework. It includes classes such as `LocalAssignmentsBackendFactory` and `ZKStateChangedCallback`, which handle local assignment backends and state changes in ZooKeeper respectively. The code size is 1000 lines, and it has been implemented using Java with JUnit Jupiter annotations for testing.</t>
        </is>
      </c>
      <c r="M2064" t="n">
        <v>0.0044</v>
      </c>
      <c r="N2064" t="n">
        <v>0.06900000000000001</v>
      </c>
      <c r="O2064" t="n">
        <v>0.123</v>
      </c>
    </row>
    <row r="2065">
      <c r="A2065" t="inlineStr">
        <is>
          <t>storm</t>
        </is>
      </c>
      <c r="B2065" t="inlineStr">
        <is>
          <t>storm-client/test/jvm/org/apache/storm/cluster/DaemonTypeTest.java</t>
        </is>
      </c>
      <c r="C2065">
        <f>HYPERLINK("https://github.com/apache/storm/blob/master/storm-client/test/jvm/org/apache/storm/cluster/DaemonTypeTest.java")</f>
        <v/>
      </c>
      <c r="D2065" t="inlineStr">
        <is>
          <t>The provided Java code defines a class `Cluster` within the package `org.apache.storm.cluster`. It includes methods for managing cluster configurations, principal-to-local mappings, and possibly other related functionalities. The code uses annotations like `@Override` and comments explaining its purpose and usage. The complexity of the implementation is O(N), indicating that it processes data linearly based on input size N.</t>
        </is>
      </c>
      <c r="E2065" t="n">
        <v>0.0032</v>
      </c>
      <c r="F2065" t="n">
        <v>0.0563</v>
      </c>
      <c r="G2065" t="n">
        <v>0.1163</v>
      </c>
      <c r="H2065" t="inlineStr">
        <is>
          <t>Manages cluster resources and implements core algorithms.</t>
        </is>
      </c>
      <c r="I2065" t="n">
        <v>0.067</v>
      </c>
      <c r="J2065" t="n">
        <v>0.2667</v>
      </c>
      <c r="K2065" t="n">
        <v>0.3235</v>
      </c>
      <c r="L2065" t="inlineStr">
        <is>
          <t>The code provides a configuration class for Storm cluster settings, including default principal-to-local mappings for security authentication. It includes methods to set up configurations such as Zookeeper connection details, worker resources, and other relevant parameters.</t>
        </is>
      </c>
      <c r="M2065" t="n">
        <v>0.0053</v>
      </c>
      <c r="N2065" t="n">
        <v>0.0444</v>
      </c>
      <c r="O2065" t="n">
        <v>0.0935</v>
      </c>
    </row>
    <row r="2066">
      <c r="A2066" t="inlineStr">
        <is>
          <t>storm</t>
        </is>
      </c>
      <c r="B2066" t="inlineStr">
        <is>
          <t>storm-client/test/jvm/org/apache/storm/grouping/ShuffleGroupingTest.java</t>
        </is>
      </c>
      <c r="C2066">
        <f>HYPERLINK("https://github.com/apache/storm/blob/master/storm-client/test/jvm/org/apache/storm/grouping/ShuffleGroupingTest.java")</f>
        <v/>
      </c>
      <c r="D2066" t="inlineStr">
        <is>
          <t>The provided Java code defines a class `Grouping` within the package `org.apache.storm.grouping`. This class appears to be part of a larger system designed for handling data grouping in Storm, a distributed real-time computation framework. The code includes comments indicating that it implements core algorithms related to data distribution across worker nodes in a Storm cluster. The complexity level is O(N), suggesting that the algorithm</t>
        </is>
      </c>
      <c r="E2066" t="n">
        <v>0.0067</v>
      </c>
      <c r="F2066" t="n">
        <v>0.0779</v>
      </c>
      <c r="G2066" t="n">
        <v>0.2321</v>
      </c>
      <c r="H2066" t="inlineStr">
        <is>
          <t>This repository contains backend software components implementing core algorithms. Complexity is O(N), indicating linear time complexity. Comments describe the implementation details. Initial codebase commit was made. Code size is 1000 lines.</t>
        </is>
      </c>
      <c r="I2066" t="n">
        <v>0.007900000000000001</v>
      </c>
      <c r="J2066" t="n">
        <v>0.2</v>
      </c>
      <c r="K2066" t="n">
        <v>0.1942</v>
      </c>
      <c r="L2066" t="inlineStr">
        <is>
          <t>This Java class provides a mechanism for grouping tuples based on their keys using parallel processing. It uses an `ExecutorService` to distribute tuple grouping tasks across multiple threads, improving performance for large datasets. The class includes methods for submitting grouping jobs, retrieving results, and managing resources efficiently.</t>
        </is>
      </c>
      <c r="M2066" t="n">
        <v>0.0046</v>
      </c>
      <c r="N2066" t="n">
        <v>0.0727</v>
      </c>
      <c r="O2066" t="n">
        <v>0.1261</v>
      </c>
    </row>
    <row r="2067">
      <c r="A2067" t="inlineStr">
        <is>
          <t>storm</t>
        </is>
      </c>
      <c r="B2067" t="inlineStr">
        <is>
          <t>storm-client/test/jvm/org/apache/storm/grouping/LoadAwareShuffleGroupingTest.java</t>
        </is>
      </c>
      <c r="C2067">
        <f>HYPERLINK("https://github.com/apache/storm/blob/master/storm-client/test/jvm/org/apache/storm/grouping/LoadAwareShuffleGroupingTest.java")</f>
        <v/>
      </c>
      <c r="D2067" t="inlineStr">
        <is>
          <t>The provided code is part of the Apache Storm project, specifically within its grouping module. It appears to be implementing core algorithms related to data distribution across worker nodes in a distributed computing framework. The code uses Java and includes comments indicating that it implements complex algorithms necessary for efficient task scheduling and load balancing in storm clusters. The complexity level is O(N), suggesting that the implementation involves processing or analyzing large datasets.</t>
        </is>
      </c>
      <c r="E2067" t="n">
        <v>0.0033</v>
      </c>
      <c r="F2067" t="n">
        <v>0.09760000000000001</v>
      </c>
      <c r="G2067" t="n">
        <v>0.1379</v>
      </c>
      <c r="H2067" t="inlineStr">
        <is>
          <t>The code implements core algorithms for a backend system. It includes Java classes that perform various operations efficiently using appropriate data structures and algorithms. Complexity analysis indicates it has linear time complexity, making it suitable for handling large datasets.</t>
        </is>
      </c>
      <c r="I2067" t="n">
        <v>0.0111</v>
      </c>
      <c r="J2067" t="n">
        <v>0.1277</v>
      </c>
      <c r="K2067" t="n">
        <v>0.2843</v>
      </c>
      <c r="L2067" t="inlineStr">
        <is>
          <t>The code implements a custom grouping strategy for Apache Storm, which assigns tuples based on their keys. It uses a map to store the mapping between input fields and output fields, allowing for flexible tuple routing within the storm topology. The implementation includes methods to add mappings, retrieve mappings, and perform grouping based on these mappings.</t>
        </is>
      </c>
      <c r="M2067" t="n">
        <v>0.0039</v>
      </c>
      <c r="N2067" t="n">
        <v>0.0625</v>
      </c>
      <c r="O2067" t="n">
        <v>0.1172</v>
      </c>
    </row>
    <row r="2068">
      <c r="A2068" t="inlineStr">
        <is>
          <t>storm</t>
        </is>
      </c>
      <c r="B2068" t="inlineStr">
        <is>
          <t>storm-client/test/jvm/org/apache/storm/grouping/partialKeyGrouping/PartialKeyGroupingTest.java</t>
        </is>
      </c>
      <c r="C2068">
        <f>HYPERLINK("https://github.com/apache/storm/blob/master/storm-client/test/jvm/org/apache/storm/grouping/partialKeyGrouping/PartialKeyGroupingTest.java")</f>
        <v/>
      </c>
      <c r="D2068" t="inlineStr">
        <is>
          <t>The provided Java code defines a class `PartialKeyGrouping` within the package `org.apache.storm.grouping.partialKeyGrouping`. This class implements a partial key grouping strategy used in Apache Storm, which is a distributed real-time computation system. It groups tuples based on a subset of their keys rather than all keys, optimizing data distribution across worker nodes. The complexity of this implementation is O(N</t>
        </is>
      </c>
      <c r="E2068" t="n">
        <v>0.0037</v>
      </c>
      <c r="F2068" t="n">
        <v>0.0556</v>
      </c>
      <c r="G2068" t="n">
        <v>0.1154</v>
      </c>
      <c r="H2068" t="inlineStr">
        <is>
          <t>Implements core algorithms for backend software components. Complexity is O(N).</t>
        </is>
      </c>
      <c r="I2068" t="n">
        <v>0.0251</v>
      </c>
      <c r="J2068" t="n">
        <v>0.2105</v>
      </c>
      <c r="K2068" t="n">
        <v>0.3117</v>
      </c>
      <c r="L2068" t="inlineStr">
        <is>
          <t>This Java class implements a `PartialKeyGrouping` strategy used in Apache Storm's message distribution system. It groups tuples based on partial keys, allowing for efficient routing within a topology while maintaining data locality. The implementation focuses on handling global stream IDs and managing tuple grouping efficiently, ensuring optimal performance in distributed computing environments.</t>
        </is>
      </c>
      <c r="M2068" t="n">
        <v>0.0046</v>
      </c>
      <c r="N2068" t="n">
        <v>0.0984</v>
      </c>
      <c r="O2068" t="n">
        <v>0.1613</v>
      </c>
    </row>
    <row r="2069">
      <c r="A2069" t="inlineStr">
        <is>
          <t>storm</t>
        </is>
      </c>
      <c r="B2069" t="inlineStr">
        <is>
          <t>storm-client/test/jvm/org/apache/storm/grouping/partialKeyGrouping/RandomTwoTaskAssignmentCreatorTest.java</t>
        </is>
      </c>
      <c r="C2069">
        <f>HYPERLINK("https://github.com/apache/storm/blob/master/storm-client/test/jvm/org/apache/storm/grouping/partialKeyGrouping/RandomTwoTaskAssignmentCreatorTest.java")</f>
        <v/>
      </c>
      <c r="D2069" t="inlineStr">
        <is>
          <t>The provided code defines a partial key grouping implementation within the Apache Storm framework. It includes utility methods from Google Guava's Lists class and uses Apache Commons Lang's Utils class. The complexity of the implementation is O(N), indicating linear time operations based on input size N. The comments suggest that it implements core algorithms related to grouping data partially by keys. The code size is approximately 1000</t>
        </is>
      </c>
      <c r="E2069" t="n">
        <v>0.0064</v>
      </c>
      <c r="F2069" t="n">
        <v>0.0513</v>
      </c>
      <c r="G2069" t="n">
        <v>0.2271</v>
      </c>
      <c r="H2069" t="inlineStr">
        <is>
          <t>This repository contains backend software components implementing core algorithms. Complexity is O(N), and it includes comments explaining the implementation. Initial codebase commit was made. Code size is 1000 lines.</t>
        </is>
      </c>
      <c r="I2069" t="n">
        <v>0.0092</v>
      </c>
      <c r="J2069" t="n">
        <v>0.2632</v>
      </c>
      <c r="K2069" t="n">
        <v>0.3683</v>
      </c>
      <c r="L2069" t="inlineStr">
        <is>
          <t>This Java class implements a `PartialKeyGrouping` strategy for Apache Storm, which groups tuples based on partial keys. It uses Google Guava's List utility to manage lists and Apache Commons Lang's Utils for utility methods. The implementation focuses on distributing tuples across workers efficiently based on specified partial keys, ensuring that related data is processed together.</t>
        </is>
      </c>
      <c r="M2069" t="n">
        <v>0.0044</v>
      </c>
      <c r="N2069" t="n">
        <v>0.09229999999999999</v>
      </c>
      <c r="O2069" t="n">
        <v>0.1575</v>
      </c>
    </row>
    <row r="2070">
      <c r="A2070" t="inlineStr">
        <is>
          <t>storm</t>
        </is>
      </c>
      <c r="B2070" t="inlineStr">
        <is>
          <t>storm-client/test/jvm/org/apache/storm/grouping/partialKeyGrouping/BalancedTargetSelectorTest.java</t>
        </is>
      </c>
      <c r="C2070">
        <f>HYPERLINK("https://github.com/apache/storm/blob/master/storm-client/test/jvm/org/apache/storm/grouping/partialKeyGrouping/BalancedTargetSelectorTest.java")</f>
        <v/>
      </c>
      <c r="D2070" t="inlineStr">
        <is>
          <t>The provided code defines a `PartialKeyGrouping` class within the `org.apache.storm.grouping.partialKeyGrouping` package. This class appears to be part of a larger system designed to handle grouping of tuples based on partial keys in Storm, a distributed real-time computation system. The implementation uses Java's Stream API to process data efficiently, although the exact details of how it groups tuples remain</t>
        </is>
      </c>
      <c r="E2070" t="n">
        <v>0.0031</v>
      </c>
      <c r="F2070" t="n">
        <v>0.0556</v>
      </c>
      <c r="G2070" t="n">
        <v>0.1154</v>
      </c>
      <c r="H2070" t="inlineStr">
        <is>
          <t>This repository contains backend software components that implement core algorithms. Complexity is O(N), indicating linear time complexity. Comments describe the implementation details. Initial codebase commit was made. Code size is 1000 lines.</t>
        </is>
      </c>
      <c r="I2070" t="n">
        <v>0.0077</v>
      </c>
      <c r="J2070" t="n">
        <v>0.1951</v>
      </c>
      <c r="K2070" t="n">
        <v>0.1923</v>
      </c>
      <c r="L2070" t="inlineStr">
        <is>
          <t>The provided code implements a `PartialKeyGrouping` class within the Apache Storm framework, which is used to distribute tuples based on partial keys across multiple workers. It processes incoming tuples by splitting them into parts using a specified delimiter and then groups these parts according to their first part. The implementation includes methods for creating instances of `PartialKeyGrouping`, handling tuple processing, and managing groupings efficiently.</t>
        </is>
      </c>
      <c r="M2070" t="n">
        <v>0.0034</v>
      </c>
      <c r="N2070" t="n">
        <v>0.0556</v>
      </c>
      <c r="O2070" t="n">
        <v>0.1103</v>
      </c>
    </row>
    <row r="2071">
      <c r="A2071" t="inlineStr">
        <is>
          <t>storm</t>
        </is>
      </c>
      <c r="B2071" t="inlineStr">
        <is>
          <t>storm-client/test/jvm/org/apache/storm/executor/ExecutorTransferMultiThreadingTest.java</t>
        </is>
      </c>
      <c r="C2071">
        <f>HYPERLINK("https://github.com/apache/storm/blob/master/storm-client/test/jvm/org/apache/storm/executor/ExecutorTransferMultiThreadingTest.java")</f>
        <v/>
      </c>
      <c r="D2071" t="inlineStr">
        <is>
          <t>The code implements core algorithms using Java reflection and concurrent execution services. It includes methods for field manipulation and managing executor pools.</t>
        </is>
      </c>
      <c r="E2071" t="n">
        <v>0.0203</v>
      </c>
      <c r="F2071" t="n">
        <v>0.2</v>
      </c>
      <c r="G2071" t="n">
        <v>0.3358</v>
      </c>
      <c r="H2071" t="inlineStr">
        <is>
          <t>Manages executor services for Storm cluster operations. Complexity is O(N), handling multiple concurrent tasks efficiently.</t>
        </is>
      </c>
      <c r="I2071" t="n">
        <v>0</v>
      </c>
      <c r="J2071" t="n">
        <v>0</v>
      </c>
      <c r="K2071" t="n">
        <v>0</v>
      </c>
      <c r="L2071" t="inlineStr">
        <is>
          <t>The provided code defines a class `Executor` within the `org.apache.storm.executor` package. It appears to be part of a Storm framework implementation where it manages executor services for processing tasks. The class likely includes methods for initializing and managing these services based on configuration settings, possibly involving reflection to access field values and handling concurrent execution. The code complexity suggests that it involves some level of dynamic behavior and</t>
        </is>
      </c>
      <c r="M2071" t="n">
        <v>0.0027</v>
      </c>
      <c r="N2071" t="n">
        <v>0.0506</v>
      </c>
      <c r="O2071" t="n">
        <v>0.1071</v>
      </c>
    </row>
    <row r="2072">
      <c r="A2072" t="inlineStr">
        <is>
          <t>storm</t>
        </is>
      </c>
      <c r="B2072" t="inlineStr">
        <is>
          <t>storm-client/test/jvm/org/apache/storm/executor/SpoutExecutorTest.java</t>
        </is>
      </c>
      <c r="C2072">
        <f>HYPERLINK("https://github.com/apache/storm/blob/master/storm-client/test/jvm/org/apache/storm/executor/SpoutExecutorTest.java")</f>
        <v/>
      </c>
      <c r="D2072" t="inlineStr">
        <is>
          <t>The code implements core algorithms for managing worker state storage in Apache Storm, using the `IStateStorage` interface. It includes methods for persisting and retrieving worker states, which are essential for maintaining the health and performance of storm clusters.</t>
        </is>
      </c>
      <c r="E2072" t="n">
        <v>0.0114</v>
      </c>
      <c r="F2072" t="n">
        <v>0.1304</v>
      </c>
      <c r="G2072" t="n">
        <v>0.2869</v>
      </c>
      <c r="H2072" t="inlineStr">
        <is>
          <t>This repository contains backend software components that implement core algorithms.</t>
        </is>
      </c>
      <c r="I2072" t="n">
        <v>0.0278</v>
      </c>
      <c r="J2072" t="n">
        <v>0.4444</v>
      </c>
      <c r="K2072" t="n">
        <v>0.3849</v>
      </c>
      <c r="L2072" t="inlineStr">
        <is>
          <t>The code provides a framework for managing worker states in Storm, including handling spouts and bolts, using state storage mechanisms like Zookeeper. It includes basic functionalities such as initializing worker states, updating task assignments, and persisting state changes.</t>
        </is>
      </c>
      <c r="M2072" t="n">
        <v>0.0049</v>
      </c>
      <c r="N2072" t="n">
        <v>0.08699999999999999</v>
      </c>
      <c r="O2072" t="n">
        <v>0.09089999999999999</v>
      </c>
    </row>
    <row r="2073">
      <c r="A2073" t="inlineStr">
        <is>
          <t>storm</t>
        </is>
      </c>
      <c r="B2073" t="inlineStr">
        <is>
          <t>storm-client/test/jvm/org/apache/storm/executor/error/ReportErrorTest.java</t>
        </is>
      </c>
      <c r="C2073">
        <f>HYPERLINK("https://github.com/apache/storm/blob/master/storm-client/test/jvm/org/apache/storm/executor/error/ReportErrorTest.java")</f>
        <v/>
      </c>
      <c r="D2073" t="inlineStr">
        <is>
          <t>The provided code is part of the Storm framework, specifically within its executor error handling module. It includes a class that manages error counts using atomic longs and provides methods to increment these counters based on different types of errors encountered during execution. The code is licensed under the Apache License, Version 2.0.</t>
        </is>
      </c>
      <c r="E2073" t="n">
        <v>0.0035</v>
      </c>
      <c r="F2073" t="n">
        <v>0.0645</v>
      </c>
      <c r="G2073" t="n">
        <v>0.08</v>
      </c>
      <c r="H2073" t="inlineStr">
        <is>
          <t>This repository contains backend software components that implement core algorithms. It includes Java packages such as `org.apache.storm.executor.error` and `org.apache.storm.cluster`. The complexity of these implementations is O(N), indicating they scale linearly with input size. The README provides details about the project's licensing, structure, and initial commits.</t>
        </is>
      </c>
      <c r="I2073" t="n">
        <v>0.0058</v>
      </c>
      <c r="J2073" t="n">
        <v>0.1613</v>
      </c>
      <c r="K2073" t="n">
        <v>0.2137</v>
      </c>
      <c r="L2073" t="inlineStr">
        <is>
          <t>The code provides error handling mechanisms for Storm executors within a cluster environment. It uses atomic counters to track errors per task and maps these counts to specific tasks, allowing for efficient monitoring and management of executor failures.</t>
        </is>
      </c>
      <c r="M2073" t="n">
        <v>0.0049</v>
      </c>
      <c r="N2073" t="n">
        <v>0.0435</v>
      </c>
      <c r="O2073" t="n">
        <v>0.09089999999999999</v>
      </c>
    </row>
    <row r="2074">
      <c r="A2074" t="inlineStr">
        <is>
          <t>storm</t>
        </is>
      </c>
      <c r="B2074" t="inlineStr">
        <is>
          <t>storm-client/test/jvm/org/apache/storm/blobstore/ClientBlobStoreTest.java</t>
        </is>
      </c>
      <c r="C2074">
        <f>HYPERLINK("https://github.com/apache/storm/blob/master/storm-client/test/jvm/org/apache/storm/blobstore/ClientBlobStoreTest.java")</f>
        <v/>
      </c>
      <c r="D2074" t="inlineStr">
        <is>
          <t>The provided code is part of the Storm project's blob storage system, specifically within the `org.apache.storm.blobstore` package. It includes classes related to managing access control lists (ACLs) and handling authorization exceptions. The complexity of the implementation is O(N), indicating that it processes data linearly based on input size. The comments suggest that the code implements core algorithms necessary for managing blob storage</t>
        </is>
      </c>
      <c r="E2074" t="n">
        <v>0.0069</v>
      </c>
      <c r="F2074" t="n">
        <v>0.0533</v>
      </c>
      <c r="G2074" t="n">
        <v>0.2355</v>
      </c>
      <c r="H2074" t="inlineStr">
        <is>
          <t>Manages blob storage operations within Apache Storm. Complexity is O(N), handling multiple operations efficiently. Contains core algorithm implementations. Initial codebase commit.</t>
        </is>
      </c>
      <c r="I2074" t="n">
        <v>0.0091</v>
      </c>
      <c r="J2074" t="n">
        <v>0.0667</v>
      </c>
      <c r="K2074" t="n">
        <v>0.0538</v>
      </c>
      <c r="L2074" t="inlineStr">
        <is>
          <t>The provided code implements a BlobStore class that manages storage and retrieval of binary data objects within a Storm cluster. It includes methods for uploading blobs, downloading blobs, managing access controls, and handling authorization exceptions. The implementation uses Java's HashMap for storing blob metadata and iterates over these entries to perform various operations.</t>
        </is>
      </c>
      <c r="M2074" t="n">
        <v>0.0041</v>
      </c>
      <c r="N2074" t="n">
        <v>0.0645</v>
      </c>
      <c r="O2074" t="n">
        <v>0.12</v>
      </c>
    </row>
    <row r="2075">
      <c r="A2075" t="inlineStr">
        <is>
          <t>storm</t>
        </is>
      </c>
      <c r="B2075" t="inlineStr">
        <is>
          <t>storm-client/src/py/__init__.py</t>
        </is>
      </c>
      <c r="C2075">
        <f>HYPERLINK("https://github.com/apache/storm/blob/master/storm-client/src/py/__init__.py")</f>
        <v/>
      </c>
      <c r="D2075" t="inlineStr">
        <is>
          <t>The provided Python script is part of a larger repository containing backend software components. It includes comments indicating that it implements core algorithms and has a time complexity of O(N). The script does not contain any actual implementation details but serves as a README file describing its purpose and structure.</t>
        </is>
      </c>
      <c r="E2075" t="n">
        <v>0.0092</v>
      </c>
      <c r="F2075" t="n">
        <v>0.1356</v>
      </c>
      <c r="G2075" t="n">
        <v>0.3049</v>
      </c>
      <c r="H2075" t="inlineStr">
        <is>
          <t>Manages backend software components implementing core algorithms.</t>
        </is>
      </c>
      <c r="I2075" t="n">
        <v>0.0341</v>
      </c>
      <c r="J2075" t="n">
        <v>0.4</v>
      </c>
      <c r="K2075" t="n">
        <v>0.3235</v>
      </c>
      <c r="L2075" t="inlineStr">
        <is>
          <t>The provided Python script initializes a new codebase commit, implementing core algorithms without repeating existing comments. It focuses on maintaining clarity and efficiency, adhering to a complexity of O(N). The code size is 805 lines, reflecting its comprehensive implementation of essential functionalities within the backend software components.</t>
        </is>
      </c>
      <c r="M2075" t="n">
        <v>0.0051</v>
      </c>
      <c r="N2075" t="n">
        <v>0.1071</v>
      </c>
      <c r="O2075" t="n">
        <v>0.2101</v>
      </c>
    </row>
    <row r="2076">
      <c r="A2076" t="inlineStr">
        <is>
          <t>storm</t>
        </is>
      </c>
      <c r="B2076" t="inlineStr">
        <is>
          <t>storm-client/src/py/storm/constants.py</t>
        </is>
      </c>
      <c r="C2076">
        <f>HYPERLINK("https://github.com/apache/storm/blob/master/storm-client/src/py/storm/constants.py")</f>
        <v/>
      </c>
      <c r="D2076" t="inlineStr">
        <is>
          <t>The provided Python script is a Thrift-generated client library for interacting with a server using the Thrift protocol. It includes comments explaining its purpose, complexity, implementation details, and usage context. The script does not contain any executable logic but serves as a reference for developers working with Thrift-based services.</t>
        </is>
      </c>
      <c r="E2076" t="n">
        <v>0.0037</v>
      </c>
      <c r="F2076" t="n">
        <v>0.1017</v>
      </c>
      <c r="G2076" t="n">
        <v>0.124</v>
      </c>
      <c r="H2076" t="inlineStr">
        <is>
          <t>This repository contains backend software components implementing core algorithms.</t>
        </is>
      </c>
      <c r="I2076" t="n">
        <v>0.0316</v>
      </c>
      <c r="J2076" t="n">
        <v>0.4706</v>
      </c>
      <c r="K2076" t="n">
        <v>0.3897</v>
      </c>
      <c r="L2076" t="inlineStr">
        <is>
          <t>This Python script generates Thrift IDL files from existing C++ classes using the Thrift compiler. It includes comments explaining the process and provides context about the repository's focus on backend software components.</t>
        </is>
      </c>
      <c r="M2076" t="n">
        <v>0.0077</v>
      </c>
      <c r="N2076" t="n">
        <v>0.09760000000000001</v>
      </c>
      <c r="O2076" t="n">
        <v>0.1923</v>
      </c>
    </row>
    <row r="2077">
      <c r="A2077" t="inlineStr">
        <is>
          <t>storm</t>
        </is>
      </c>
      <c r="B2077" t="inlineStr">
        <is>
          <t>storm-client/src/py/storm/DistributedRPC.py</t>
        </is>
      </c>
      <c r="C2077">
        <f>HYPERLINK("https://github.com/apache/storm/blob/master/storm-client/src/py/storm/DistributedRPC.py")</f>
        <v/>
      </c>
      <c r="D2077" t="inlineStr">
        <is>
          <t>The provided Python script is a Thrift-generated client library for interacting with a server that implements core algorithms. It includes comments explaining its purpose, complexity, implementation details, and usage context. The code size is specified as 1000 lines.</t>
        </is>
      </c>
      <c r="E2077" t="n">
        <v>0.0114</v>
      </c>
      <c r="F2077" t="n">
        <v>0.1277</v>
      </c>
      <c r="G2077" t="n">
        <v>0.2323</v>
      </c>
      <c r="H2077" t="inlineStr">
        <is>
          <t>The repository contains backend software components implementing core algorithms.</t>
        </is>
      </c>
      <c r="I2077" t="n">
        <v>0.0285</v>
      </c>
      <c r="J2077" t="n">
        <v>0.3529</v>
      </c>
      <c r="K2077" t="n">
        <v>0.3155</v>
      </c>
      <c r="L2077" t="inlineStr">
        <is>
          <t>The Python script generates Thrift IDL files from existing C++ classes using the `thrift` compiler. It processes each class, extracts relevant methods, fields, and annotations, and writes them into separate `.thrift` files. The generated files can be used to define data structures and services in various programming languages that support Thrift.</t>
        </is>
      </c>
      <c r="M2077" t="n">
        <v>0.0036</v>
      </c>
      <c r="N2077" t="n">
        <v>0.0339</v>
      </c>
      <c r="O2077" t="n">
        <v>0.0813</v>
      </c>
    </row>
    <row r="2078">
      <c r="A2078" t="inlineStr">
        <is>
          <t>storm</t>
        </is>
      </c>
      <c r="B2078" t="inlineStr">
        <is>
          <t>storm-client/src/py/storm/Nimbus.py</t>
        </is>
      </c>
      <c r="C2078">
        <f>HYPERLINK("https://github.com/apache/storm/blob/master/storm-client/src/py/storm/Nimbus.py")</f>
        <v/>
      </c>
      <c r="D2078" t="inlineStr">
        <is>
          <t>The provided Python script is a Thrift-generated client library for interacting with a server that implements certain algorithms. It includes comments explaining its purpose, complexity, implementation details, and usage context. The script is part of a larger repository containing backend software components.</t>
        </is>
      </c>
      <c r="E2078" t="n">
        <v>0.0058</v>
      </c>
      <c r="F2078" t="n">
        <v>0.0784</v>
      </c>
      <c r="G2078" t="n">
        <v>0.1754</v>
      </c>
      <c r="H2078" t="inlineStr">
        <is>
          <t>This repository contains backend software components implementing core algorithms.</t>
        </is>
      </c>
      <c r="I2078" t="n">
        <v>0.0316</v>
      </c>
      <c r="J2078" t="n">
        <v>0.4706</v>
      </c>
      <c r="K2078" t="n">
        <v>0.3897</v>
      </c>
      <c r="L2078" t="inlineStr">
        <is>
          <t>The provided Python code is generated from a Thrift IDL file and implements basic Thrift message handling functionalities. It includes classes for defining messages and types used in Thrift communication, such as `TMessageType` which represents different types of Thrift messages like requests, responses, etc., and `TType` which defines various data types supported by Thrift. The code is part of a larger system</t>
        </is>
      </c>
      <c r="M2078" t="n">
        <v>0.0035</v>
      </c>
      <c r="N2078" t="n">
        <v>0.0857</v>
      </c>
      <c r="O2078" t="n">
        <v>0.1119</v>
      </c>
    </row>
    <row r="2079">
      <c r="A2079" t="inlineStr">
        <is>
          <t>storm</t>
        </is>
      </c>
      <c r="B2079" t="inlineStr">
        <is>
          <t>storm-client/src/py/storm/Supervisor.py</t>
        </is>
      </c>
      <c r="C2079">
        <f>HYPERLINK("https://github.com/apache/storm/blob/master/storm-client/src/py/storm/Supervisor.py")</f>
        <v/>
      </c>
      <c r="D2079" t="inlineStr">
        <is>
          <t>The provided Python script appears to be part of a Thrift-generated client library for interacting with a service. It includes comments explaining its purpose, complexity, implementation details, and usage context. The script does not contain any executable logic but rather serves as documentation for the generated client code.</t>
        </is>
      </c>
      <c r="E2079" t="n">
        <v>0.0038</v>
      </c>
      <c r="F2079" t="n">
        <v>0.1053</v>
      </c>
      <c r="G2079" t="n">
        <v>0.125</v>
      </c>
      <c r="H2079" t="inlineStr">
        <is>
          <t>The code implements a backend software component that contains core algorithms. It uses Python and includes comments explaining its implementation.</t>
        </is>
      </c>
      <c r="I2079" t="n">
        <v>0.0136</v>
      </c>
      <c r="J2079" t="n">
        <v>0.2143</v>
      </c>
      <c r="K2079" t="n">
        <v>0.2717</v>
      </c>
      <c r="L2079" t="inlineStr">
        <is>
          <t>This Python script generates Thrift IDL files from existing C++ classes using the Thrift compiler. It processes input C++ header files to extract class definitions and their attributes, then writes these details into corresponding Thrift IDL files. The generated IDL files can be used to define data structures that can be shared between different programming languages through Thrift's RPC framework.</t>
        </is>
      </c>
      <c r="M2079" t="n">
        <v>0.0036</v>
      </c>
      <c r="N2079" t="n">
        <v>0.058</v>
      </c>
      <c r="O2079" t="n">
        <v>0.1136</v>
      </c>
    </row>
    <row r="2080">
      <c r="A2080" t="inlineStr">
        <is>
          <t>storm</t>
        </is>
      </c>
      <c r="B2080" t="inlineStr">
        <is>
          <t>storm-client/src/py/storm/ttypes.py</t>
        </is>
      </c>
      <c r="C2080">
        <f>HYPERLINK("https://github.com/apache/storm/blob/master/storm-client/src/py/storm/ttypes.py")</f>
        <v/>
      </c>
      <c r="D2080" t="inlineStr">
        <is>
          <t>The provided Python script is a generated Thrift client library that interfaces with a server using the Thrift protocol. It includes comments explaining its purpose, complexity, implementation details, and usage context. The script is part of a larger project related to backend software components and has been modified from its original state.</t>
        </is>
      </c>
      <c r="E2080" t="n">
        <v>0.0042</v>
      </c>
      <c r="F2080" t="n">
        <v>0.0667</v>
      </c>
      <c r="G2080" t="n">
        <v>0.1613</v>
      </c>
      <c r="H2080" t="inlineStr">
        <is>
          <t>The code is a Python script that implements core algorithms for backend software components. It includes comments explaining its implementation and complexity analysis.</t>
        </is>
      </c>
      <c r="I2080" t="n">
        <v>0.0208</v>
      </c>
      <c r="J2080" t="n">
        <v>0.1935</v>
      </c>
      <c r="K2080" t="n">
        <v>0.3322</v>
      </c>
      <c r="L2080" t="inlineStr">
        <is>
          <t>This Python script generates Thrift IDL files from existing C++ codebases, using the Thrift compiler to define data structures and service interfaces. It processes multiple input directories containing C++ header files and output directories where the generated IDL files will be placed. The script handles various types of C++ classes and functions, converting them into corresponding Thrift definitions such as structs, enums, services, and</t>
        </is>
      </c>
      <c r="M2080" t="n">
        <v>0.0034</v>
      </c>
      <c r="N2080" t="n">
        <v>0.0833</v>
      </c>
      <c r="O2080" t="n">
        <v>0.1103</v>
      </c>
    </row>
    <row r="2081">
      <c r="A2081" t="inlineStr">
        <is>
          <t>storm</t>
        </is>
      </c>
      <c r="B2081" t="inlineStr">
        <is>
          <t>storm-client/src/py/storm/__init__.py</t>
        </is>
      </c>
      <c r="C2081">
        <f>HYPERLINK("https://github.com/apache/storm/blob/master/storm-client/src/py/storm/__init__.py")</f>
        <v/>
      </c>
      <c r="D2081" t="inlineStr">
        <is>
          <t>The provided Python script defines several classes and modules related to a backend system, including `Ttypes`, `Constants`, `Nimbus`, `DistributedRPC`, `DistributedRPCInvocations`, and `Supervisor`. These components appear to be part of a larger framework designed for handling distributed systems, possibly involving network communication and task management. The complexity of the implementation is O(N), indicating that it</t>
        </is>
      </c>
      <c r="E2081" t="n">
        <v>0.0034</v>
      </c>
      <c r="F2081" t="n">
        <v>0.0635</v>
      </c>
      <c r="G2081" t="n">
        <v>0.1587</v>
      </c>
      <c r="H2081" t="inlineStr">
        <is>
          <t>Manages backend software components.</t>
        </is>
      </c>
      <c r="I2081" t="n">
        <v>0.0296</v>
      </c>
      <c r="J2081" t="n">
        <v>0.1667</v>
      </c>
      <c r="K2081" t="n">
        <v>0.0658</v>
      </c>
      <c r="L2081" t="inlineStr">
        <is>
          <t>This Python script defines several modules that provide classes and constants for interacting with Apache Kafka's Nimbus service, including handling distributed RPC invocations and managing supervisor nodes. It includes types (`ttypes`), configuration constants (`constants`), and classes for connecting to and communicating with the Nimbus server through DistributedRPC and Supervisor interfaces.</t>
        </is>
      </c>
      <c r="M2081" t="n">
        <v>0.0044</v>
      </c>
      <c r="N2081" t="n">
        <v>0.1017</v>
      </c>
      <c r="O2081" t="n">
        <v>0.123</v>
      </c>
    </row>
    <row r="2082">
      <c r="A2082" t="inlineStr">
        <is>
          <t>storm</t>
        </is>
      </c>
      <c r="B2082" t="inlineStr">
        <is>
          <t>storm-client/src/py/storm/DistributedRPCInvocations.py</t>
        </is>
      </c>
      <c r="C2082">
        <f>HYPERLINK("https://github.com/apache/storm/blob/master/storm-client/src/py/storm/DistributedRPCInvocations.py")</f>
        <v/>
      </c>
      <c r="D2082" t="inlineStr">
        <is>
          <t>The provided Python script generates Thrift IDL files from existing C++ source code using the `thrift` compiler. It handles UTF-8 strings and outputs the generated IDL files in the specified directory structure. The complexity of the implementation is O(N), where N represents the number of input files processed.</t>
        </is>
      </c>
      <c r="E2082" t="n">
        <v>0.0038</v>
      </c>
      <c r="F2082" t="n">
        <v>0.0345</v>
      </c>
      <c r="G2082" t="n">
        <v>0.125</v>
      </c>
      <c r="H2082" t="inlineStr">
        <is>
          <t>The code implements core algorithms for backend software components.</t>
        </is>
      </c>
      <c r="I2082" t="n">
        <v>0.0561</v>
      </c>
      <c r="J2082" t="n">
        <v>0.2353</v>
      </c>
      <c r="K2082" t="n">
        <v>0.3155</v>
      </c>
      <c r="L2082" t="inlineStr">
        <is>
          <t>The Python script generates Thrift IDL files from existing C++ codebases, automating the process of converting complex data structures into a format suitable for interoperable communication between different systems using the Thrift framework.</t>
        </is>
      </c>
      <c r="M2082" t="n">
        <v>0</v>
      </c>
      <c r="N2082" t="n">
        <v>0</v>
      </c>
      <c r="O2082" t="n">
        <v>0.0476</v>
      </c>
    </row>
    <row r="2083">
      <c r="A2083" t="inlineStr">
        <is>
          <t>storm</t>
        </is>
      </c>
      <c r="B2083" t="inlineStr">
        <is>
          <t>storm-client/src/jvm/org/apache/storm/ISubmitterHook.java</t>
        </is>
      </c>
      <c r="C2083">
        <f>HYPERLINK("https://github.com/apache/storm/blob/master/storm-client/src/jvm/org/apache/storm/ISubmitterHook.java")</f>
        <v/>
      </c>
      <c r="D2083" t="inlineStr">
        <is>
          <t>The provided code defines an interface `IStormTopology` within the package `org.apache.storm`. This interface includes two methods: `getTopology()` which returns a `StormTopology`, and `getTopologyInfo()` which returns a `TopologyInfo`. These methods are part of a Storm topology management system, allowing developers to retrieve detailed information about the topology's structure and configuration.</t>
        </is>
      </c>
      <c r="E2083" t="n">
        <v>0.0045</v>
      </c>
      <c r="F2083" t="n">
        <v>0.0667</v>
      </c>
      <c r="G2083" t="n">
        <v>0.124</v>
      </c>
      <c r="H2083" t="inlineStr">
        <is>
          <t>Implements core algorithms for backend software components. Complexity is O(N).</t>
        </is>
      </c>
      <c r="I2083" t="n">
        <v>0.0251</v>
      </c>
      <c r="J2083" t="n">
        <v>0.2105</v>
      </c>
      <c r="K2083" t="n">
        <v>0.3117</v>
      </c>
      <c r="L2083" t="inlineStr">
        <is>
          <t>The code defines a `StormTopology` interface that represents a topology configuration for Apache Storm. It includes methods for setting up and managing storm topologies, such as creating and retrieving topology information. The interface is designed to be implemented by classes that provide concrete implementations for configuring and executing storm jobs.</t>
        </is>
      </c>
      <c r="M2083" t="n">
        <v>0.0037</v>
      </c>
      <c r="N2083" t="n">
        <v>0.06900000000000001</v>
      </c>
      <c r="O2083" t="n">
        <v>0.082</v>
      </c>
    </row>
    <row r="2084">
      <c r="A2084" t="inlineStr">
        <is>
          <t>storm</t>
        </is>
      </c>
      <c r="B2084" t="inlineStr">
        <is>
          <t>storm-client/src/jvm/org/apache/storm/StormSubmitter.java</t>
        </is>
      </c>
      <c r="C2084">
        <f>HYPERLINK("https://github.com/apache/storm/blob/master/storm-client/src/jvm/org/apache/storm/StormSubmitter.java")</f>
        <v/>
      </c>
      <c r="D2084" t="inlineStr">
        <is>
          <t>The provided code is part of a Storm project, which is a distributed real-time computation system designed for processing unbounded streams of data. It includes various classes and methods that implement core algorithms necessary for storm's operation, such as handling files, byte buffers, maps, lists, and regular expressions. The complexity of the implementation is O(N), indicating linear time complexity, where N represents the size of input</t>
        </is>
      </c>
      <c r="E2084" t="n">
        <v>0.0033</v>
      </c>
      <c r="F2084" t="n">
        <v>0.0779</v>
      </c>
      <c r="G2084" t="n">
        <v>0.1449</v>
      </c>
      <c r="H2084" t="inlineStr">
        <is>
          <t>This repository contains backend software components that implement core algorithms. Complexity is O(N), indicating linear time complexity. Comments describe the implementation of these algorithms. Initial codebase commit was made. Code size is 1000 lines.</t>
        </is>
      </c>
      <c r="I2084" t="n">
        <v>0.0072</v>
      </c>
      <c r="J2084" t="n">
        <v>0.186</v>
      </c>
      <c r="K2084" t="n">
        <v>0.1887</v>
      </c>
      <c r="L2084" t="inlineStr">
        <is>
          <t>The provided code implements a Java package `org.apache.storm` that includes classes for handling files, byte buffers, collections, maps, lists, and regular expressions. It appears to be part of a larger system designed to process data using Apache Storm, likely for real-time analytics or stream processing tasks. The code size is approximately 1000 lines, and it includes comments indicating implementation of core</t>
        </is>
      </c>
      <c r="M2084" t="n">
        <v>0.0039</v>
      </c>
      <c r="N2084" t="n">
        <v>0.0556</v>
      </c>
      <c r="O2084" t="n">
        <v>0.1504</v>
      </c>
    </row>
    <row r="2085">
      <c r="A2085" t="inlineStr">
        <is>
          <t>storm</t>
        </is>
      </c>
      <c r="B2085" t="inlineStr">
        <is>
          <t>storm-client/src/jvm/org/apache/storm/ILocalDRPC.java</t>
        </is>
      </c>
      <c r="C2085">
        <f>HYPERLINK("https://github.com/apache/storm/blob/master/storm-client/src/jvm/org/apache/storm/ILocalDRPC.java")</f>
        <v/>
      </c>
      <c r="D2085" t="inlineStr">
        <is>
          <t>The provided code is part of the Apache Storm project, which is an open-source distributed real-time computation system. It includes classes related to distributed RPC invocations and shutdown management. The `DistributedRPC` class defines methods for invoking remote procedures across different nodes in a cluster, while `Shutdownable` provides interfaces for managing component lifecycle events such as shutting down gracefully. The complexity of the implementation is O</t>
        </is>
      </c>
      <c r="E2085" t="n">
        <v>0.0028</v>
      </c>
      <c r="F2085" t="n">
        <v>0.0267</v>
      </c>
      <c r="G2085" t="n">
        <v>0.1095</v>
      </c>
      <c r="H2085" t="inlineStr">
        <is>
          <t>This repository contains backend software components that implement core algorithms.</t>
        </is>
      </c>
      <c r="I2085" t="n">
        <v>0.0278</v>
      </c>
      <c r="J2085" t="n">
        <v>0.4444</v>
      </c>
      <c r="K2085" t="n">
        <v>0.3849</v>
      </c>
      <c r="L2085" t="inlineStr">
        <is>
          <t>The provided code implements a distributed RPC framework within Apache Storm, allowing for remote procedure calls across different nodes in a cluster. It includes classes such as `Shutdownable` and `DistributedRPC`, which facilitate communication between tasks and supervisors, enabling complex data processing workflows. The code complexity is moderate, handling input/output operations efficiently while maintaining scalability through distributed architecture.</t>
        </is>
      </c>
      <c r="M2085" t="n">
        <v>0.0038</v>
      </c>
      <c r="N2085" t="n">
        <v>0.0606</v>
      </c>
      <c r="O2085" t="n">
        <v>0.0775</v>
      </c>
    </row>
    <row r="2086">
      <c r="A2086" t="inlineStr">
        <is>
          <t>storm</t>
        </is>
      </c>
      <c r="B2086" t="inlineStr">
        <is>
          <t>storm-client/src/jvm/org/apache/storm/Constants.java</t>
        </is>
      </c>
      <c r="C2086">
        <f>HYPERLINK("https://github.com/apache/storm/blob/master/storm-client/src/jvm/org/apache/storm/Constants.java")</f>
        <v/>
      </c>
      <c r="D2086" t="inlineStr">
        <is>
          <t>The `Constants` class within the `org.apache.storm` package defines constants used throughout the Storm framework. It includes a single constant:
- `COORDINATED_STREAM_ID`: A string representing the ID of a coordinated stream in Storm's topology management system. This constant is likely used internally by Storm for identifying streams that require coordination between bolts during execution.</t>
        </is>
      </c>
      <c r="E2086" t="n">
        <v>0.0035</v>
      </c>
      <c r="F2086" t="n">
        <v>0.0308</v>
      </c>
      <c r="G2086" t="n">
        <v>0.08</v>
      </c>
      <c r="H2086" t="inlineStr">
        <is>
          <t>The repository contains backend software components that implement core algorithms.</t>
        </is>
      </c>
      <c r="I2086" t="n">
        <v>0.0251</v>
      </c>
      <c r="J2086" t="n">
        <v>0.3333</v>
      </c>
      <c r="K2086" t="n">
        <v>0.3117</v>
      </c>
      <c r="L2086" t="inlineStr">
        <is>
          <t>The `Constants` class defines constants used throughout the Storm framework, including a stream ID for coordinated bolts.</t>
        </is>
      </c>
      <c r="M2086" t="n">
        <v>0</v>
      </c>
      <c r="N2086" t="n">
        <v>0</v>
      </c>
      <c r="O2086" t="n">
        <v>0.0562</v>
      </c>
    </row>
    <row r="2087">
      <c r="A2087" t="inlineStr">
        <is>
          <t>storm</t>
        </is>
      </c>
      <c r="B2087" t="inlineStr">
        <is>
          <t>storm-client/src/jvm/org/apache/storm/LogWriter.java</t>
        </is>
      </c>
      <c r="C2087">
        <f>HYPERLINK("https://github.com/apache/storm/blob/master/storm-client/src/jvm/org/apache/storm/LogWriter.java")</f>
        <v/>
      </c>
      <c r="D2087" t="inlineStr">
        <is>
          <t>The provided Java code defines a class `BackendSoftwareComponents` within the package `org.apache.storm`. It includes methods for reading from input streams using `BufferedReader`, which is useful for processing text data. The code uses SLF4J for logging purposes, although no actual log messages are generated. The complexity of the implementation is O(N), indicating that it processes each line of input once.</t>
        </is>
      </c>
      <c r="E2087" t="n">
        <v>0</v>
      </c>
      <c r="F2087" t="n">
        <v>0.0286</v>
      </c>
      <c r="G2087" t="n">
        <v>0.07630000000000001</v>
      </c>
      <c r="H2087" t="inlineStr">
        <is>
          <t>This repository contains backend software components that implement core algorithms.</t>
        </is>
      </c>
      <c r="I2087" t="n">
        <v>0.0278</v>
      </c>
      <c r="J2087" t="n">
        <v>0.4444</v>
      </c>
      <c r="K2087" t="n">
        <v>0.3849</v>
      </c>
      <c r="L2087" t="inlineStr">
        <is>
          <t>This Java class provides utility methods for reading from input streams using SLF4J logging for error handling. It includes a method `readLines` that reads lines from an InputStream and logs any exceptions encountered during the process.</t>
        </is>
      </c>
      <c r="M2087" t="n">
        <v>0.0061</v>
      </c>
      <c r="N2087" t="n">
        <v>0.09089999999999999</v>
      </c>
      <c r="O2087" t="n">
        <v>0.1389</v>
      </c>
    </row>
    <row r="2088">
      <c r="A2088" t="inlineStr">
        <is>
          <t>storm</t>
        </is>
      </c>
      <c r="B2088" t="inlineStr">
        <is>
          <t>storm-client/src/jvm/org/apache/storm/Config.java</t>
        </is>
      </c>
      <c r="C2088">
        <f>HYPERLINK("https://github.com/apache/storm/blob/master/storm-client/src/jvm/org/apache/storm/Config.java")</f>
        <v/>
      </c>
      <c r="D2088" t="inlineStr">
        <is>
          <t>The provided code is part of a Storm project, which is a distributed real-time computation system designed for processing large volumes of data streams. It includes various classes and methods that implement key functionalities such as serialization using Kryo, handling network connections, managing configurations, and executing tasks within a distributed environment. The complexity of the implementation is O(N), indicating it scales linearly with input size. The comments provide</t>
        </is>
      </c>
      <c r="E2088" t="n">
        <v>0.0027</v>
      </c>
      <c r="F2088" t="n">
        <v>0.0769</v>
      </c>
      <c r="G2088" t="n">
        <v>0.1071</v>
      </c>
      <c r="H2088" t="inlineStr">
        <is>
          <t>Manages backend software components and implements core algorithms. Complexity is O(N).</t>
        </is>
      </c>
      <c r="I2088" t="n">
        <v>0.0474</v>
      </c>
      <c r="J2088" t="n">
        <v>0.3</v>
      </c>
      <c r="K2088" t="n">
        <v>0.3803</v>
      </c>
      <c r="L2088" t="inlineStr">
        <is>
          <t>The provided Java code defines a package `org.apache.storm` that includes classes and interfaces related to Storm, a distributed real-time computation system. It utilizes Kryo serialization for efficient data transfer between nodes in the cluster. The code handles network communication exceptions and manages various configurations such as serializers and settings for storm topologies.</t>
        </is>
      </c>
      <c r="M2088" t="n">
        <v>0.0035</v>
      </c>
      <c r="N2088" t="n">
        <v>0.0317</v>
      </c>
      <c r="O2088" t="n">
        <v>0.0403</v>
      </c>
    </row>
    <row r="2089">
      <c r="A2089" t="inlineStr">
        <is>
          <t>storm</t>
        </is>
      </c>
      <c r="B2089" t="inlineStr">
        <is>
          <t>storm-client/src/jvm/org/apache/storm/ILocalCluster.java</t>
        </is>
      </c>
      <c r="C2089">
        <f>HYPERLINK("https://github.com/apache/storm/blob/master/storm-client/src/jvm/org/apache/storm/ILocalCluster.java")</f>
        <v/>
      </c>
      <c r="D2089" t="inlineStr">
        <is>
          <t>The provided code is part of the Apache Storm project, which is a distributed real-time computation system. It includes classes related to storm cluster management and authorization exceptions handling. The code is written in Java and uses the Apache Thrift framework for communication between different components of the Storm ecosystem. The complexity of the implementation is O(N), indicating that it scales linearly with input size. The comments provide details about</t>
        </is>
      </c>
      <c r="E2089" t="n">
        <v>0.0026</v>
      </c>
      <c r="F2089" t="n">
        <v>0.025</v>
      </c>
      <c r="G2089" t="n">
        <v>0.1056</v>
      </c>
      <c r="H2089" t="inlineStr">
        <is>
          <t>This repository contains backend software components implementing core algorithms. Complexity is O(N), indicating linear time complexity. Comments describe the implementation of these algorithms. Initial codebase commit was made. Code size is 1000 lines.</t>
        </is>
      </c>
      <c r="I2089" t="n">
        <v>0.0074</v>
      </c>
      <c r="J2089" t="n">
        <v>0.1905</v>
      </c>
      <c r="K2089" t="n">
        <v>0.1905</v>
      </c>
      <c r="L2089" t="inlineStr">
        <is>
          <t>This Java package `org.apache.storm` provides classes and interfaces for implementing Storm, a distributed real-time computation system. It includes components such as cluster state management (`IStormClusterState`) and authorization handling (`AuthorizationException`). The code complexity is moderate, with a size of approximately 1000 lines, and existing comments indicate that it implements core algorithms related to storm's operation.</t>
        </is>
      </c>
      <c r="M2089" t="n">
        <v>0.008500000000000001</v>
      </c>
      <c r="N2089" t="n">
        <v>0.09089999999999999</v>
      </c>
      <c r="O2089" t="n">
        <v>0.2505</v>
      </c>
    </row>
    <row r="2090">
      <c r="A2090" t="inlineStr">
        <is>
          <t>storm</t>
        </is>
      </c>
      <c r="B2090" t="inlineStr">
        <is>
          <t>storm-client/src/jvm/org/apache/storm/Thrift.java</t>
        </is>
      </c>
      <c r="C2090">
        <f>HYPERLINK("https://github.com/apache/storm/blob/master/storm-client/src/jvm/org/apache/storm/Thrift.java")</f>
        <v/>
      </c>
      <c r="D2090" t="inlineStr">
        <is>
          <t>The provided code is part of the Apache Storm project, which is a distributed real-time computation system designed for processing large volumes of data streams. It includes classes and methods that implement core algorithms necessary for storm's operation, such as serialization, reflection, and handling byte buffers. The complexity of the implementation is O(N), indicating linear time operations based on input size N. The comments within the code describe its</t>
        </is>
      </c>
      <c r="E2090" t="n">
        <v>0.0031</v>
      </c>
      <c r="F2090" t="n">
        <v>0.075</v>
      </c>
      <c r="G2090" t="n">
        <v>0.1418</v>
      </c>
      <c r="H2090" t="inlineStr">
        <is>
          <t>The code implements core algorithms for backend software components. It includes classes such as `Serializable`, `Constructor`, `ByteBuffer`, `ArrayList`, `HashMap`, and `List`. The complexity is O(N), indicating that it scales linearly with input size.</t>
        </is>
      </c>
      <c r="I2090" t="n">
        <v>0.0142</v>
      </c>
      <c r="J2090" t="n">
        <v>0.1429</v>
      </c>
      <c r="K2090" t="n">
        <v>0.3006</v>
      </c>
      <c r="L2090" t="inlineStr">
        <is>
          <t>The provided Java code defines a package `org.apache.storm` that includes classes related to Storm, a distributed real-time computation system. It primarily handles serialization, reflection, byte buffer manipulation, list management, and hash map creation. The code size is 1000 lines, and existing comments indicate implementation of core algorithms. The primary function appears to be supporting data processing tasks within the Storm framework</t>
        </is>
      </c>
      <c r="M2090" t="n">
        <v>0.0036</v>
      </c>
      <c r="N2090" t="n">
        <v>0.0833</v>
      </c>
      <c r="O2090" t="n">
        <v>0.1504</v>
      </c>
    </row>
    <row r="2091">
      <c r="A2091" t="inlineStr">
        <is>
          <t>storm</t>
        </is>
      </c>
      <c r="B2091" t="inlineStr">
        <is>
          <t>storm-client/src/jvm/org/apache/storm/ICredentialsListener.java</t>
        </is>
      </c>
      <c r="C2091">
        <f>HYPERLINK("https://github.com/apache/storm/blob/master/storm-client/src/jvm/org/apache/storm/ICredentialsListener.java")</f>
        <v/>
      </c>
      <c r="D2091" t="inlineStr">
        <is>
          <t>The `ICredentialsListener` interface allows bolts and spouts to receive notifications about changes in the topology's credentials. This enables them to dynamically adjust their behavior based on updated authentication details.</t>
        </is>
      </c>
      <c r="E2091" t="n">
        <v>0.0077</v>
      </c>
      <c r="F2091" t="n">
        <v>0.0526</v>
      </c>
      <c r="G2091" t="n">
        <v>0.099</v>
      </c>
      <c r="H2091" t="inlineStr">
        <is>
          <t>This repository contains backend software components that implement core algorithms. Complexity is O(N), indicating linear time complexity. Comments describe the implementation details, while commits track the initial creation of the codebase. The total size of the codebase is 1000 lines.</t>
        </is>
      </c>
      <c r="I2091" t="n">
        <v>0.0061</v>
      </c>
      <c r="J2091" t="n">
        <v>0.1633</v>
      </c>
      <c r="K2091" t="n">
        <v>0.1786</v>
      </c>
      <c r="L2091" t="inlineStr">
        <is>
          <t>The `ICredentialsListener` interface allows bolts and spouts to receive notifications about changes in the topology's credentials, enabling them to update their authentication settings accordingly.</t>
        </is>
      </c>
      <c r="M2091" t="n">
        <v>0.007900000000000001</v>
      </c>
      <c r="N2091" t="n">
        <v>0.0606</v>
      </c>
      <c r="O2091" t="n">
        <v>0.0521</v>
      </c>
    </row>
    <row r="2092">
      <c r="A2092" t="inlineStr">
        <is>
          <t>storm</t>
        </is>
      </c>
      <c r="B2092" t="inlineStr">
        <is>
          <t>storm-client/src/jvm/org/apache/storm/StormTimer.java</t>
        </is>
      </c>
      <c r="C2092">
        <f>HYPERLINK("https://github.com/apache/storm/blob/master/storm-client/src/jvm/org/apache/storm/StormTimer.java")</f>
        <v/>
      </c>
      <c r="D2092" t="inlineStr">
        <is>
          <t>The provided Java code defines a class `PriorityBlockingQueue` that implements a priority queue using a blocking queue data structure. It includes methods for adding elements, removing elements based on their priority, and retrieving the highest-priority element without blocking if no elements are available. The implementation uses a comparator to determine the order of elements based on their priorities. This class is part of the Apache Storm project and is</t>
        </is>
      </c>
      <c r="E2092" t="n">
        <v>0.0035</v>
      </c>
      <c r="F2092" t="n">
        <v>0.0513</v>
      </c>
      <c r="G2092" t="n">
        <v>0.1418</v>
      </c>
      <c r="H2092" t="inlineStr">
        <is>
          <t>This repository contains backend software components that implement core algorithms using Java NIO channels, priority queues, and concurrent data structures.</t>
        </is>
      </c>
      <c r="I2092" t="n">
        <v>0.0136</v>
      </c>
      <c r="J2092" t="n">
        <v>0.3571</v>
      </c>
      <c r="K2092" t="n">
        <v>0.4635</v>
      </c>
      <c r="L2092" t="inlineStr">
        <is>
          <t>The provided Java code defines a class `PriorityBlockingQueue` that implements a priority queue using a blocking queue internally. It includes methods for adding elements with priorities, removing elements based on their priority, and retrieving the highest-priority element without blocking. The implementation uses a comparator to determine the order of elements within the queue.</t>
        </is>
      </c>
      <c r="M2092" t="n">
        <v>0.0041</v>
      </c>
      <c r="N2092" t="n">
        <v>0.0645</v>
      </c>
      <c r="O2092" t="n">
        <v>0.12</v>
      </c>
    </row>
    <row r="2093">
      <c r="A2093" t="inlineStr">
        <is>
          <t>storm</t>
        </is>
      </c>
      <c r="B2093" t="inlineStr">
        <is>
          <t>storm-client/src/jvm/org/apache/storm/transactional/TransactionAttempt.java</t>
        </is>
      </c>
      <c r="C2093">
        <f>HYPERLINK("https://github.com/apache/storm/blob/master/storm-client/src/jvm/org/apache/storm/transactional/TransactionAttempt.java")</f>
        <v/>
      </c>
      <c r="D2093" t="inlineStr">
        <is>
          <t>The `TransactionAttempt` class is deprecated and serves as placeholder code that was previously used for transaction management in Storm. It uses `BigInteger` for handling large numbers and is intended to be part of a larger system designed for managing transactions. However, due to its deprecation status, it has been removed from the current version of the codebase.</t>
        </is>
      </c>
      <c r="E2093" t="n">
        <v>0.0032</v>
      </c>
      <c r="F2093" t="n">
        <v>0.0308</v>
      </c>
      <c r="G2093" t="n">
        <v>0.0775</v>
      </c>
      <c r="H2093" t="inlineStr">
        <is>
          <t>The code implements core algorithms and is marked as deprecated due to its retention for backward compatibility.</t>
        </is>
      </c>
      <c r="I2093" t="n">
        <v>0.0269</v>
      </c>
      <c r="J2093" t="n">
        <v>0.24</v>
      </c>
      <c r="K2093" t="n">
        <v>0.2871</v>
      </c>
      <c r="L2093" t="inlineStr">
        <is>
          <t>This class is deprecated and serves as placeholder code that was intended to be used for transaction attempts within Storm's transactional framework. However, due to its deprecation status, it has been removed from the current implementation.</t>
        </is>
      </c>
      <c r="M2093" t="n">
        <v>0.0061</v>
      </c>
      <c r="N2093" t="n">
        <v>0.08890000000000001</v>
      </c>
      <c r="O2093" t="n">
        <v>0.1389</v>
      </c>
    </row>
    <row r="2094">
      <c r="A2094" t="inlineStr">
        <is>
          <t>storm</t>
        </is>
      </c>
      <c r="B2094" t="inlineStr">
        <is>
          <t>storm-client/src/jvm/org/apache/storm/pacemaker/PacemakerClientPool.java</t>
        </is>
      </c>
      <c r="C2094">
        <f>HYPERLINK("https://github.com/apache/storm/blob/master/storm-client/src/jvm/org/apache/storm/pacemaker/PacemakerClientPool.java")</f>
        <v/>
      </c>
      <c r="D2094" t="inlineStr">
        <is>
          <t>The provided code defines a class `Pacemaker` within the `org.apache.storm.pacemaker` package. It appears to be part of a larger system designed for managing cluster operations, possibly related to Apache Storm. The class uses concurrent data structures like `ConcurrentHashMap` and `ArrayList`, which suggests it handles high concurrency scenarios. The implementation includes methods that manage various aspects of the pac</t>
        </is>
      </c>
      <c r="E2094" t="n">
        <v>0.0031</v>
      </c>
      <c r="F2094" t="n">
        <v>0.029</v>
      </c>
      <c r="G2094" t="n">
        <v>0.1154</v>
      </c>
      <c r="H2094" t="inlineStr">
        <is>
          <t>This repository contains backend software components implementing core algorithms. Complexity is O(N). Comments describe the implementation of these algorithms. Initial codebase commit was made. Code size is 1000 lines.</t>
        </is>
      </c>
      <c r="I2094" t="n">
        <v>0.008500000000000001</v>
      </c>
      <c r="J2094" t="n">
        <v>0.2105</v>
      </c>
      <c r="K2094" t="n">
        <v>0.198</v>
      </c>
      <c r="L2094" t="inlineStr">
        <is>
          <t>The provided code implements a Pacemaker component within Apache Storm, which manages cluster-wide resource allocation and failure detection. It uses a ConcurrentHashMap to store node states and provides methods to update these states based on heartbeat messages from nodes. The class also includes methods to retrieve the current state of all nodes and handle failures by identifying and notifying relevant services.</t>
        </is>
      </c>
      <c r="M2094" t="n">
        <v>0.0036</v>
      </c>
      <c r="N2094" t="n">
        <v>0.0571</v>
      </c>
      <c r="O2094" t="n">
        <v>0.1128</v>
      </c>
    </row>
    <row r="2095">
      <c r="A2095" t="inlineStr">
        <is>
          <t>storm</t>
        </is>
      </c>
      <c r="B2095" t="inlineStr">
        <is>
          <t>storm-client/src/jvm/org/apache/storm/pacemaker/PacemakerClient.java</t>
        </is>
      </c>
      <c r="C2095">
        <f>HYPERLINK("https://github.com/apache/storm/blob/master/storm-client/src/jvm/org/apache/storm/pacemaker/PacemakerClient.java")</f>
        <v/>
      </c>
      <c r="D2095" t="inlineStr">
        <is>
          <t>The code implements a Pacemaker system that manages cluster resources using Java. It uses a LinkedBlockingQueue to handle resource allocation requests and a Timer to periodically check and update resource states. The implementation includes methods for adding new nodes, removing nodes, and updating node statuses. Complexity is O(N), where N represents the number of nodes being managed.</t>
        </is>
      </c>
      <c r="E2095" t="n">
        <v>0.0038</v>
      </c>
      <c r="F2095" t="n">
        <v>0.0606</v>
      </c>
      <c r="G2095" t="n">
        <v>0.1163</v>
      </c>
      <c r="H2095" t="inlineStr">
        <is>
          <t>This repository contains backend software components that implement core algorithms.</t>
        </is>
      </c>
      <c r="I2095" t="n">
        <v>0.0278</v>
      </c>
      <c r="J2095" t="n">
        <v>0.4444</v>
      </c>
      <c r="K2095" t="n">
        <v>0.3849</v>
      </c>
      <c r="L2095" t="inlineStr">
        <is>
          <t>The code implements a Pacemaker component that manages cluster membership and resource allocation using Zookeeper as the coordination service. It includes a timer task to periodically check node status and update the cluster configuration accordingly. The implementation uses a LinkedBlockingQueue to manage tasks and handles network connections through InetSocketAddress objects.</t>
        </is>
      </c>
      <c r="M2095" t="n">
        <v>0.0044</v>
      </c>
      <c r="N2095" t="n">
        <v>0.06900000000000001</v>
      </c>
      <c r="O2095" t="n">
        <v>0.123</v>
      </c>
    </row>
    <row r="2096">
      <c r="A2096" t="inlineStr">
        <is>
          <t>storm</t>
        </is>
      </c>
      <c r="B2096" t="inlineStr">
        <is>
          <t>storm-client/src/jvm/org/apache/storm/pacemaker/PacemakerConnectionException.java</t>
        </is>
      </c>
      <c r="C2096">
        <f>HYPERLINK("https://github.com/apache/storm/blob/master/storm-client/src/jvm/org/apache/storm/pacemaker/PacemakerConnectionException.java")</f>
        <v/>
      </c>
      <c r="D2096" t="inlineStr">
        <is>
          <t>The `PacemakerConnectionException` class is a custom exception used within the Apache Storm pacemaker component. It extends the standard Java `Exception` class and provides a constructor that takes a string message as input, allowing it to be thrown when there is an error establishing or maintaining a connection with a Pacemaker cluster. This exception helps in handling errors related to communication issues between the storm nodes and the</t>
        </is>
      </c>
      <c r="E2096" t="n">
        <v>0.0032</v>
      </c>
      <c r="F2096" t="n">
        <v>0.0533</v>
      </c>
      <c r="G2096" t="n">
        <v>0.1079</v>
      </c>
      <c r="H2096" t="inlineStr">
        <is>
          <t>PacemakerConnectionException is a custom exception class used to handle connection-related errors in the Apache Storm pacemaker component. It provides a constructor that takes a string error message as input and passes it to the superclass constructor. This allows for easy handling of exceptions related to network connectivity issues within the pacemaker system.</t>
        </is>
      </c>
      <c r="I2096" t="n">
        <v>0.0042</v>
      </c>
      <c r="J2096" t="n">
        <v>0.0328</v>
      </c>
      <c r="K2096" t="n">
        <v>0.121</v>
      </c>
      <c r="L2096" t="inlineStr">
        <is>
          <t>This Java exception class, `PacemakerConnectionException`, is designed to handle connection-related errors that occur within the `org.apache.storm.pacemaker` package. It extends the standard `java.lang.Exception` class and provides a constructor that accepts a string parameter (`err`) to initialize the exception message. This allows developers to specify detailed error messages when throwing instances of this exception during pacemaker operations</t>
        </is>
      </c>
      <c r="M2096" t="n">
        <v>0.004</v>
      </c>
      <c r="N2096" t="n">
        <v>0.058</v>
      </c>
      <c r="O2096" t="n">
        <v>0.07870000000000001</v>
      </c>
    </row>
    <row r="2097">
      <c r="A2097" t="inlineStr">
        <is>
          <t>storm</t>
        </is>
      </c>
      <c r="B2097" t="inlineStr">
        <is>
          <t>storm-client/src/jvm/org/apache/storm/pacemaker/PacemakerClientHandler.java</t>
        </is>
      </c>
      <c r="C2097">
        <f>HYPERLINK("https://github.com/apache/storm/blob/master/storm-client/src/jvm/org/apache/storm/pacemaker/PacemakerClientHandler.java")</f>
        <v/>
      </c>
      <c r="D2097" t="inlineStr">
        <is>
          <t>The code implements core algorithms for a system called Pacemaker, which manages cluster resources in Apache Storm. It handles heartbeat messages and control messages over Netty channels, ensuring that nodes in the cluster communicate effectively. The implementation has a time complexity of O(N), where N represents the number of elements involved in processing.</t>
        </is>
      </c>
      <c r="E2097" t="n">
        <v>0.0081</v>
      </c>
      <c r="F2097" t="n">
        <v>0.0968</v>
      </c>
      <c r="G2097" t="n">
        <v>0.2044</v>
      </c>
      <c r="H2097" t="inlineStr">
        <is>
          <t>The code implements core algorithms for backend software components, handling network connections and message processing using Netty libraries. Complexity is O(N), indicating linear time complexity based on input size.</t>
        </is>
      </c>
      <c r="I2097" t="n">
        <v>0.0163</v>
      </c>
      <c r="J2097" t="n">
        <v>0.1579</v>
      </c>
      <c r="K2097" t="n">
        <v>0.3683</v>
      </c>
      <c r="L2097" t="inlineStr">
        <is>
          <t>The provided code implements a pacemaker system within Apache Storm, which manages node health checks and ensures cluster stability through heartbeat messages and network communication. It includes error handling for connection exceptions and uses Netty for message transmission. The code complexity is O(N), indicating potential performance optimizations could be made based on input size.</t>
        </is>
      </c>
      <c r="M2097" t="n">
        <v>0.004</v>
      </c>
      <c r="N2097" t="n">
        <v>0.0635</v>
      </c>
      <c r="O2097" t="n">
        <v>0.119</v>
      </c>
    </row>
    <row r="2098">
      <c r="A2098" t="inlineStr">
        <is>
          <t>storm</t>
        </is>
      </c>
      <c r="B2098" t="inlineStr">
        <is>
          <t>storm-client/src/jvm/org/apache/storm/pacemaker/codec/ThriftNettyClientCodec.java</t>
        </is>
      </c>
      <c r="C2098">
        <f>HYPERLINK("https://github.com/apache/storm/blob/master/storm-client/src/jvm/org/apache/storm/pacemaker/codec/ThriftNettyClientCodec.java")</f>
        <v/>
      </c>
      <c r="D2098" t="inlineStr">
        <is>
          <t>The provided code defines a package `org.apache.storm.pacemaker.codec` that includes classes related to message encoding and decoding using SASL (Simple Authentication and Security Layer). It specifically implements Kerberos-based authentication for network communication within Storm, which is used for managing cluster state and ensuring secure data transmission between nodes. The code uses Netty libraries for handling socket connections and SASL clients.</t>
        </is>
      </c>
      <c r="E2098" t="n">
        <v>0.0037</v>
      </c>
      <c r="F2098" t="n">
        <v>0.0556</v>
      </c>
      <c r="G2098" t="n">
        <v>0.1145</v>
      </c>
      <c r="H2098" t="inlineStr">
        <is>
          <t>The repository contains backend software components that implement core algorithms.</t>
        </is>
      </c>
      <c r="I2098" t="n">
        <v>0.0251</v>
      </c>
      <c r="J2098" t="n">
        <v>0.3333</v>
      </c>
      <c r="K2098" t="n">
        <v>0.3117</v>
      </c>
      <c r="L2098" t="inlineStr">
        <is>
          <t>The provided code implements a Kerberos SASL client handler for Storm messaging using Netty, which handles secure communication between nodes in a distributed system. It processes incoming messages securely and manages authentication through Kerberos mechanisms.</t>
        </is>
      </c>
      <c r="M2098" t="n">
        <v>0.0063</v>
      </c>
      <c r="N2098" t="n">
        <v>0.093</v>
      </c>
      <c r="O2098" t="n">
        <v>0.1402</v>
      </c>
    </row>
    <row r="2099">
      <c r="A2099" t="inlineStr">
        <is>
          <t>storm</t>
        </is>
      </c>
      <c r="B2099" t="inlineStr">
        <is>
          <t>storm-client/src/jvm/org/apache/storm/pacemaker/codec/ThriftDecoder.java</t>
        </is>
      </c>
      <c r="C2099">
        <f>HYPERLINK("https://github.com/apache/storm/blob/master/storm-client/src/jvm/org/apache/storm/pacemaker/codec/ThriftDecoder.java")</f>
        <v/>
      </c>
      <c r="D2099" t="inlineStr">
        <is>
          <t>The provided code defines a package `org.apache.storm.pacemaker.codec` that includes classes related to encoding and decoding heartbeat messages used in Storm's pacemaker system. It handles serialization and deserialization of HBMessages, which are essential for communication between nodes in a Storm cluster during heartbeats. The complexity of the implementation is O(N), where N represents the size of the data being processed.</t>
        </is>
      </c>
      <c r="E2099" t="n">
        <v>0.0031</v>
      </c>
      <c r="F2099" t="n">
        <v>0.0274</v>
      </c>
      <c r="G2099" t="n">
        <v>0.1145</v>
      </c>
      <c r="H2099" t="inlineStr">
        <is>
          <t>The code implements core algorithms for backend software components. It uses Java and includes classes such as HBMessage and HBServerMessageType from the Apache Storm library. Complexity is O(N), indicating linear time complexity, and it has been committed initially. The code size is 1000 lines.</t>
        </is>
      </c>
      <c r="I2099" t="n">
        <v>0.0105</v>
      </c>
      <c r="J2099" t="n">
        <v>0.1132</v>
      </c>
      <c r="K2099" t="n">
        <v>0.3207</v>
      </c>
      <c r="L2099" t="inlineStr">
        <is>
          <t>The provided Java code defines a package `org.apache.storm.pacemaker.codec` that includes classes for encoding and decoding heartbeat messages used in Storm's pacemaker component. It handles serialization and deserialization of HBMessages using Protocol Buffers, which allows efficient communication between different parts of the system. The code complexity is O(N), where N is the size of the data being processed, and it implements</t>
        </is>
      </c>
      <c r="M2099" t="n">
        <v>0.0036</v>
      </c>
      <c r="N2099" t="n">
        <v>0.027</v>
      </c>
      <c r="O2099" t="n">
        <v>0.1136</v>
      </c>
    </row>
    <row r="2100">
      <c r="A2100" t="inlineStr">
        <is>
          <t>storm</t>
        </is>
      </c>
      <c r="B2100" t="inlineStr">
        <is>
          <t>storm-client/src/jvm/org/apache/storm/pacemaker/codec/ThriftEncoder.java</t>
        </is>
      </c>
      <c r="C2100">
        <f>HYPERLINK("https://github.com/apache/storm/blob/master/storm-client/src/jvm/org/apache/storm/pacemaker/codec/ThriftEncoder.java")</f>
        <v/>
      </c>
      <c r="D2100" t="inlineStr">
        <is>
          <t>The provided code defines a package `org.apache.storm.pacemaker.codec` containing classes related to encoding and decoding heartbeat messages (`HBMessage`) used in Storm's pacemaker system. It includes methods for handling different types of heartbeat data (`HBMessageData`) and server message types (`HBServerMessageType`). The complexity of the implementation is O(N), indicating that it processes data linearly based on its</t>
        </is>
      </c>
      <c r="E2100" t="n">
        <v>0.0034</v>
      </c>
      <c r="F2100" t="n">
        <v>0.0294</v>
      </c>
      <c r="G2100" t="n">
        <v>0.119</v>
      </c>
      <c r="H2100" t="inlineStr">
        <is>
          <t>Implements core algorithms for backend software components.</t>
        </is>
      </c>
      <c r="I2100" t="n">
        <v>0.0341</v>
      </c>
      <c r="J2100" t="n">
        <v>0.2667</v>
      </c>
      <c r="K2100" t="n">
        <v>0.3235</v>
      </c>
      <c r="L2100" t="inlineStr">
        <is>
          <t>The code implements a codec for handling heartbeat messages between Storm servers using Protocol Buffers. It processes HBMessages containing data such as server IDs and heartbeats, converting them into and from their serialized form. The implementation includes methods for encoding HBMessage objects into byte arrays and decoding these arrays back into HBMessage instances.</t>
        </is>
      </c>
      <c r="M2100" t="n">
        <v>0.0041</v>
      </c>
      <c r="N2100" t="n">
        <v>0.06560000000000001</v>
      </c>
      <c r="O2100" t="n">
        <v>0.12</v>
      </c>
    </row>
    <row r="2101">
      <c r="A2101" t="inlineStr">
        <is>
          <t>storm</t>
        </is>
      </c>
      <c r="B2101" t="inlineStr">
        <is>
          <t>storm-client/src/jvm/org/apache/storm/lambda/LambdaSpout.java</t>
        </is>
      </c>
      <c r="C2101">
        <f>HYPERLINK("https://github.com/apache/storm/blob/master/storm-client/src/jvm/org/apache/storm/lambda/LambdaSpout.java")</f>
        <v/>
      </c>
      <c r="D2101" t="inlineStr">
        <is>
          <t>The provided code is part of a Storm Lambda project, which appears to be a library for processing data streams using Apache Storm. It includes classes such as `Spout`, `TopologyContext`, and `OutputFieldsDeclarer`. The code is licensed under the Apache License, Version 2.0. The complexity of the implementation is O(N), indicating that it processes input data linearly. There</t>
        </is>
      </c>
      <c r="E2101" t="n">
        <v>0.0032</v>
      </c>
      <c r="F2101" t="n">
        <v>0.0299</v>
      </c>
      <c r="G2101" t="n">
        <v>0.1163</v>
      </c>
      <c r="H2101" t="inlineStr">
        <is>
          <t>The provided code implements core algorithms for a backend software component, using Java and Storm framework. It includes package declarations, imports, and class definitions related to spouts, topology context, output fields declarers, etc., but lacks actual implementation details due to its brevity. Complexity is rated as O(N), indicating it scales linearly with input size. Comments describe the purpose and licensing of the code</t>
        </is>
      </c>
      <c r="I2101" t="n">
        <v>0.0073</v>
      </c>
      <c r="J2101" t="n">
        <v>0.0833</v>
      </c>
      <c r="K2101" t="n">
        <v>0.2756</v>
      </c>
      <c r="L2101" t="inlineStr">
        <is>
          <t>This Java class implements a Lambda Spout, which is a component used in Apache Storm for emitting tuples into a topology. It initializes state from configuration parameters, declares output fields, and processes incoming data to emit new tuples based on lambda expressions defined during runtime. The spout uses `SpoutOutputCollector` to send emitted tuples to downstream bolts.</t>
        </is>
      </c>
      <c r="M2101" t="n">
        <v>0.0043</v>
      </c>
      <c r="N2101" t="n">
        <v>0.09379999999999999</v>
      </c>
      <c r="O2101" t="n">
        <v>0.1563</v>
      </c>
    </row>
    <row r="2102">
      <c r="A2102" t="inlineStr">
        <is>
          <t>storm</t>
        </is>
      </c>
      <c r="B2102" t="inlineStr">
        <is>
          <t>storm-client/src/jvm/org/apache/storm/lambda/SerializableCallable.java</t>
        </is>
      </c>
      <c r="C2102">
        <f>HYPERLINK("https://github.com/apache/storm/blob/master/storm-client/src/jvm/org/apache/storm/lambda/SerializableCallable.java")</f>
        <v/>
      </c>
      <c r="D2102" t="inlineStr">
        <is>
          <t>The `SerializableCallable` interface in the `org.apache.storm.lambda` package defines a contract for callable objects that can be serialized, allowing them to be used across different JVMs. It extends both `Callable&lt;R&gt;` and `Serializable`, ensuring that any object implementing it can be executed as a task and its result can be serialized for transmission or storage. This interface is crucial for scenarios where tasks need</t>
        </is>
      </c>
      <c r="E2102" t="n">
        <v>0.0035</v>
      </c>
      <c r="F2102" t="n">
        <v>0.0541</v>
      </c>
      <c r="G2102" t="n">
        <v>0.1493</v>
      </c>
      <c r="H2102" t="inlineStr">
        <is>
          <t>Provides an interface for serializable callable functions that can be used as part of Storm's lambda framework.</t>
        </is>
      </c>
      <c r="I2102" t="n">
        <v>0</v>
      </c>
      <c r="J2102" t="n">
        <v>0.0769</v>
      </c>
      <c r="K2102" t="n">
        <v>0.0562</v>
      </c>
      <c r="L2102" t="inlineStr">
        <is>
          <t>The `SerializableCallable` interface in the Apache Storm Lambda package defines a contract for callable objects that can be serialized and executed within a Storm topology. It extends both `Callable` and `Serializable`, allowing these functions to be used as tasks in a distributed computing framework while ensuring they can be stored and transmitted across different nodes.</t>
        </is>
      </c>
      <c r="M2102" t="n">
        <v>0.0033</v>
      </c>
      <c r="N2102" t="n">
        <v>0.0635</v>
      </c>
      <c r="O2102" t="n">
        <v>0.07870000000000001</v>
      </c>
    </row>
    <row r="2103">
      <c r="A2103" t="inlineStr">
        <is>
          <t>storm</t>
        </is>
      </c>
      <c r="B2103" t="inlineStr">
        <is>
          <t>storm-client/src/jvm/org/apache/storm/lambda/LambdaConsumerBolt.java</t>
        </is>
      </c>
      <c r="C2103">
        <f>HYPERLINK("https://github.com/apache/storm/blob/master/storm-client/src/jvm/org/apache/storm/lambda/LambdaConsumerBolt.java")</f>
        <v/>
      </c>
      <c r="D2103" t="inlineStr">
        <is>
          <t>The provided code defines a basic Bolt class named `LambdaBolt` within the package `org.apache.storm.lambda`. This Bolt processes tuples from input streams and outputs them unchanged using a BasicOutputCollector. It does not declare any output fields since it simply passes through the data without modification. The complexity of the implementation is O(1), as it involves straightforward tuple processing without significant computational overhead.</t>
        </is>
      </c>
      <c r="E2103" t="n">
        <v>0.0036</v>
      </c>
      <c r="F2103" t="n">
        <v>0.0548</v>
      </c>
      <c r="G2103" t="n">
        <v>0.1504</v>
      </c>
      <c r="H2103" t="inlineStr">
        <is>
          <t>The provided code implements a basic implementation of core algorithms within a Storm topology. It includes a package `org.apache.storm.lambda` containing a class that extends `BaseBasicBolt`. This bolt processes input data and outputs results based on defined logic, which is encapsulated within comments indicating its purpose as implementing core algorithms. The complexity of the algorithm is described as \(O(N)\), suggesting linear time</t>
        </is>
      </c>
      <c r="I2103" t="n">
        <v>0.0042</v>
      </c>
      <c r="J2103" t="n">
        <v>0.1096</v>
      </c>
      <c r="K2103" t="n">
        <v>0.1504</v>
      </c>
      <c r="L2103" t="inlineStr">
        <is>
          <t>This Java class implements a basic Bolt component in Apache Storm that processes tuples from input streams, applies lambda functions to transform them, and emits transformed data to output streams. It uses the `BaseBasicBolt` class and provides methods to declare output fields and process incoming tuples. The implementation complexity is O(N), where N is the number of tuples processed, as each tuple undergoes transformation using lambda expressions</t>
        </is>
      </c>
      <c r="M2103" t="n">
        <v>0.0036</v>
      </c>
      <c r="N2103" t="n">
        <v>0.1053</v>
      </c>
      <c r="O2103" t="n">
        <v>0.1439</v>
      </c>
    </row>
    <row r="2104">
      <c r="A2104" t="inlineStr">
        <is>
          <t>storm</t>
        </is>
      </c>
      <c r="B2104" t="inlineStr">
        <is>
          <t>storm-client/src/jvm/org/apache/storm/lambda/LambdaBiConsumerBolt.java</t>
        </is>
      </c>
      <c r="C2104">
        <f>HYPERLINK("https://github.com/apache/storm/blob/master/storm-client/src/jvm/org/apache/storm/lambda/LambdaBiConsumerBolt.java")</f>
        <v/>
      </c>
      <c r="D2104" t="inlineStr">
        <is>
          <t>The provided code is a Java implementation of a basic Bolt in Apache Storm, which processes tuples from input streams and outputs them to output collectors. It includes comments explaining its purpose, licensing, and usage within the context of storm topology development. The complexity is O(N), indicating linear time complexity, and it implements core algorithms necessary for processing data streams efficiently.</t>
        </is>
      </c>
      <c r="E2104" t="n">
        <v>0.007</v>
      </c>
      <c r="F2104" t="n">
        <v>0.0571</v>
      </c>
      <c r="G2104" t="n">
        <v>0.1921</v>
      </c>
      <c r="H2104" t="inlineStr">
        <is>
          <t>This repository contains backend software components that implement core algorithms. Complexity is O(N), indicating linear time complexity. Comments describe the implementation of these algorithms. Initial codebase commit was made. Code size is 1000 lines.</t>
        </is>
      </c>
      <c r="I2104" t="n">
        <v>0.0072</v>
      </c>
      <c r="J2104" t="n">
        <v>0.186</v>
      </c>
      <c r="K2104" t="n">
        <v>0.1887</v>
      </c>
      <c r="L2104" t="inlineStr">
        <is>
          <t>The provided code defines a basic Bolt class `LambdaBolt` within the `org.apache.storm.lambda` package. It implements the `BaseBasicBolt` interface from Apache Storm's topology API, which allows it to process tuples and emit new ones based on certain conditions. The bolt processes input data using a lambda function that can be defined externally, enabling flexible processing logic without modifying the core implementation</t>
        </is>
      </c>
      <c r="M2104" t="n">
        <v>0.004</v>
      </c>
      <c r="N2104" t="n">
        <v>0.0833</v>
      </c>
      <c r="O2104" t="n">
        <v>0.1515</v>
      </c>
    </row>
    <row r="2105">
      <c r="A2105" t="inlineStr">
        <is>
          <t>storm</t>
        </is>
      </c>
      <c r="B2105" t="inlineStr">
        <is>
          <t>storm-client/src/jvm/org/apache/storm/lambda/SerializableSupplier.java</t>
        </is>
      </c>
      <c r="C2105">
        <f>HYPERLINK("https://github.com/apache/storm/blob/master/storm-client/src/jvm/org/apache/storm/lambda/SerializableSupplier.java")</f>
        <v/>
      </c>
      <c r="D2105" t="inlineStr">
        <is>
          <t>The provided Java code defines an interface `SerializableSupplier` that extends both `Supplier&lt;T&gt;` and `Serializable`. This interface is designed to provide a supplier of objects that can be serialized, allowing them to be stored or transmitted across different processes or machines. It includes comments explaining its purpose, licensing details, and usage context within the Apache Storm project.</t>
        </is>
      </c>
      <c r="E2105" t="n">
        <v>0.0039</v>
      </c>
      <c r="F2105" t="n">
        <v>0.0615</v>
      </c>
      <c r="G2105" t="n">
        <v>0.0781</v>
      </c>
      <c r="H2105" t="inlineStr">
        <is>
          <t>Provides an interface `SerializableSupplier` that extends `Supplier` and `Serializable`, allowing for serializable supplier functions.</t>
        </is>
      </c>
      <c r="I2105" t="n">
        <v>0.0143</v>
      </c>
      <c r="J2105" t="n">
        <v>0.09089999999999999</v>
      </c>
      <c r="K2105" t="n">
        <v>0.0581</v>
      </c>
      <c r="L2105" t="inlineStr">
        <is>
          <t>This Java interface `SerializableSupplier` extends both `Supplier&lt;T&gt;` and `Serializable`, allowing objects that implement it to provide a value lazily and ensure they can be serialized across different JVMs. It serves as a bridge between functional programming concepts like suppliers and serialization requirements, making it useful for scenarios where lazy evaluation is needed while maintaining data integrity through serialization.</t>
        </is>
      </c>
      <c r="M2105" t="n">
        <v>0.0037</v>
      </c>
      <c r="N2105" t="n">
        <v>0.1194</v>
      </c>
      <c r="O2105" t="n">
        <v>0.1538</v>
      </c>
    </row>
    <row r="2106">
      <c r="A2106" t="inlineStr">
        <is>
          <t>storm</t>
        </is>
      </c>
      <c r="B2106" t="inlineStr">
        <is>
          <t>storm-client/src/jvm/org/apache/storm/lambda/SerializableConsumer.java</t>
        </is>
      </c>
      <c r="C2106">
        <f>HYPERLINK("https://github.com/apache/storm/blob/master/storm-client/src/jvm/org/apache/storm/lambda/SerializableConsumer.java")</f>
        <v/>
      </c>
      <c r="D2106" t="inlineStr">
        <is>
          <t>The provided Java code defines an interface `SerializableConsumer` that extends both the standard `Consumer` functional interface from the Java Collections Framework and the `Serializable` interface. This allows objects implementing `SerializableConsumer` to be serialized, which means they can be saved to disk or transmitted over networks. The class provides a simple way to handle actions or operations that take a single parameter without returning any value.</t>
        </is>
      </c>
      <c r="E2106" t="n">
        <v>0.0033</v>
      </c>
      <c r="F2106" t="n">
        <v>0.0548</v>
      </c>
      <c r="G2106" t="n">
        <v>0.146</v>
      </c>
      <c r="H2106" t="inlineStr">
        <is>
          <t>The provided Java code defines an `SerializableConsumer` interface that extends both `Consumer&lt;T&gt;` and `Serializable`. This interface represents a consumer function that can process elements of type `T`, where the processing logic must be serializable. It's part of a larger project aimed at implementing core algorithms, which requires efficient data handling and serialization capabilities.</t>
        </is>
      </c>
      <c r="I2106" t="n">
        <v>0.0045</v>
      </c>
      <c r="J2106" t="n">
        <v>0.127</v>
      </c>
      <c r="K2106" t="n">
        <v>0.2976</v>
      </c>
      <c r="L2106" t="inlineStr">
        <is>
          <t>The `SerializableConsumer` interface in the Apache Storm Lambda package defines a functional interface that accepts a single parameter of type `T` and performs some action without returning any value. It implements both the `Consumer` interface from Java's standard library and the `Serializable` interface, allowing objects implementing this interface to be serialized and deserialized. This makes it suitable for passing lambda expressions as function arguments across different</t>
        </is>
      </c>
      <c r="M2106" t="n">
        <v>0.0036</v>
      </c>
      <c r="N2106" t="n">
        <v>0.0533</v>
      </c>
      <c r="O2106" t="n">
        <v>0.1449</v>
      </c>
    </row>
    <row r="2107">
      <c r="A2107" t="inlineStr">
        <is>
          <t>storm</t>
        </is>
      </c>
      <c r="B2107" t="inlineStr">
        <is>
          <t>storm-client/src/jvm/org/apache/storm/lambda/SerializableBiConsumer.java</t>
        </is>
      </c>
      <c r="C2107">
        <f>HYPERLINK("https://github.com/apache/storm/blob/master/storm-client/src/jvm/org/apache/storm/lambda/SerializableBiConsumer.java")</f>
        <v/>
      </c>
      <c r="D2107" t="inlineStr">
        <is>
          <t>The provided Java code defines an interface `SerializableBiConsumer` that extends both `java.util.function.BiConsumer` and `java.io.Serializable`. This interface represents a function that takes two parameters (`T` and `U`) and performs some action without returning any value. It ensures that the implementation can be serialized, making it suitable for use in distributed systems where objects need to be transferred across network boundaries</t>
        </is>
      </c>
      <c r="E2107" t="n">
        <v>0.0037</v>
      </c>
      <c r="F2107" t="n">
        <v>0.0833</v>
      </c>
      <c r="G2107" t="n">
        <v>0.1527</v>
      </c>
      <c r="H2107" t="inlineStr">
        <is>
          <t>Provides an interface `SerializableBiConsumer` that extends Java's `BiConsumer` interface, allowing for serializable bi-functionality. This component is part of a larger backend software repository containing core algorithm implementations.</t>
        </is>
      </c>
      <c r="I2107" t="n">
        <v>0.0092</v>
      </c>
      <c r="J2107" t="n">
        <v>0.1622</v>
      </c>
      <c r="K2107" t="n">
        <v>0.202</v>
      </c>
      <c r="L2107" t="inlineStr">
        <is>
          <t>The `SerializableBiConsumer` interface defines a functional interface that takes two parameters of types `T` and `U`, applies a consumer function to them, and implements the `Serializable` interface to allow objects of this type to be serialized. It provides a simple way to handle bi-directional data transformations in a serializable manner.</t>
        </is>
      </c>
      <c r="M2107" t="n">
        <v>0.0044</v>
      </c>
      <c r="N2107" t="n">
        <v>0.0678</v>
      </c>
      <c r="O2107" t="n">
        <v>0.1639</v>
      </c>
    </row>
    <row r="2108">
      <c r="A2108" t="inlineStr">
        <is>
          <t>storm</t>
        </is>
      </c>
      <c r="B2108" t="inlineStr">
        <is>
          <t>storm-client/src/jvm/org/apache/storm/state/StateProvider.java</t>
        </is>
      </c>
      <c r="C2108">
        <f>HYPERLINK("https://github.com/apache/storm/blob/master/storm-client/src/jvm/org/apache/storm/state/StateProvider.java")</f>
        <v/>
      </c>
      <c r="D2108" t="inlineStr">
        <is>
          <t>The `StateProvider` interface defines a contract for creating state instances used by Storm's state management system. It includes methods for initializing the state provider with context data and retrieving a new state instance based on that context. This allows for flexible state storage solutions within Storm topologies.</t>
        </is>
      </c>
      <c r="E2108" t="n">
        <v>0.0046</v>
      </c>
      <c r="F2108" t="n">
        <v>0.0357</v>
      </c>
      <c r="G2108" t="n">
        <v>0.1261</v>
      </c>
      <c r="H2108" t="inlineStr">
        <is>
          <t>Manages the creation of state instances for Storm topologies.</t>
        </is>
      </c>
      <c r="I2108" t="n">
        <v>0</v>
      </c>
      <c r="J2108" t="n">
        <v>0</v>
      </c>
      <c r="K2108" t="n">
        <v>0</v>
      </c>
      <c r="L2108" t="inlineStr">
        <is>
          <t>The `StateProvider` interface defines methods for creating state instances that can be used by Storm topologies. It provides a framework for managing state across different parts of a topology, allowing developers to store and retrieve data efficiently. The implementation complexity is O(N), indicating potential performance considerations based on the size of the state being managed.</t>
        </is>
      </c>
      <c r="M2108" t="n">
        <v>0.0033</v>
      </c>
      <c r="N2108" t="n">
        <v>0.0312</v>
      </c>
      <c r="O2108" t="n">
        <v>0.1181</v>
      </c>
    </row>
    <row r="2109">
      <c r="A2109" t="inlineStr">
        <is>
          <t>storm</t>
        </is>
      </c>
      <c r="B2109" t="inlineStr">
        <is>
          <t>storm-client/src/jvm/org/apache/storm/state/State.java</t>
        </is>
      </c>
      <c r="C2109">
        <f>HYPERLINK("https://github.com/apache/storm/blob/master/storm-client/src/jvm/org/apache/storm/state/State.java")</f>
        <v/>
      </c>
      <c r="D2109" t="inlineStr">
        <is>
          <t>The code defines a package `org.apache.storm.state` which includes interfaces and classes related to managing state within Storm topologies. It provides support for both managed and unmanaged state, allowing developers to persist data across different tasks or batches. The complexity of the implementation is O(N), indicating it scales linearly with input size. Comments throughout the code describe its purpose and functionality, while the README outlines</t>
        </is>
      </c>
      <c r="E2109" t="n">
        <v>0.0028</v>
      </c>
      <c r="F2109" t="n">
        <v>0.0526</v>
      </c>
      <c r="G2109" t="n">
        <v>0.0735</v>
      </c>
      <c r="H2109" t="inlineStr">
        <is>
          <t>This repository contains backend software components implementing core algorithms. Complexity is O(N), indicating linear time complexity, and comments describe the implementation details. Initial codebase commit was made. Code size is 1000 lines.</t>
        </is>
      </c>
      <c r="I2109" t="n">
        <v>0.0083</v>
      </c>
      <c r="J2109" t="n">
        <v>0.2439</v>
      </c>
      <c r="K2109" t="n">
        <v>0.2404</v>
      </c>
      <c r="L2109" t="inlineStr">
        <is>
          <t>This Java class provides a base implementation for managing state within Storm topologies, supporting both stateful bolts and other components. It includes methods for initializing and updating state, as well as handling serialization and deserialization of state data. The class uses interfaces from the `org.apache.storm` package to facilitate interaction between different parts of the Storm ecosystem.</t>
        </is>
      </c>
      <c r="M2109" t="n">
        <v>0.0039</v>
      </c>
      <c r="N2109" t="n">
        <v>0.09089999999999999</v>
      </c>
      <c r="O2109" t="n">
        <v>0.1563</v>
      </c>
    </row>
    <row r="2110">
      <c r="A2110" t="inlineStr">
        <is>
          <t>storm</t>
        </is>
      </c>
      <c r="B2110" t="inlineStr">
        <is>
          <t>storm-client/src/jvm/org/apache/storm/state/StateEncoder.java</t>
        </is>
      </c>
      <c r="C2110">
        <f>HYPERLINK("https://github.com/apache/storm/blob/master/storm-client/src/jvm/org/apache/storm/state/StateEncoder.java")</f>
        <v/>
      </c>
      <c r="D2110" t="inlineStr">
        <is>
          <t>The `StateEncoder` interface defines methods for encoding keys (`K`) and values (`V`) into their respective encoded types (`KENCODEDT` and `VENCODEDT`). This interface is part of the Apache Storm state management system, which handles data storage and retrieval efficiently.</t>
        </is>
      </c>
      <c r="E2110" t="n">
        <v>0.0058</v>
      </c>
      <c r="F2110" t="n">
        <v>0.08699999999999999</v>
      </c>
      <c r="G2110" t="n">
        <v>0.1364</v>
      </c>
      <c r="H2110" t="inlineStr">
        <is>
          <t>The repository contains backend software components that implement core algorithms. Complexity is O(N), indicating linear time complexity. Comments describe the implementation details, while commits include an initial codebase commit. The total size of the codebase is 1000 lines.</t>
        </is>
      </c>
      <c r="I2110" t="n">
        <v>0.0058</v>
      </c>
      <c r="J2110" t="n">
        <v>0.1277</v>
      </c>
      <c r="K2110" t="n">
        <v>0.1364</v>
      </c>
      <c r="L2110" t="inlineStr">
        <is>
          <t>The `StateEncoder` interface defines methods for encoding keys and values into their respective encoded forms (`KENCODEDT` and `VENCODEDT`). It provides a standardized way to serialize data before storing it in state management systems within Apache Storm.</t>
        </is>
      </c>
      <c r="M2110" t="n">
        <v>0.0052</v>
      </c>
      <c r="N2110" t="n">
        <v>0.0455</v>
      </c>
      <c r="O2110" t="n">
        <v>0.0463</v>
      </c>
    </row>
    <row r="2111">
      <c r="A2111" t="inlineStr">
        <is>
          <t>storm</t>
        </is>
      </c>
      <c r="B2111" t="inlineStr">
        <is>
          <t>storm-client/src/jvm/org/apache/storm/state/DefaultStateSerializer.java</t>
        </is>
      </c>
      <c r="C2111">
        <f>HYPERLINK("https://github.com/apache/storm/blob/master/storm-client/src/jvm/org/apache/storm/state/DefaultStateSerializer.java")</f>
        <v/>
      </c>
      <c r="D2111" t="inlineStr">
        <is>
          <t>The code implements core algorithms using Kryo serialization library for efficient data transfer between different parts of a Storm state management system. It includes classes for handling input/output operations and instantiating objects during deserialization.</t>
        </is>
      </c>
      <c r="E2111" t="n">
        <v>0.0128</v>
      </c>
      <c r="F2111" t="n">
        <v>0.1395</v>
      </c>
      <c r="G2111" t="n">
        <v>0.2978</v>
      </c>
      <c r="H2111" t="inlineStr">
        <is>
          <t>Implements core algorithms for backend software components using Kryo serialization. Complexity is O(N).</t>
        </is>
      </c>
      <c r="I2111" t="n">
        <v>0.0185</v>
      </c>
      <c r="J2111" t="n">
        <v>0.1818</v>
      </c>
      <c r="K2111" t="n">
        <v>0.3713</v>
      </c>
      <c r="L2111" t="inlineStr">
        <is>
          <t>This Java class provides serialization and deserialization capabilities using Kryo, which is used for efficient object graph serialization and deserialization in Storm state management. It includes methods for serializing objects into byte arrays and vice versa, facilitating data exchange between different parts of the system.</t>
        </is>
      </c>
      <c r="M2111" t="n">
        <v>0.0049</v>
      </c>
      <c r="N2111" t="n">
        <v>0.0755</v>
      </c>
      <c r="O2111" t="n">
        <v>0.1282</v>
      </c>
    </row>
    <row r="2112">
      <c r="A2112" t="inlineStr">
        <is>
          <t>storm</t>
        </is>
      </c>
      <c r="B2112" t="inlineStr">
        <is>
          <t>storm-client/src/jvm/org/apache/storm/state/ISynchronizeOutputCollector.java</t>
        </is>
      </c>
      <c r="C2112">
        <f>HYPERLINK("https://github.com/apache/storm/blob/master/storm-client/src/jvm/org/apache/storm/state/ISynchronizeOutputCollector.java")</f>
        <v/>
      </c>
      <c r="D2112" t="inlineStr">
        <is>
          <t>The `ISynchronizeOutputCollector` interface defines a method `add` that takes three parameters: `streamId`, `id`, and `tuple`. This method is used to collect tuples from different streams into a single output collector, ensuring synchronization across multiple processing stages in a Storm topology.</t>
        </is>
      </c>
      <c r="E2112" t="n">
        <v>0.0055</v>
      </c>
      <c r="F2112" t="n">
        <v>0.0417</v>
      </c>
      <c r="G2112" t="n">
        <v>0.1339</v>
      </c>
      <c r="H2112" t="inlineStr">
        <is>
          <t>The code defines an `ISynchronizeOutputCollector` interface that provides methods for adding tuples to different streams based on their IDs. It includes comments explaining its purpose and implementation details.</t>
        </is>
      </c>
      <c r="I2112" t="n">
        <v>0.0067</v>
      </c>
      <c r="J2112" t="n">
        <v>0.0556</v>
      </c>
      <c r="K2112" t="n">
        <v>0.1</v>
      </c>
      <c r="L2112" t="inlineStr">
        <is>
          <t>The `ISynchronizeOutputCollector` interface defines a method `add` that allows adding tuples to the output collector based on their stream ID and unique identifier. It ensures synchronization between different streams when processing data in Storm's state management system.</t>
        </is>
      </c>
      <c r="M2112" t="n">
        <v>0.005</v>
      </c>
      <c r="N2112" t="n">
        <v>0.0435</v>
      </c>
      <c r="O2112" t="n">
        <v>0.0459</v>
      </c>
    </row>
    <row r="2113">
      <c r="A2113" t="inlineStr">
        <is>
          <t>storm</t>
        </is>
      </c>
      <c r="B2113" t="inlineStr">
        <is>
          <t>storm-client/src/jvm/org/apache/storm/state/SynchronizeOutputCollector.java</t>
        </is>
      </c>
      <c r="C2113">
        <f>HYPERLINK("https://github.com/apache/storm/blob/master/storm-client/src/jvm/org/apache/storm/state/SynchronizeOutputCollector.java")</f>
        <v/>
      </c>
      <c r="D2113" t="inlineStr">
        <is>
          <t>The `SynchronizeOutputCollector` class provides synchronization capabilities for output collectors in Storm, ensuring that messages are processed correctly across multiple tasks. It includes methods for adding tuples to different streams based on their IDs. The implementation uses basic data structures like lists to manage tuple collections.</t>
        </is>
      </c>
      <c r="E2113" t="n">
        <v>0</v>
      </c>
      <c r="F2113" t="n">
        <v>0.0377</v>
      </c>
      <c r="G2113" t="n">
        <v>0.08550000000000001</v>
      </c>
      <c r="H2113" t="inlineStr">
        <is>
          <t>This repository contains backend software components implementing core algorithms. Complexity is O(N), indicating linear time complexity. Comments describe the implementation of these algorithms. Initial codebase commit was made. Code size is 1000 lines.</t>
        </is>
      </c>
      <c r="I2113" t="n">
        <v>0.0074</v>
      </c>
      <c r="J2113" t="n">
        <v>0.1905</v>
      </c>
      <c r="K2113" t="n">
        <v>0.1905</v>
      </c>
      <c r="L2113" t="inlineStr">
        <is>
          <t>The `SynchronizeOutputCollector` class provides synchronization capabilities for output collectors in Storm, ensuring that messages are sent in order across multiple streams. It includes methods to add tuples to different streams based on their IDs, which helps maintain message integrity during parallel processing.</t>
        </is>
      </c>
      <c r="M2113" t="n">
        <v>0</v>
      </c>
      <c r="N2113" t="n">
        <v>0</v>
      </c>
      <c r="O2113" t="n">
        <v>0</v>
      </c>
    </row>
    <row r="2114">
      <c r="A2114" t="inlineStr">
        <is>
          <t>storm</t>
        </is>
      </c>
      <c r="B2114" t="inlineStr">
        <is>
          <t>storm-client/src/jvm/org/apache/storm/state/Serializer.java</t>
        </is>
      </c>
      <c r="C2114">
        <f>HYPERLINK("https://github.com/apache/storm/blob/master/storm-client/src/jvm/org/apache/storm/state/Serializer.java")</f>
        <v/>
      </c>
      <c r="D2114" t="inlineStr">
        <is>
          <t>The provided code defines an `Serializer` interface that specifies methods for serializing and deserializing objects of type `T`. It includes a method signature for serialization (`byte[] serialize(T obj)`), which returns a byte array representing the serialized object. This interface is part of a larger system designed for handling state management in Apache Storm, likely used for storing and retrieving data efficiently across different parts of the</t>
        </is>
      </c>
      <c r="E2114" t="n">
        <v>0.0033</v>
      </c>
      <c r="F2114" t="n">
        <v>0.0533</v>
      </c>
      <c r="G2114" t="n">
        <v>0.1087</v>
      </c>
      <c r="H2114" t="inlineStr">
        <is>
          <t>The provided code defines an interface `Serializer` that specifies methods for serializing and deserializing objects of type `T`. It includes comments explaining its purpose and usage, as well as details about its complexity and size.</t>
        </is>
      </c>
      <c r="I2114" t="n">
        <v>0.0053</v>
      </c>
      <c r="J2114" t="n">
        <v>0.0465</v>
      </c>
      <c r="K2114" t="n">
        <v>0.0467</v>
      </c>
      <c r="L2114" t="inlineStr">
        <is>
          <t>The `Serializer` interface defines methods for serializing and deserializing objects of type `T`, which is intended for use in Storm's state management system. It ensures that state data can be stored and retrieved efficiently across different processes.</t>
        </is>
      </c>
      <c r="M2114" t="n">
        <v>0.005</v>
      </c>
      <c r="N2114" t="n">
        <v>0.0435</v>
      </c>
      <c r="O2114" t="n">
        <v>0.0917</v>
      </c>
    </row>
    <row r="2115">
      <c r="A2115" t="inlineStr">
        <is>
          <t>storm</t>
        </is>
      </c>
      <c r="B2115" t="inlineStr">
        <is>
          <t>storm-client/src/jvm/org/apache/storm/state/BaseStateIterator.java</t>
        </is>
      </c>
      <c r="C2115">
        <f>HYPERLINK("https://github.com/apache/storm/blob/master/storm-client/src/jvm/org/apache/storm/state/BaseStateIterator.java")</f>
        <v/>
      </c>
      <c r="D2115" t="inlineStr">
        <is>
          <t>The provided Java code defines a class `State` that implements a map-like structure using abstract classes from the Apache Storm library. It includes methods for adding key-value pairs (`put`), retrieving values by keys (`get`), checking if a key exists (`containsKey`), removing entries (`remove`), clearing all entries (`clear`), and iterating over its contents. The implementation uses an iterator to</t>
        </is>
      </c>
      <c r="E2115" t="n">
        <v>0.0037</v>
      </c>
      <c r="F2115" t="n">
        <v>0.0588</v>
      </c>
      <c r="G2115" t="n">
        <v>0.1154</v>
      </c>
      <c r="H2115" t="inlineStr">
        <is>
          <t>This repository contains backend software components implementing core algorithms.</t>
        </is>
      </c>
      <c r="I2115" t="n">
        <v>0.0316</v>
      </c>
      <c r="J2115" t="n">
        <v>0.4706</v>
      </c>
      <c r="K2115" t="n">
        <v>0.3897</v>
      </c>
      <c r="L2115" t="inlineStr">
        <is>
          <t>The provided Java code defines a `State` interface that represents a stateful component used in Apache Storm, which is designed to manage data across multiple workers. It includes methods for adding, removing, and retrieving entries from a map-like structure, ensuring efficient access and modification of state data. The implementation uses abstract classes and interfaces to provide flexibility and scalability for various types of state management needs within Storm applications.</t>
        </is>
      </c>
      <c r="M2115" t="n">
        <v>0.0026</v>
      </c>
      <c r="N2115" t="n">
        <v>0.0513</v>
      </c>
      <c r="O2115" t="n">
        <v>0.1064</v>
      </c>
    </row>
    <row r="2116">
      <c r="A2116" t="inlineStr">
        <is>
          <t>storm</t>
        </is>
      </c>
      <c r="B2116" t="inlineStr">
        <is>
          <t>storm-client/src/jvm/org/apache/storm/state/ISubscribedState.java</t>
        </is>
      </c>
      <c r="C2116">
        <f>HYPERLINK("https://github.com/apache/storm/blob/master/storm-client/src/jvm/org/apache/storm/state/ISubscribedState.java")</f>
        <v/>
      </c>
      <c r="D2116" t="inlineStr">
        <is>
          <t>The `ISubscribedState` interface defines methods for setting and removing tuples associated with keys. It provides basic operations for managing state subscriptions in Storm, which is used for real-time data processing.</t>
        </is>
      </c>
      <c r="E2116" t="n">
        <v>0.0062</v>
      </c>
      <c r="F2116" t="n">
        <v>0.0513</v>
      </c>
      <c r="G2116" t="n">
        <v>0.098</v>
      </c>
      <c r="H2116" t="inlineStr">
        <is>
          <t>Provides interfaces for managing subscribed state in Storm, allowing setting and removing tuples based on IDs.</t>
        </is>
      </c>
      <c r="I2116" t="n">
        <v>0.0123</v>
      </c>
      <c r="J2116" t="n">
        <v>0.0833</v>
      </c>
      <c r="K2116" t="n">
        <v>0.0568</v>
      </c>
      <c r="L2116" t="inlineStr">
        <is>
          <t>The `ISubscribedState` interface defines methods for setting and removing tuples associated with keys. It provides basic operations for managing state subscriptions within Storm's framework.</t>
        </is>
      </c>
      <c r="M2116" t="n">
        <v>0.007900000000000001</v>
      </c>
      <c r="N2116" t="n">
        <v>0.0606</v>
      </c>
      <c r="O2116" t="n">
        <v>0.0521</v>
      </c>
    </row>
    <row r="2117">
      <c r="A2117" t="inlineStr">
        <is>
          <t>storm</t>
        </is>
      </c>
      <c r="B2117" t="inlineStr">
        <is>
          <t>storm-client/src/jvm/org/apache/storm/state/KeyValueState.java</t>
        </is>
      </c>
      <c r="C2117">
        <f>HYPERLINK("https://github.com/apache/storm/blob/master/storm-client/src/jvm/org/apache/storm/state/KeyValueState.java")</f>
        <v/>
      </c>
      <c r="D2117" t="inlineStr">
        <is>
          <t>The provided Java code defines an `KeyValueState` interface within the `org.apache.storm.state` package. This interface extends both `State` and `Iterable`, allowing it to manage key-value pairs efficiently. Key features include:
1. **Key-Value Pair Management**: It provides methods to store, retrieve, update, and delete key-value pairs.
2. **Iteration Support**: Implementing `</t>
        </is>
      </c>
      <c r="E2117" t="n">
        <v>0.0045</v>
      </c>
      <c r="F2117" t="n">
        <v>0.0645</v>
      </c>
      <c r="G2117" t="n">
        <v>0.124</v>
      </c>
      <c r="H2117" t="inlineStr">
        <is>
          <t>This repository contains backend software components implementing core algorithms. Complexity is O(N), indicating linear time complexity for operations involving collections. Comments provide detailed explanations of the implementation. Initial codebase commit was made. Code size is 1000 lines.</t>
        </is>
      </c>
      <c r="I2117" t="n">
        <v>0.0066</v>
      </c>
      <c r="J2117" t="n">
        <v>0.1739</v>
      </c>
      <c r="K2117" t="n">
        <v>0.2896</v>
      </c>
      <c r="L2117" t="inlineStr">
        <is>
          <t>This Java interface defines a `KeyValueState` that provides methods for managing key-value pairs within a state store. It includes basic CRUD operations such as putting, getting, removing, and iterating over entries. The implementation complexity is O(N), indicating linear time complexity for certain operations like iteration over all entries. The class inherits from both `State` and `Iterable`, allowing for flexible usage in various Storm applications</t>
        </is>
      </c>
      <c r="M2117" t="n">
        <v>0.0034</v>
      </c>
      <c r="N2117" t="n">
        <v>0.08110000000000001</v>
      </c>
      <c r="O2117" t="n">
        <v>0.1103</v>
      </c>
    </row>
    <row r="2118">
      <c r="A2118" t="inlineStr">
        <is>
          <t>storm</t>
        </is>
      </c>
      <c r="B2118" t="inlineStr">
        <is>
          <t>storm-client/src/jvm/org/apache/storm/state/StateSpoutOutputCollector.java</t>
        </is>
      </c>
      <c r="C2118">
        <f>HYPERLINK("https://github.com/apache/storm/blob/master/storm-client/src/jvm/org/apache/storm/state/StateSpoutOutputCollector.java")</f>
        <v/>
      </c>
      <c r="D2118" t="inlineStr">
        <is>
          <t>The `StateSpoutOutputCollector` class is part of the Apache Storm state management system. It extends `SynchronizeOutputCollector` and implements `IStateSpoutOutputCollector`. This class provides methods for managing output streams and IDs within a state spout context. Specifically, it includes a method `remove` that removes entries from specified streams based on their identifiers. The implementation complexity is O(N</t>
        </is>
      </c>
      <c r="E2118" t="n">
        <v>0.0045</v>
      </c>
      <c r="F2118" t="n">
        <v>0.0635</v>
      </c>
      <c r="G2118" t="n">
        <v>0.1587</v>
      </c>
      <c r="H2118" t="inlineStr">
        <is>
          <t>Manages output collection for state spouts in Storm, implementing methods like `remove` to manage streams and IDs.</t>
        </is>
      </c>
      <c r="I2118" t="n">
        <v>0.0115</v>
      </c>
      <c r="J2118" t="n">
        <v>0.16</v>
      </c>
      <c r="K2118" t="n">
        <v>0.1124</v>
      </c>
      <c r="L2118" t="inlineStr">
        <is>
          <t>The `StateSpoutOutputCollector` class extends `SynchronizeOutputCollector` and implements `IStateSpoutOutputCollector`. It provides methods for removing tuples from state storage based on their stream ID and unique identifier. This method ensures that only relevant data is removed when necessary, maintaining the integrity of the state system.</t>
        </is>
      </c>
      <c r="M2118" t="n">
        <v>0.0056</v>
      </c>
      <c r="N2118" t="n">
        <v>0.0784</v>
      </c>
      <c r="O2118" t="n">
        <v>0.1304</v>
      </c>
    </row>
    <row r="2119">
      <c r="A2119" t="inlineStr">
        <is>
          <t>storm</t>
        </is>
      </c>
      <c r="B2119" t="inlineStr">
        <is>
          <t>storm-client/src/jvm/org/apache/storm/state/IStateSpoutOutputCollector.java</t>
        </is>
      </c>
      <c r="C2119">
        <f>HYPERLINK("https://github.com/apache/storm/blob/master/storm-client/src/jvm/org/apache/storm/state/IStateSpoutOutputCollector.java")</f>
        <v/>
      </c>
      <c r="D2119" t="inlineStr">
        <is>
          <t>The `IStateSpoutOutputCollector` interface provides methods for managing state updates from a spout, including removing entries based on their stream ID and unique identifier. This interface extends `ISynchronizeOutputCollector`, which likely includes synchronization mechanisms for output operations. The complexity of the implementation is O(N), indicating that it might involve iterating over data structures to perform removals.</t>
        </is>
      </c>
      <c r="E2119" t="n">
        <v>0.004</v>
      </c>
      <c r="F2119" t="n">
        <v>0.0635</v>
      </c>
      <c r="G2119" t="n">
        <v>0.119</v>
      </c>
      <c r="H2119" t="inlineStr">
        <is>
          <t>Manages output collection for state spouts in Storm, providing methods to remove entries based on stream ID and object ID.</t>
        </is>
      </c>
      <c r="I2119" t="n">
        <v>0.009599999999999999</v>
      </c>
      <c r="J2119" t="n">
        <v>0.07140000000000001</v>
      </c>
      <c r="K2119" t="n">
        <v>0.0543</v>
      </c>
      <c r="L2119" t="inlineStr">
        <is>
          <t>The `IStateSpoutOutputCollector` interface provides methods for managing state updates from a spout, allowing removal of entries based on their IDs and streams. It implements the `ISynchronizeOutputCollector` interface, which ensures that all changes are synchronized across replicas.</t>
        </is>
      </c>
      <c r="M2119" t="n">
        <v>0.0061</v>
      </c>
      <c r="N2119" t="n">
        <v>0.0455</v>
      </c>
      <c r="O2119" t="n">
        <v>0.0926</v>
      </c>
    </row>
    <row r="2120">
      <c r="A2120" t="inlineStr">
        <is>
          <t>storm</t>
        </is>
      </c>
      <c r="B2120" t="inlineStr">
        <is>
          <t>storm-client/src/jvm/org/apache/storm/state/InMemoryKeyValueStateProvider.java</t>
        </is>
      </c>
      <c r="C2120">
        <f>HYPERLINK("https://github.com/apache/storm/blob/master/storm-client/src/jvm/org/apache/storm/state/InMemoryKeyValueStateProvider.java")</f>
        <v/>
      </c>
      <c r="D2120" t="inlineStr">
        <is>
          <t>The provided code defines a Java interface `I` that represents a key-value state store using an in-memory data structure. It uses a `ConcurrentHashMap` to store key-value pairs, ensuring thread safety. The interface includes methods for setting values, getting values, checking if keys exist, and clearing all entries. This implementation provides basic operations for managing in-memory state in Storm, which is a distributed</t>
        </is>
      </c>
      <c r="E2120" t="n">
        <v>0.0035</v>
      </c>
      <c r="F2120" t="n">
        <v>0.0541</v>
      </c>
      <c r="G2120" t="n">
        <v>0.1493</v>
      </c>
      <c r="H2120" t="inlineStr">
        <is>
          <t>Manages key-value state storage using an in-memory ConcurrentHashMap.</t>
        </is>
      </c>
      <c r="I2120" t="n">
        <v>0</v>
      </c>
      <c r="J2120" t="n">
        <v>0</v>
      </c>
      <c r="K2120" t="n">
        <v>0.0625</v>
      </c>
      <c r="L2120" t="inlineStr">
        <is>
          <t>The `I` class provides an implementation of `InMemoryKeyValueState`, which stores key-value pairs in memory using a `ConcurrentHashMap`. It initializes the state from configuration settings stored in `TopologyContext`. The class handles basic CRUD operations such as putting, getting, removing, and clearing entries.</t>
        </is>
      </c>
      <c r="M2120" t="n">
        <v>0.0045</v>
      </c>
      <c r="N2120" t="n">
        <v>0.08</v>
      </c>
      <c r="O2120" t="n">
        <v>0.1327</v>
      </c>
    </row>
    <row r="2121">
      <c r="A2121" t="inlineStr">
        <is>
          <t>storm</t>
        </is>
      </c>
      <c r="B2121" t="inlineStr">
        <is>
          <t>storm-client/src/jvm/org/apache/storm/state/InMemoryKeyValueState.java</t>
        </is>
      </c>
      <c r="C2121">
        <f>HYPERLINK("https://github.com/apache/storm/blob/master/storm-client/src/jvm/org/apache/storm/state/InMemoryKeyValueState.java")</f>
        <v/>
      </c>
      <c r="D2121" t="inlineStr">
        <is>
          <t>The provided Java code defines a class `InMemoryState` that implements an in-memory state store using a ConcurrentHashMap. This implementation provides basic operations such as adding, retrieving, updating, and removing key-value pairs from the state store. It uses SLF4J for logging and includes comments explaining its purpose and usage. The complexity of the implementation is O(1) for most operations due to the properties</t>
        </is>
      </c>
      <c r="E2121" t="n">
        <v>0.0039</v>
      </c>
      <c r="F2121" t="n">
        <v>0.0822</v>
      </c>
      <c r="G2121" t="n">
        <v>0.1493</v>
      </c>
      <c r="H2121" t="inlineStr">
        <is>
          <t>Manages state data using an in-memory ConcurrentHashMap, providing basic operations like adding and retrieving key-value pairs. Complexity is linear due to potential concurrent access issues.</t>
        </is>
      </c>
      <c r="I2121" t="n">
        <v>0.0076</v>
      </c>
      <c r="J2121" t="n">
        <v>0.0571</v>
      </c>
      <c r="K2121" t="n">
        <v>0.1031</v>
      </c>
      <c r="L2121" t="inlineStr">
        <is>
          <t>This Java class implements an in-memory state store using `ConcurrentHashMap` to manage key-value pairs efficiently. It provides methods to put, get, remove, and iterate over entries, ensuring thread safety through concurrent access. The class uses SLF4J for logging and includes basic error handling for invalid keys.</t>
        </is>
      </c>
      <c r="M2121" t="n">
        <v>0.0053</v>
      </c>
      <c r="N2121" t="n">
        <v>0.1071</v>
      </c>
      <c r="O2121" t="n">
        <v>0.1695</v>
      </c>
    </row>
    <row r="2122">
      <c r="A2122" t="inlineStr">
        <is>
          <t>storm</t>
        </is>
      </c>
      <c r="B2122" t="inlineStr">
        <is>
          <t>storm-client/src/jvm/org/apache/storm/state/DefaultStateEncoder.java</t>
        </is>
      </c>
      <c r="C2122">
        <f>HYPERLINK("https://github.com/apache/storm/blob/master/storm-client/src/jvm/org/apache/storm/state/DefaultStateEncoder.java")</f>
        <v/>
      </c>
      <c r="D2122" t="inlineStr">
        <is>
          <t>The provided code defines a default state encoder class in Java that handles encoding and decoding of key-value pairs using byte arrays as their data type. It includes comments explaining its purpose, assumptions about the encoded types, and provides basic documentation about complexity, implementation details, commits, and code size.</t>
        </is>
      </c>
      <c r="E2122" t="n">
        <v>0.0037</v>
      </c>
      <c r="F2122" t="n">
        <v>0.06900000000000001</v>
      </c>
      <c r="G2122" t="n">
        <v>0.124</v>
      </c>
      <c r="H2122" t="inlineStr">
        <is>
          <t>The provided code defines a default state encoder class for encoding and decoding key-value pairs using byte arrays as the underlying data type. It includes comments explaining its purpose and assumptions about the encoded types.</t>
        </is>
      </c>
      <c r="I2122" t="n">
        <v>0.0053</v>
      </c>
      <c r="J2122" t="n">
        <v>0.0455</v>
      </c>
      <c r="K2122" t="n">
        <v>0.0935</v>
      </c>
      <c r="L2122" t="inlineStr">
        <is>
          <t>The `DefaultStateEncoder` class provides methods for encoding and decoding key-value pairs using byte arrays as the data type. It includes methods for serializing keys and values into byte arrays and deserializing them back into their original forms. This implementation is designed to handle binary-encoded key and value types efficiently within the Storm framework's state management system.</t>
        </is>
      </c>
      <c r="M2122" t="n">
        <v>0.0039</v>
      </c>
      <c r="N2122" t="n">
        <v>0.0896</v>
      </c>
      <c r="O2122" t="n">
        <v>0.1563</v>
      </c>
    </row>
    <row r="2123">
      <c r="A2123" t="inlineStr">
        <is>
          <t>storm</t>
        </is>
      </c>
      <c r="B2123" t="inlineStr">
        <is>
          <t>storm-client/src/jvm/org/apache/storm/state/StateFactory.java</t>
        </is>
      </c>
      <c r="C2123">
        <f>HYPERLINK("https://github.com/apache/storm/blob/master/storm-client/src/jvm/org/apache/storm/state/StateFactory.java")</f>
        <v/>
      </c>
      <c r="D2123" t="inlineStr">
        <is>
          <t>The provided code defines a Java class `StateFactory` within the package `org.apache.storm.state`. This class serves as a factory for creating state implementations based on configuration settings specified in a `Config` object. It uses SLF4J for logging purposes and requires a `TopologyContext` instance during initialization. The method `createState` takes a `Map&lt;String, Object&gt;` representing configuration parameters</t>
        </is>
      </c>
      <c r="E2123" t="n">
        <v>0.004</v>
      </c>
      <c r="F2123" t="n">
        <v>0.09089999999999999</v>
      </c>
      <c r="G2123" t="n">
        <v>0.1587</v>
      </c>
      <c r="H2123" t="inlineStr">
        <is>
          <t>This repository contains backend software components that implement core algorithms.</t>
        </is>
      </c>
      <c r="I2123" t="n">
        <v>0.0278</v>
      </c>
      <c r="J2123" t="n">
        <v>0.4444</v>
      </c>
      <c r="K2123" t="n">
        <v>0.3849</v>
      </c>
      <c r="L2123" t="inlineStr">
        <is>
          <t>This Java class provides a factory method to create instances of `State` objects based on configuration settings. It uses SLF4J for logging and supports various state implementations through different configurations. The factory method takes a `TopologyContext`, `Config`, and a map of state-specific parameters as input and returns an instance of `State`.</t>
        </is>
      </c>
      <c r="M2123" t="n">
        <v>0.0043</v>
      </c>
      <c r="N2123" t="n">
        <v>0.1</v>
      </c>
      <c r="O2123" t="n">
        <v>0.1626</v>
      </c>
    </row>
    <row r="2124">
      <c r="A2124" t="inlineStr">
        <is>
          <t>storm</t>
        </is>
      </c>
      <c r="B2124" t="inlineStr">
        <is>
          <t>storm-client/src/jvm/org/apache/storm/state/IStateSpout.java</t>
        </is>
      </c>
      <c r="C2124">
        <f>HYPERLINK("https://github.com/apache/storm/blob/master/storm-client/src/jvm/org/apache/storm/state/IStateSpout.java")</f>
        <v/>
      </c>
      <c r="D2124" t="inlineStr">
        <is>
          <t>The `IStateSpout` interface defines methods for initializing and managing stateful operations within a Storm topology. It includes methods such as `open`, which initializes the spout's internal state based on configuration data from `TopologyContext`. This allows the spout to maintain persistent state across multiple task instances during execution.</t>
        </is>
      </c>
      <c r="E2124" t="n">
        <v>0.0046</v>
      </c>
      <c r="F2124" t="n">
        <v>0.0357</v>
      </c>
      <c r="G2124" t="n">
        <v>0.08400000000000001</v>
      </c>
      <c r="H2124" t="inlineStr">
        <is>
          <t>The code defines an `IStateSpout` interface that represents a state spout component used in Apache Storm for managing state across tasks. It includes methods for opening and closing the spout, as well as retrieving state from a topology context. The complexity is O(N), indicating it involves processing data in linear time relative to the number of elements involved.</t>
        </is>
      </c>
      <c r="I2124" t="n">
        <v>0.0031</v>
      </c>
      <c r="J2124" t="n">
        <v>0.0299</v>
      </c>
      <c r="K2124" t="n">
        <v>0.0769</v>
      </c>
      <c r="L2124" t="inlineStr">
        <is>
          <t>The `IStateSpout` interface defines methods for initializing state spouts in Apache Storm, which are responsible for managing persistent data across tasks within a topology. It includes methods for opening and closing the spout, as well as retrieving initial state from a configuration map. The implementation complexity is O(1), and existing comments indicate that it implements core algorithms related to state management.</t>
        </is>
      </c>
      <c r="M2124" t="n">
        <v>0.007</v>
      </c>
      <c r="N2124" t="n">
        <v>0.0571</v>
      </c>
      <c r="O2124" t="n">
        <v>0.1921</v>
      </c>
    </row>
    <row r="2125">
      <c r="A2125" t="inlineStr">
        <is>
          <t>storm</t>
        </is>
      </c>
      <c r="B2125" t="inlineStr">
        <is>
          <t>storm-client/src/jvm/org/apache/storm/state/BaseBinaryStateIterator.java</t>
        </is>
      </c>
      <c r="C2125">
        <f>HYPERLINK("https://github.com/apache/storm/blob/master/storm-client/src/jvm/org/apache/storm/state/BaseBinaryStateIterator.java")</f>
        <v/>
      </c>
      <c r="D2125" t="inlineStr">
        <is>
          <t>The provided Java code defines a class `State` within the package `org.apache.storm.state`. This class implements a state management system using a TreeSet data structure to store keys in sorted order. It provides methods to add, remove, and iterate over these keys efficiently. The implementation uses Google Guava's Iterators for iteration, enhancing performance and readability. The complexity of operations like adding and removing elements</t>
        </is>
      </c>
      <c r="E2125" t="n">
        <v>0.0038</v>
      </c>
      <c r="F2125" t="n">
        <v>0.08</v>
      </c>
      <c r="G2125" t="n">
        <v>0.1481</v>
      </c>
      <c r="H2125" t="inlineStr">
        <is>
          <t>Manages state storage using TreeSet data structure. Complexity is O(N).</t>
        </is>
      </c>
      <c r="I2125" t="n">
        <v>0</v>
      </c>
      <c r="J2125" t="n">
        <v>0</v>
      </c>
      <c r="K2125" t="n">
        <v>0.061</v>
      </c>
      <c r="L2125" t="inlineStr">
        <is>
          <t>The provided code implements a state management system using Java's `TreeSet` to store keys in sorted order. It includes methods for adding, removing, and iterating over these keys efficiently. The implementation uses Google Guava libraries for collection utilities. The code is part of a larger backend software component and has been committed as the initial version of the project.</t>
        </is>
      </c>
      <c r="M2125" t="n">
        <v>0.0041</v>
      </c>
      <c r="N2125" t="n">
        <v>0.0588</v>
      </c>
      <c r="O2125" t="n">
        <v>0.1527</v>
      </c>
    </row>
    <row r="2126">
      <c r="A2126" t="inlineStr">
        <is>
          <t>storm</t>
        </is>
      </c>
      <c r="B2126" t="inlineStr">
        <is>
          <t>storm-client/src/jvm/org/apache/storm/spout/SpoutOutputCollector.java</t>
        </is>
      </c>
      <c r="C2126">
        <f>HYPERLINK("https://github.com/apache/storm/blob/master/storm-client/src/jvm/org/apache/storm/spout/SpoutOutputCollector.java")</f>
        <v/>
      </c>
      <c r="D2126" t="inlineStr">
        <is>
          <t>The provided Java class `OutputCollector` is part of the Apache Storm framework and serves as the interface through which spouts emit data back to the cluster. It allows spouts to send tuples to various bolts within their topology. The class provides methods like `emit`, `emitDirect`, and `ack` to handle tuple emission and acknowledgment respectively. It also includes utility methods for managing task IDs and other</t>
        </is>
      </c>
      <c r="E2126" t="n">
        <v>0.0028</v>
      </c>
      <c r="F2126" t="n">
        <v>0.0274</v>
      </c>
      <c r="G2126" t="n">
        <v>0.073</v>
      </c>
      <c r="H2126" t="inlineStr">
        <is>
          <t>This repository contains backend software components implementing core algorithms.</t>
        </is>
      </c>
      <c r="I2126" t="n">
        <v>0.0316</v>
      </c>
      <c r="J2126" t="n">
        <v>0.4706</v>
      </c>
      <c r="K2126" t="n">
        <v>0.3897</v>
      </c>
      <c r="L2126" t="inlineStr">
        <is>
          <t>This class provides an interface for emitting tuples from a Storm spout, allowing developers to specify which fields should be included in each emitted tuple. It includes methods for emitting single tuples and lists of tuples, as well as handling acknowledgments and failures.</t>
        </is>
      </c>
      <c r="M2126" t="n">
        <v>0.0051</v>
      </c>
      <c r="N2126" t="n">
        <v>0.0784</v>
      </c>
      <c r="O2126" t="n">
        <v>0.08699999999999999</v>
      </c>
    </row>
    <row r="2127">
      <c r="A2127" t="inlineStr">
        <is>
          <t>storm</t>
        </is>
      </c>
      <c r="B2127" t="inlineStr">
        <is>
          <t>storm-client/src/jvm/org/apache/storm/spout/ISchemableSpout.java</t>
        </is>
      </c>
      <c r="C2127">
        <f>HYPERLINK("https://github.com/apache/storm/blob/master/storm-client/src/jvm/org/apache/storm/spout/ISchemableSpout.java")</f>
        <v/>
      </c>
      <c r="D2127" t="inlineStr">
        <is>
          <t>The provided Java code defines an `ISchemableSpout` interface within the `org.apache.storm.spout` package. This interface specifies two methods: `getScheme()` and `setScheme()`. 
- **`getScheme()`**: This method returns the current `Scheme` object associated with the spout. A `Scheme` is likely used to define how data from the spout</t>
        </is>
      </c>
      <c r="E2127" t="n">
        <v>0.0049</v>
      </c>
      <c r="F2127" t="n">
        <v>0.0727</v>
      </c>
      <c r="G2127" t="n">
        <v>0.1282</v>
      </c>
      <c r="H2127" t="inlineStr">
        <is>
          <t>Defines an interface `ISchemableSpout` that specifies methods for retrieving and setting a schema used by spouts in Storm.</t>
        </is>
      </c>
      <c r="I2127" t="n">
        <v>0.0108</v>
      </c>
      <c r="J2127" t="n">
        <v>0.0769</v>
      </c>
      <c r="K2127" t="n">
        <v>0.1111</v>
      </c>
      <c r="L2127" t="inlineStr">
        <is>
          <t>The `ISchemableSpout` interface defines methods for retrieving and setting the schema used by a spout component in Apache Storm. It allows spouts to specify how tuples should be serialized and deserialized during emission and consumption.</t>
        </is>
      </c>
      <c r="M2127" t="n">
        <v>0.0053</v>
      </c>
      <c r="N2127" t="n">
        <v>0.0465</v>
      </c>
      <c r="O2127" t="n">
        <v>0.0935</v>
      </c>
    </row>
    <row r="2128">
      <c r="A2128" t="inlineStr">
        <is>
          <t>storm</t>
        </is>
      </c>
      <c r="B2128" t="inlineStr">
        <is>
          <t>storm-client/src/jvm/org/apache/storm/spout/MultiScheme.java</t>
        </is>
      </c>
      <c r="C2128">
        <f>HYPERLINK("https://github.com/apache/storm/blob/master/storm-client/src/jvm/org/apache/storm/spout/MultiScheme.java")</f>
        <v/>
      </c>
      <c r="D2128" t="inlineStr">
        <is>
          <t>The `MultiScheme` interface in the Apache Storm project defines a contract for schemes that can handle multiple data types when emitting tuples from spouts. It provides methods for serializing and deserializing tuples based on their fields, allowing for flexible handling of different data structures within a single tuple emission. This interface is crucial for enabling complex data processing scenarios where tuples might contain various types of data elements.</t>
        </is>
      </c>
      <c r="E2128" t="n">
        <v>0.0032</v>
      </c>
      <c r="F2128" t="n">
        <v>0.0263</v>
      </c>
      <c r="G2128" t="n">
        <v>0.07140000000000001</v>
      </c>
      <c r="H2128" t="inlineStr">
        <is>
          <t>The provided code defines an `MultiScheme` interface that represents a multi-scheme implementation in Java, which is part of the Apache Storm project. This interface is used for handling multiple schemes in storm topologies. It includes methods such as `getOutputFields()` and `deserialize()`, which are essential for deserializing tuples into fields. The complexity of implementing this interface is O(N), where N</t>
        </is>
      </c>
      <c r="I2128" t="n">
        <v>0.0037</v>
      </c>
      <c r="J2128" t="n">
        <v>0.058</v>
      </c>
      <c r="K2128" t="n">
        <v>0.1527</v>
      </c>
      <c r="L2128" t="inlineStr">
        <is>
          <t>The `MultiScheme` interface defines a contract for spouts that can emit multiple fields per tuple, allowing them to handle complex data structures efficiently. It provides methods to parse incoming byte buffers into tuples using specified field names and types. This design enhances flexibility and scalability in storm topologies where data needs to be structured differently than standard tuples.</t>
        </is>
      </c>
      <c r="M2128" t="n">
        <v>0.0037</v>
      </c>
      <c r="N2128" t="n">
        <v>0.0606</v>
      </c>
      <c r="O2128" t="n">
        <v>0.1154</v>
      </c>
    </row>
    <row r="2129">
      <c r="A2129" t="inlineStr">
        <is>
          <t>storm</t>
        </is>
      </c>
      <c r="B2129" t="inlineStr">
        <is>
          <t>storm-client/src/jvm/org/apache/storm/spout/ShellSpout.java</t>
        </is>
      </c>
      <c r="C2129">
        <f>HYPERLINK("https://github.com/apache/storm/blob/master/storm-client/src/jvm/org/apache/storm/spout/ShellSpout.java")</f>
        <v/>
      </c>
      <c r="D2129" t="inlineStr">
        <is>
          <t>The provided Java code defines a class `Spout` within the package `org.apache.storm.spout`. This class appears to be part of a Storm-based system, which is used for processing real-time data streams. Here's a concise summary of its functionality:
### Key Features:
1. **Package Declaration**: 
   - Declares that the class belongs to the `org.apache.storm.sp</t>
        </is>
      </c>
      <c r="E2129" t="n">
        <v>0.0035</v>
      </c>
      <c r="F2129" t="n">
        <v>0.0597</v>
      </c>
      <c r="G2129" t="n">
        <v>0.0806</v>
      </c>
      <c r="H2129" t="inlineStr">
        <is>
          <t>This repository contains backend software components that implement core algorithms.</t>
        </is>
      </c>
      <c r="I2129" t="n">
        <v>0.0278</v>
      </c>
      <c r="J2129" t="n">
        <v>0.4444</v>
      </c>
      <c r="K2129" t="n">
        <v>0.3849</v>
      </c>
      <c r="L2129" t="inlineStr">
        <is>
          <t>The code implements a spout class that processes data from various sources and emits tuples to a Storm topology. It uses a scheduled executor service to periodically fetch new data and emit it as tuples. The spout handles multiple input streams and maintains state using a map.</t>
        </is>
      </c>
      <c r="M2129" t="n">
        <v>0.0046</v>
      </c>
      <c r="N2129" t="n">
        <v>0.0727</v>
      </c>
      <c r="O2129" t="n">
        <v>0.1261</v>
      </c>
    </row>
    <row r="2130">
      <c r="A2130" t="inlineStr">
        <is>
          <t>storm</t>
        </is>
      </c>
      <c r="B2130" t="inlineStr">
        <is>
          <t>storm-client/src/jvm/org/apache/storm/spout/RawScheme.java</t>
        </is>
      </c>
      <c r="C2130">
        <f>HYPERLINK("https://github.com/apache/storm/blob/master/storm-client/src/jvm/org/apache/storm/spout/RawScheme.java")</f>
        <v/>
      </c>
      <c r="D2130" t="inlineStr">
        <is>
          <t>The `RawScheme` class in the Apache Storm project is designed to handle raw data from spouts without any transformation. It reads byte buffers directly into tuples using specified fields. This scheme does not perform any field splitting or type conversion, making it suitable for scenarios where the incoming data needs to be processed as-is.</t>
        </is>
      </c>
      <c r="E2130" t="n">
        <v>0.0034</v>
      </c>
      <c r="F2130" t="n">
        <v>0.0317</v>
      </c>
      <c r="G2130" t="n">
        <v>0.0794</v>
      </c>
      <c r="H2130" t="inlineStr">
        <is>
          <t>This repository contains backend software components that implement core algorithms.</t>
        </is>
      </c>
      <c r="I2130" t="n">
        <v>0.0278</v>
      </c>
      <c r="J2130" t="n">
        <v>0.4444</v>
      </c>
      <c r="K2130" t="n">
        <v>0.3849</v>
      </c>
      <c r="L2130" t="inlineStr">
        <is>
          <t>The `RawScheme` class in the Apache Storm project provides a simple scheme implementation that reads raw byte buffers from a spout and emits them as tuples without any field separation. It uses the `Fields` class to define the output schema, which defaults to no fields if none are specified. The `Utils` class is used for utility methods related to tuple creation.</t>
        </is>
      </c>
      <c r="M2130" t="n">
        <v>0.003</v>
      </c>
      <c r="N2130" t="n">
        <v>0.058</v>
      </c>
      <c r="O2130" t="n">
        <v>0.1128</v>
      </c>
    </row>
    <row r="2131">
      <c r="A2131" t="inlineStr">
        <is>
          <t>storm</t>
        </is>
      </c>
      <c r="B2131" t="inlineStr">
        <is>
          <t>storm-client/src/jvm/org/apache/storm/spout/IMultiSchemableSpout.java</t>
        </is>
      </c>
      <c r="C2131">
        <f>HYPERLINK("https://github.com/apache/storm/blob/master/storm-client/src/jvm/org/apache/storm/spout/IMultiSchemableSpout.java")</f>
        <v/>
      </c>
      <c r="D2131" t="inlineStr">
        <is>
          <t>The `IMultiSchemableSpout` interface defines methods for retrieving and setting a `MultiScheme`, which is used to handle multiple data schemas when emitting tuples from a spout. This allows the spout to emit tuples that can be deserialized using different schema definitions based on their content.</t>
        </is>
      </c>
      <c r="E2131" t="n">
        <v>0.005</v>
      </c>
      <c r="F2131" t="n">
        <v>0.0385</v>
      </c>
      <c r="G2131" t="n">
        <v>0.1293</v>
      </c>
      <c r="H2131" t="inlineStr">
        <is>
          <t>The code defines an `IMultiSchemableSpout` interface that provides methods to retrieve and set a `MultiScheme`. This interface is part of a larger system designed to handle multiple data schemas in Storm spouts.</t>
        </is>
      </c>
      <c r="I2131" t="n">
        <v>0.0069</v>
      </c>
      <c r="J2131" t="n">
        <v>0.05</v>
      </c>
      <c r="K2131" t="n">
        <v>0.1442</v>
      </c>
      <c r="L2131" t="inlineStr">
        <is>
          <t>This interface defines a contract for spouts that can emit multiple schemas of tuples. It provides methods to retrieve and set the schema used by the spout.</t>
        </is>
      </c>
      <c r="M2131" t="n">
        <v>0.0083</v>
      </c>
      <c r="N2131" t="n">
        <v>0.1143</v>
      </c>
      <c r="O2131" t="n">
        <v>0.1515</v>
      </c>
    </row>
    <row r="2132">
      <c r="A2132" t="inlineStr">
        <is>
          <t>storm</t>
        </is>
      </c>
      <c r="B2132" t="inlineStr">
        <is>
          <t>storm-client/src/jvm/org/apache/storm/spout/ISpoutOutputCollector.java</t>
        </is>
      </c>
      <c r="C2132">
        <f>HYPERLINK("https://github.com/apache/storm/blob/master/storm-client/src/jvm/org/apache/storm/spout/ISpoutOutputCollector.java")</f>
        <v/>
      </c>
      <c r="D2132" t="inlineStr">
        <is>
          <t>The provided code defines a class `Spout` within the package `org.apache.storm.spout`. It includes methods that are not designed to be thread-safe, implying each thread should maintain its own instance of this class. The README indicates that this repository contains backend software components, with complexity O(N), comments describing implementation details, initial commits, and a total size of 1000 lines</t>
        </is>
      </c>
      <c r="E2132" t="n">
        <v>0.0037</v>
      </c>
      <c r="F2132" t="n">
        <v>0.1127</v>
      </c>
      <c r="G2132" t="n">
        <v>0.1538</v>
      </c>
      <c r="H2132" t="inlineStr">
        <is>
          <t>Implements core algorithms for backend software components.</t>
        </is>
      </c>
      <c r="I2132" t="n">
        <v>0.0341</v>
      </c>
      <c r="J2132" t="n">
        <v>0.2667</v>
      </c>
      <c r="K2132" t="n">
        <v>0.3235</v>
      </c>
      <c r="L2132" t="inlineStr">
        <is>
          <t>This class provides methods for emitting tuples from a spout, handling errors, and managing task-specific state. It ensures that each thread has its own instance to avoid thread safety issues.</t>
        </is>
      </c>
      <c r="M2132" t="n">
        <v>0.0074</v>
      </c>
      <c r="N2132" t="n">
        <v>0.1026</v>
      </c>
      <c r="O2132" t="n">
        <v>0.098</v>
      </c>
    </row>
    <row r="2133">
      <c r="A2133" t="inlineStr">
        <is>
          <t>storm</t>
        </is>
      </c>
      <c r="B2133" t="inlineStr">
        <is>
          <t>storm-client/src/jvm/org/apache/storm/spout/RawMultiScheme.java</t>
        </is>
      </c>
      <c r="C2133">
        <f>HYPERLINK("https://github.com/apache/storm/blob/master/storm-client/src/jvm/org/apache/storm/spout/RawMultiScheme.java")</f>
        <v/>
      </c>
      <c r="D2133" t="inlineStr">
        <is>
          <t>The provided code is part of the Apache Storm project, specifically within the `org.apache.storm.spout` package. It appears to be implementing a spout component, which is responsible for emitting tuples into a topology. The code includes comments explaining its purpose, licensing, and complexity. The README indicates that it contains backend software components related to storm's architecture. The code size is specified as 1</t>
        </is>
      </c>
      <c r="E2133" t="n">
        <v>0.0035</v>
      </c>
      <c r="F2133" t="n">
        <v>0.0541</v>
      </c>
      <c r="G2133" t="n">
        <v>0.1493</v>
      </c>
      <c r="H2133" t="inlineStr">
        <is>
          <t>The code provides a package containing backend software components that implement core algorithms. It includes imports from various packages such as `java.nio`, `org.apache.storm.tuple`, and `org.apache.storm.utils`. The complexity is marked as O(N), indicating it involves processing lists or arrays of data.</t>
        </is>
      </c>
      <c r="I2133" t="n">
        <v>0.0061</v>
      </c>
      <c r="J2133" t="n">
        <v>0.1429</v>
      </c>
      <c r="K2133" t="n">
        <v>0.2818</v>
      </c>
      <c r="L2133" t="inlineStr">
        <is>
          <t>The provided code defines a Spout class within the Apache Storm framework, which serves as a data producer for streams of tuples. It includes methods for emitting tuples, configuring fields, and handling acknowledgments from consumers. The code uses Java's ByteBuffer for efficient tuple serialization and leverages Apache Storm utilities for utility functions.</t>
        </is>
      </c>
      <c r="M2133" t="n">
        <v>0.0035</v>
      </c>
      <c r="N2133" t="n">
        <v>0.0328</v>
      </c>
      <c r="O2133" t="n">
        <v>0.0806</v>
      </c>
    </row>
    <row r="2134">
      <c r="A2134" t="inlineStr">
        <is>
          <t>storm</t>
        </is>
      </c>
      <c r="B2134" t="inlineStr">
        <is>
          <t>storm-client/src/jvm/org/apache/storm/spout/CheckpointSpout.java</t>
        </is>
      </c>
      <c r="C2134">
        <f>HYPERLINK("https://github.com/apache/storm/blob/master/storm-client/src/jvm/org/apache/storm/spout/CheckpointSpout.java")</f>
        <v/>
      </c>
      <c r="D2134" t="inlineStr">
        <is>
          <t>The provided code is part of Apache Storm's Spout interface implementation, specifically focusing on checkpointing states. It includes methods for managing checkpoint actions such as committing changes to persistent storage. The code uses constants from `CheckPointState` to define action types and state transitions.</t>
        </is>
      </c>
      <c r="E2134" t="n">
        <v>0.0043</v>
      </c>
      <c r="F2134" t="n">
        <v>0.0769</v>
      </c>
      <c r="G2134" t="n">
        <v>0.08699999999999999</v>
      </c>
      <c r="H2134" t="inlineStr">
        <is>
          <t>The code provides a Java package containing backend software components that implement core algorithms. It includes methods for checkpointing states and managing state transitions. Complexity is high due to the implementation of multiple algorithms within the package.</t>
        </is>
      </c>
      <c r="I2134" t="n">
        <v>0.0066</v>
      </c>
      <c r="J2134" t="n">
        <v>0.1778</v>
      </c>
      <c r="K2134" t="n">
        <v>0.1835</v>
      </c>
      <c r="L2134" t="inlineStr">
        <is>
          <t>The provided code is part of the Apache Storm framework, specifically within the `org.apache.storm.spout` package. It appears to be related to handling checkpoint states in a spout component, which is crucial for maintaining data consistency during distributed processing. The code includes methods for managing checkpoint actions such as committing changes, rolling back, and checking state transitions. The complexity of the implementation is indicated as \(</t>
        </is>
      </c>
      <c r="M2134" t="n">
        <v>0.0028</v>
      </c>
      <c r="N2134" t="n">
        <v>0.0267</v>
      </c>
      <c r="O2134" t="n">
        <v>0.1095</v>
      </c>
    </row>
    <row r="2135">
      <c r="A2135" t="inlineStr">
        <is>
          <t>storm</t>
        </is>
      </c>
      <c r="B2135" t="inlineStr">
        <is>
          <t>storm-client/src/jvm/org/apache/storm/spout/SchemeAsMultiScheme.java</t>
        </is>
      </c>
      <c r="C2135">
        <f>HYPERLINK("https://github.com/apache/storm/blob/master/storm-client/src/jvm/org/apache/storm/spout/SchemeAsMultiScheme.java")</f>
        <v/>
      </c>
      <c r="D2135" t="inlineStr">
        <is>
          <t>The `SchemeAsMultiScheme` class in the Apache Storm project provides a way to handle multiple schemes within a single spout. It allows for flexibility in how tuples are emitted from the spout based on different fields or configurations. This implementation is part of the broader framework designed to process data streams efficiently in real-time environments.</t>
        </is>
      </c>
      <c r="E2135" t="n">
        <v>0.0034</v>
      </c>
      <c r="F2135" t="n">
        <v>0.0635</v>
      </c>
      <c r="G2135" t="n">
        <v>0.119</v>
      </c>
      <c r="H2135" t="inlineStr">
        <is>
          <t>This repository contains backend software components implementing core algorithms. Complexity is O(N), indicating linear time complexity. Comments describe the implementation of core algorithms. Initial codebase commit was made. Code size is 1000 lines.</t>
        </is>
      </c>
      <c r="I2135" t="n">
        <v>0.0074</v>
      </c>
      <c r="J2135" t="n">
        <v>0.1905</v>
      </c>
      <c r="K2135" t="n">
        <v>0.1905</v>
      </c>
      <c r="L2135" t="inlineStr">
        <is>
          <t>The `SchemeAsMultiScheme` class extends `MultiScheme`, implementing a custom scheme that processes tuples using multiple schemes based on their field names. It uses a list of `Fields` objects to determine which fields should be processed by each scheme, allowing for flexible tuple processing strategies within Storm's spout framework.</t>
        </is>
      </c>
      <c r="M2135" t="n">
        <v>0</v>
      </c>
      <c r="N2135" t="n">
        <v>0.0357</v>
      </c>
      <c r="O2135" t="n">
        <v>0.08400000000000001</v>
      </c>
    </row>
    <row r="2136">
      <c r="A2136" t="inlineStr">
        <is>
          <t>storm</t>
        </is>
      </c>
      <c r="B2136" t="inlineStr">
        <is>
          <t>storm-client/src/jvm/org/apache/storm/spout/Scheme.java</t>
        </is>
      </c>
      <c r="C2136">
        <f>HYPERLINK("https://github.com/apache/storm/blob/master/storm-client/src/jvm/org/apache/storm/spout/Scheme.java")</f>
        <v/>
      </c>
      <c r="D2136" t="inlineStr">
        <is>
          <t>The provided code defines an `Interface` named `Scheme`, which serves as a contract for spouts in Apache Storm. It includes methods for serializing tuples into byte buffers and deserializing them back into objects. This interface is crucial for handling data transmission between storm topologies and external systems.</t>
        </is>
      </c>
      <c r="E2136" t="n">
        <v>0.0046</v>
      </c>
      <c r="F2136" t="n">
        <v>0.0727</v>
      </c>
      <c r="G2136" t="n">
        <v>0.08400000000000001</v>
      </c>
      <c r="H2136" t="inlineStr">
        <is>
          <t>The code implements an interface `Scheme` that defines methods for serializing tuples into byte buffers and deserializing them back into objects. It includes comments explaining its purpose and usage, as well as a README file describing the project's contents and complexity. The implementation size is 1000 lines.</t>
        </is>
      </c>
      <c r="I2136" t="n">
        <v>0.0046</v>
      </c>
      <c r="J2136" t="n">
        <v>0.07140000000000001</v>
      </c>
      <c r="K2136" t="n">
        <v>0.08400000000000001</v>
      </c>
      <c r="L2136" t="inlineStr">
        <is>
          <t>The `Scheme` interface in the Apache Storm framework defines how tuples are serialized and deserialized during spout emission. It provides methods to convert between byte buffers and lists of objects, facilitating data exchange between the spout and other parts of the topology. The implementation complexity is O(N), where N represents the number of elements being processed.</t>
        </is>
      </c>
      <c r="M2136" t="n">
        <v>0.0033</v>
      </c>
      <c r="N2136" t="n">
        <v>0.0308</v>
      </c>
      <c r="O2136" t="n">
        <v>0.1172</v>
      </c>
    </row>
    <row r="2137">
      <c r="A2137" t="inlineStr">
        <is>
          <t>storm</t>
        </is>
      </c>
      <c r="B2137" t="inlineStr">
        <is>
          <t>storm-client/src/jvm/org/apache/storm/spout/ISpout.java</t>
        </is>
      </c>
      <c r="C2137">
        <f>HYPERLINK("https://github.com/apache/storm/blob/master/storm-client/src/jvm/org/apache/storm/spout/ISpout.java")</f>
        <v/>
      </c>
      <c r="D2137" t="inlineStr">
        <is>
          <t>The provided code defines an `ISpout` interface in Java, which serves as the base class for all spout implementations in Apache Storm. This interface includes methods for initializing the spout (`open`), emitting tuples from the spout (`nextTuple`), handling acknowledgment messages (`ack`), and handling failure events (`fail`). The `TopologyContext` parameter allows the spout to access topology</t>
        </is>
      </c>
      <c r="E2137" t="n">
        <v>0.004</v>
      </c>
      <c r="F2137" t="n">
        <v>0.0635</v>
      </c>
      <c r="G2137" t="n">
        <v>0.1181</v>
      </c>
      <c r="H2137" t="inlineStr">
        <is>
          <t>Implements core algorithms for backend software components.</t>
        </is>
      </c>
      <c r="I2137" t="n">
        <v>0.0341</v>
      </c>
      <c r="J2137" t="n">
        <v>0.2667</v>
      </c>
      <c r="K2137" t="n">
        <v>0.3235</v>
      </c>
      <c r="L2137" t="inlineStr">
        <is>
          <t>The `ISpout` interface in Apache Storm defines the contract for custom data sources that can emit tuples into a topology. It provides methods for initializing the spout, emitting tuples, acknowledging received tuples, and handling failures. The interface ensures that all spouts implement these essential functionalities, allowing them to be integrated seamlessly into storm topologies for processing real-time data streams.</t>
        </is>
      </c>
      <c r="M2137" t="n">
        <v>0.0031</v>
      </c>
      <c r="N2137" t="n">
        <v>0.0588</v>
      </c>
      <c r="O2137" t="n">
        <v>0.07630000000000001</v>
      </c>
    </row>
    <row r="2138">
      <c r="A2138" t="inlineStr">
        <is>
          <t>storm</t>
        </is>
      </c>
      <c r="B2138" t="inlineStr">
        <is>
          <t>storm-client/src/jvm/org/apache/storm/spout/CheckPointState.java</t>
        </is>
      </c>
      <c r="C2138">
        <f>HYPERLINK("https://github.com/apache/storm/blob/master/storm-client/src/jvm/org/apache/storm/spout/CheckPointState.java")</f>
        <v/>
      </c>
      <c r="D2138" t="inlineStr">
        <is>
          <t>The provided code is part of the Apache Storm project, specifically within the `org.apache.storm.spout` package. It includes classes related to spouts, which are responsible for emitting data into a Storm topology. The code defines constants for checkpoint states (`COMMITTED`, `COMMITTING`) and likely implements methods for managing these states during the emission process. The complexity is marked as O(N),</t>
        </is>
      </c>
      <c r="E2138" t="n">
        <v>0.0037</v>
      </c>
      <c r="F2138" t="n">
        <v>0.0286</v>
      </c>
      <c r="G2138" t="n">
        <v>0.1154</v>
      </c>
      <c r="H2138" t="inlineStr">
        <is>
          <t>This repository contains backend software components implementing core algorithms.</t>
        </is>
      </c>
      <c r="I2138" t="n">
        <v>0.0316</v>
      </c>
      <c r="J2138" t="n">
        <v>0.4706</v>
      </c>
      <c r="K2138" t="n">
        <v>0.3897</v>
      </c>
      <c r="L2138" t="inlineStr">
        <is>
          <t>The code implements a spout component in Apache Storm that handles data emission from external sources. It includes methods for emitting tuples, checkpointing state transitions, and managing acknowledgment states. The implementation uses static constants for checkpoint states and provides basic logging capabilities.</t>
        </is>
      </c>
      <c r="M2138" t="n">
        <v>0.0052</v>
      </c>
      <c r="N2138" t="n">
        <v>0.08</v>
      </c>
      <c r="O2138" t="n">
        <v>0.1316</v>
      </c>
    </row>
    <row r="2139">
      <c r="A2139" t="inlineStr">
        <is>
          <t>storm</t>
        </is>
      </c>
      <c r="B2139" t="inlineStr">
        <is>
          <t>storm-client/src/jvm/org/apache/storm/daemon/Task.java</t>
        </is>
      </c>
      <c r="C2139">
        <f>HYPERLINK("https://github.com/apache/storm/blob/master/storm-client/src/jvm/org/apache/storm/daemon/Task.java")</f>
        <v/>
      </c>
      <c r="D2139" t="inlineStr">
        <is>
          <t>The provided code is part of a Storm daemon package within the Apache project. It includes Java classes that implement core algorithms necessary for managing storm clusters. The complexity of the implementation is O(N), indicating linear time complexity relative to input size N. The code is licensed under the Apache License, Version 2.0, and is intended for internal use within the Apache Storm ecosystem. The README provides basic details</t>
        </is>
      </c>
      <c r="E2139" t="n">
        <v>0.0031</v>
      </c>
      <c r="F2139" t="n">
        <v>0.0759</v>
      </c>
      <c r="G2139" t="n">
        <v>0.1418</v>
      </c>
      <c r="H2139" t="inlineStr">
        <is>
          <t>Manages backend software components with implementations of core algorithms. Complexity is O(N).</t>
        </is>
      </c>
      <c r="I2139" t="n">
        <v>0.0203</v>
      </c>
      <c r="J2139" t="n">
        <v>0.2857</v>
      </c>
      <c r="K2139" t="n">
        <v>0.1786</v>
      </c>
      <c r="L2139" t="inlineStr">
        <is>
          <t>The provided Java code defines a class `Daemon` within the `org.apache.storm.daemon` package. It appears to be part of a Storm framework implementation, likely responsible for managing daemon processes. The class includes methods for handling tasks such as initializing configurations, processing data, and managing resources. The code uses various collections like `ArrayList`, `HashMap`, and `Collections` to store and manipulate data</t>
        </is>
      </c>
      <c r="M2139" t="n">
        <v>0.0031</v>
      </c>
      <c r="N2139" t="n">
        <v>0.0571</v>
      </c>
      <c r="O2139" t="n">
        <v>0.07630000000000001</v>
      </c>
    </row>
    <row r="2140">
      <c r="A2140" t="inlineStr">
        <is>
          <t>storm</t>
        </is>
      </c>
      <c r="B2140" t="inlineStr">
        <is>
          <t>storm-client/src/jvm/org/apache/storm/daemon/Shutdownable.java</t>
        </is>
      </c>
      <c r="C2140">
        <f>HYPERLINK("https://github.com/apache/storm/blob/master/storm-client/src/jvm/org/apache/storm/daemon/Shutdownable.java")</f>
        <v/>
      </c>
      <c r="D2140" t="inlineStr">
        <is>
          <t>The `Shutdownable` interface defines a method `shutdown()` that allows objects implementing it to perform cleanup actions before shutting down. This interface is part of a larger set of backend software components used in Apache Storm.</t>
        </is>
      </c>
      <c r="E2140" t="n">
        <v>0.0063</v>
      </c>
      <c r="F2140" t="n">
        <v>0.093</v>
      </c>
      <c r="G2140" t="n">
        <v>0.1869</v>
      </c>
      <c r="H2140" t="inlineStr">
        <is>
          <t>Provides an interface for objects that can be shut down.</t>
        </is>
      </c>
      <c r="I2140" t="n">
        <v>0</v>
      </c>
      <c r="J2140" t="n">
        <v>0</v>
      </c>
      <c r="K2140" t="n">
        <v>0</v>
      </c>
      <c r="L2140" t="inlineStr">
        <is>
          <t>The `Shutdownable` interface defines a method `shutdown()` that allows objects implementing it to perform cleanup actions before being terminated. This interface is used across various Storm daemon classes to ensure proper resource management during shutdown processes.</t>
        </is>
      </c>
      <c r="M2140" t="n">
        <v>0.0052</v>
      </c>
      <c r="N2140" t="n">
        <v>0.0455</v>
      </c>
      <c r="O2140" t="n">
        <v>0.1389</v>
      </c>
    </row>
    <row r="2141">
      <c r="A2141" t="inlineStr">
        <is>
          <t>storm</t>
        </is>
      </c>
      <c r="B2141" t="inlineStr">
        <is>
          <t>storm-client/src/jvm/org/apache/storm/daemon/Acker.java</t>
        </is>
      </c>
      <c r="C2141">
        <f>HYPERLINK("https://github.com/apache/storm/blob/master/storm-client/src/jvm/org/apache/storm/daemon/Acker.java")</f>
        <v/>
      </c>
      <c r="D2141" t="inlineStr">
        <is>
          <t>The provided code is part of a Storm daemon implementation within the Apache Storm project. It defines a class that implements the `IBolt` interface, which is used to process tuples in a Storm topology. The class processes incoming tuples based on certain conditions and outputs them using an `OutputCollector`. The complexity of the algorithm is O(N), where N represents the number of tuples processed. The comments indicate that</t>
        </is>
      </c>
      <c r="E2141" t="n">
        <v>0.0032</v>
      </c>
      <c r="F2141" t="n">
        <v>0.0519</v>
      </c>
      <c r="G2141" t="n">
        <v>0.1071</v>
      </c>
      <c r="H2141" t="inlineStr">
        <is>
          <t>This repository contains backend software components that implement core algorithms.</t>
        </is>
      </c>
      <c r="I2141" t="n">
        <v>0.0278</v>
      </c>
      <c r="J2141" t="n">
        <v>0.4444</v>
      </c>
      <c r="K2141" t="n">
        <v>0.3849</v>
      </c>
      <c r="L2141" t="inlineStr">
        <is>
          <t>The provided code implements a Bolt component within the Storm framework, responsible for processing tuples from input streams. It processes messages based on their type and emits them to output streams according to predefined rules. The implementation uses Java and leverages the Storm API to interact with topologies and manage task execution.</t>
        </is>
      </c>
      <c r="M2141" t="n">
        <v>0.0042</v>
      </c>
      <c r="N2141" t="n">
        <v>0.0667</v>
      </c>
      <c r="O2141" t="n">
        <v>0.121</v>
      </c>
    </row>
    <row r="2142">
      <c r="A2142" t="inlineStr">
        <is>
          <t>storm</t>
        </is>
      </c>
      <c r="B2142" t="inlineStr">
        <is>
          <t>storm-client/src/jvm/org/apache/storm/daemon/DaemonCommon.java</t>
        </is>
      </c>
      <c r="C2142">
        <f>HYPERLINK("https://github.com/apache/storm/blob/master/storm-client/src/jvm/org/apache/storm/daemon/DaemonCommon.java")</f>
        <v/>
      </c>
      <c r="D2142" t="inlineStr">
        <is>
          <t>The `DaemonCommon` interface defines a method `isWaiting()` that returns a boolean indicating whether the daemon is currently waiting. This method is part of the backend software components repository and has a complexity of O(1).</t>
        </is>
      </c>
      <c r="E2142" t="n">
        <v>0.0072</v>
      </c>
      <c r="F2142" t="n">
        <v>0.1395</v>
      </c>
      <c r="G2142" t="n">
        <v>0.1887</v>
      </c>
      <c r="H2142" t="inlineStr">
        <is>
          <t>Provides a common interface for daemon processes that checks if they are waiting.</t>
        </is>
      </c>
      <c r="I2142" t="n">
        <v>0</v>
      </c>
      <c r="J2142" t="n">
        <v>0</v>
      </c>
      <c r="K2142" t="n">
        <v>0</v>
      </c>
      <c r="L2142" t="inlineStr">
        <is>
          <t>The `DaemonCommon` interface defines a method `isWaiting()` that checks if a daemon process is currently waiting for resources or tasks.</t>
        </is>
      </c>
      <c r="M2142" t="n">
        <v>0</v>
      </c>
      <c r="N2142" t="n">
        <v>0</v>
      </c>
      <c r="O2142" t="n">
        <v>0</v>
      </c>
    </row>
    <row r="2143">
      <c r="A2143" t="inlineStr">
        <is>
          <t>storm</t>
        </is>
      </c>
      <c r="B2143" t="inlineStr">
        <is>
          <t>storm-client/src/jvm/org/apache/storm/daemon/GrouperFactory.java</t>
        </is>
      </c>
      <c r="C2143">
        <f>HYPERLINK("https://github.com/apache/storm/blob/master/storm-client/src/jvm/org/apache/storm/daemon/GrouperFactory.java")</f>
        <v/>
      </c>
      <c r="D2143" t="inlineStr">
        <is>
          <t>The provided Java code defines a class within the `org.apache.storm.daemon` package that implements core algorithms using a list data structure. It includes methods for managing lists, such as adding elements, removing elements, and sorting them. The complexity of these operations is O(N), where N is the number of elements in the list. The code uses basic Java collections like ArrayList and Collections.sort() to</t>
        </is>
      </c>
      <c r="E2143" t="n">
        <v>0.0068</v>
      </c>
      <c r="F2143" t="n">
        <v>0.0789</v>
      </c>
      <c r="G2143" t="n">
        <v>0.2338</v>
      </c>
      <c r="H2143" t="inlineStr">
        <is>
          <t>Manages backend software components implementing core algorithms.</t>
        </is>
      </c>
      <c r="I2143" t="n">
        <v>0.0341</v>
      </c>
      <c r="J2143" t="n">
        <v>0.4</v>
      </c>
      <c r="K2143" t="n">
        <v>0.3235</v>
      </c>
      <c r="L2143" t="inlineStr">
        <is>
          <t>The code implements a component responsible for managing tasks within a Storm cluster. It processes incoming task assignments, assigns them randomly among available worker nodes, and handles any necessary cleanup when tasks complete. The implementation uses Java's `ArrayList`, `Collections`, and `Random` classes, adhering to a complexity of O(N).</t>
        </is>
      </c>
      <c r="M2143" t="n">
        <v>0.0045</v>
      </c>
      <c r="N2143" t="n">
        <v>0.06900000000000001</v>
      </c>
      <c r="O2143" t="n">
        <v>0.125</v>
      </c>
    </row>
    <row r="2144">
      <c r="A2144" t="inlineStr">
        <is>
          <t>storm</t>
        </is>
      </c>
      <c r="B2144" t="inlineStr">
        <is>
          <t>storm-client/src/jvm/org/apache/storm/daemon/StormCommon.java</t>
        </is>
      </c>
      <c r="C2144">
        <f>HYPERLINK("https://github.com/apache/storm/blob/master/storm-client/src/jvm/org/apache/storm/daemon/StormCommon.java")</f>
        <v/>
      </c>
      <c r="D2144" t="inlineStr">
        <is>
          <t>The provided code appears to be part of a Storm daemon implementation within the Apache project. It includes various classes and methods that likely handle data processing, task scheduling, and other essential functionalities related to storm's operation. The complexity level is O(N), indicating it involves operations proportional to the size of input data. The comments suggest that the implementation focuses on core algorithms necessary for storm's functioning. The code base</t>
        </is>
      </c>
      <c r="E2144" t="n">
        <v>0.0031</v>
      </c>
      <c r="F2144" t="n">
        <v>0.0741</v>
      </c>
      <c r="G2144" t="n">
        <v>0.1408</v>
      </c>
      <c r="H2144" t="inlineStr">
        <is>
          <t>Manages backend software components using Java. Complexity is O(N), focusing on implementing core algorithms. Contains initial codebase commits. Code size is 1000 lines.</t>
        </is>
      </c>
      <c r="I2144" t="n">
        <v>0.0098</v>
      </c>
      <c r="J2144" t="n">
        <v>0.1875</v>
      </c>
      <c r="K2144" t="n">
        <v>0.3322</v>
      </c>
      <c r="L2144" t="inlineStr">
        <is>
          <t>The code implements a set of utility functions within the `org.apache.storm.daemon` package, primarily focused on handling data processing tasks such as parsing configurations, managing state storage, and performing basic string manipulations. It includes methods for converting lists to arrays, creating hash maps from lists, and implementing simple data validation checks. The code is designed to be efficient and easy to understand, leveraging Java's</t>
        </is>
      </c>
      <c r="M2144" t="n">
        <v>0.0034</v>
      </c>
      <c r="N2144" t="n">
        <v>0.08</v>
      </c>
      <c r="O2144" t="n">
        <v>0.1111</v>
      </c>
    </row>
    <row r="2145">
      <c r="A2145" t="inlineStr">
        <is>
          <t>storm</t>
        </is>
      </c>
      <c r="B2145" t="inlineStr">
        <is>
          <t>storm-client/src/jvm/org/apache/storm/daemon/supervisor/IAdvancedFSOps.java</t>
        </is>
      </c>
      <c r="C2145">
        <f>HYPERLINK("https://github.com/apache/storm/blob/master/storm-client/src/jvm/org/apache/storm/daemon/supervisor/IAdvancedFSOps.java")</f>
        <v/>
      </c>
      <c r="D2145" t="inlineStr">
        <is>
          <t>The provided Java code defines a class within the `org.apache.storm.daemon.supervisor` package that handles directory operations. It includes methods for listing files in a directory and writing data to them using streams. The complexity of these operations is O(N), where N is the number of files in the directory. The comments indicate that the implementation involves core algorithms related to directory management and file I/O.</t>
        </is>
      </c>
      <c r="E2145" t="n">
        <v>0.0034</v>
      </c>
      <c r="F2145" t="n">
        <v>0.0769</v>
      </c>
      <c r="G2145" t="n">
        <v>0.1471</v>
      </c>
      <c r="H2145" t="inlineStr">
        <is>
          <t>Manages backend software components. Complexity is O(N), focusing on implementing core algorithms. Initial codebase commit. Total size is 1000 lines.</t>
        </is>
      </c>
      <c r="I2145" t="n">
        <v>0.0115</v>
      </c>
      <c r="J2145" t="n">
        <v>0.2069</v>
      </c>
      <c r="K2145" t="n">
        <v>0.2778</v>
      </c>
      <c r="L2145" t="inlineStr">
        <is>
          <t>The code implements a supervisor component for Apache Storm, responsible for managing worker processes and handling resource allocation. It includes methods for starting, stopping, and monitoring workers, as well as managing log files and configuration settings. The implementation uses Java's NIO package for directory stream access and handles I/O operations efficiently.</t>
        </is>
      </c>
      <c r="M2145" t="n">
        <v>0.0043</v>
      </c>
      <c r="N2145" t="n">
        <v>0.06560000000000001</v>
      </c>
      <c r="O2145" t="n">
        <v>0.122</v>
      </c>
    </row>
    <row r="2146">
      <c r="A2146" t="inlineStr">
        <is>
          <t>storm</t>
        </is>
      </c>
      <c r="B2146" t="inlineStr">
        <is>
          <t>storm-client/src/jvm/org/apache/storm/daemon/supervisor/ExitCodeCallback.java</t>
        </is>
      </c>
      <c r="C2146">
        <f>HYPERLINK("https://github.com/apache/storm/blob/master/storm-client/src/jvm/org/apache/storm/daemon/supervisor/ExitCodeCallback.java")</f>
        <v/>
      </c>
      <c r="D2146" t="inlineStr">
        <is>
          <t>The provided code defines an `ExitCodeCallback` interface in Java, which includes a method `processFinished(int exitCode)` that takes an integer parameter representing the exit status of a process. This interface is used to handle the completion of processes within a supervisor system, allowing callbacks to be executed based on the exit codes returned from subprocesses.</t>
        </is>
      </c>
      <c r="E2146" t="n">
        <v>0.0034</v>
      </c>
      <c r="F2146" t="n">
        <v>0.0317</v>
      </c>
      <c r="G2146" t="n">
        <v>0.0794</v>
      </c>
      <c r="H2146" t="inlineStr">
        <is>
          <t>The code defines an `ExitCodeCallback` interface with a method `processFinished`, which takes an integer parameter representing the exit code of a process. This interface is used to handle the completion of processes within the Storm supervisor daemon.</t>
        </is>
      </c>
      <c r="I2146" t="n">
        <v>0.005</v>
      </c>
      <c r="J2146" t="n">
        <v>0.0444</v>
      </c>
      <c r="K2146" t="n">
        <v>0.0917</v>
      </c>
      <c r="L2146" t="inlineStr">
        <is>
          <t>The `ExitCodeCallback` interface defines a method `processFinished(int exitCode)` which allows external systems to be notified when a process has completed execution, providing the exit code as feedback.</t>
        </is>
      </c>
      <c r="M2146" t="n">
        <v>0</v>
      </c>
      <c r="N2146" t="n">
        <v>0</v>
      </c>
      <c r="O2146" t="n">
        <v>0</v>
      </c>
    </row>
    <row r="2147">
      <c r="A2147" t="inlineStr">
        <is>
          <t>storm</t>
        </is>
      </c>
      <c r="B2147" t="inlineStr">
        <is>
          <t>storm-client/src/jvm/org/apache/storm/daemon/supervisor/AdvancedFSOps.java</t>
        </is>
      </c>
      <c r="C2147">
        <f>HYPERLINK("https://github.com/apache/storm/blob/master/storm-client/src/jvm/org/apache/storm/daemon/supervisor/AdvancedFSOps.java")</f>
        <v/>
      </c>
      <c r="D2147" t="inlineStr">
        <is>
          <t>The provided Java code snippet defines a class within the `org.apache.storm.daemon.supervisor` package that handles file operations such as creating directories and writing data to files. It includes methods for checking if a directory exists, creating it if necessary, and writing text content to a specified file. The code uses basic I/O operations like `FileOutputStream`, `FileWriter`, and `IOException`.</t>
        </is>
      </c>
      <c r="E2147" t="n">
        <v>0.0032</v>
      </c>
      <c r="F2147" t="n">
        <v>0.0286</v>
      </c>
      <c r="G2147" t="n">
        <v>0.0775</v>
      </c>
      <c r="H2147" t="inlineStr">
        <is>
          <t>Manages backend software components using Java files. Complexity is O(N), indicating linear time complexity based on input size N. Comments describe implementation details and core algorithms. Initial codebase commit. Total code size is 1000 lines.</t>
        </is>
      </c>
      <c r="I2147" t="n">
        <v>0.007</v>
      </c>
      <c r="J2147" t="n">
        <v>0.1364</v>
      </c>
      <c r="K2147" t="n">
        <v>0.2336</v>
      </c>
      <c r="L2147" t="inlineStr">
        <is>
          <t>The provided code implements a method to write logs to files within the Storm supervisor directory structure. It handles various file operations such as creating directories, opening files for writing, appending data, and closing streams. The function takes log messages and their corresponding timestamps as input and writes them to specified log files based on the topology name and worker ID. The implementation ensures that each log message is written atomically to prevent</t>
        </is>
      </c>
      <c r="M2147" t="n">
        <v>0.003</v>
      </c>
      <c r="N2147" t="n">
        <v>0.0741</v>
      </c>
      <c r="O2147" t="n">
        <v>0.1034</v>
      </c>
    </row>
    <row r="2148">
      <c r="A2148" t="inlineStr">
        <is>
          <t>storm</t>
        </is>
      </c>
      <c r="B2148" t="inlineStr">
        <is>
          <t>storm-client/src/jvm/org/apache/storm/daemon/supervisor/ClientSupervisorUtils.java</t>
        </is>
      </c>
      <c r="C2148">
        <f>HYPERLINK("https://github.com/apache/storm/blob/master/storm-client/src/jvm/org/apache/storm/daemon/supervisor/ClientSupervisorUtils.java")</f>
        <v/>
      </c>
      <c r="D2148" t="inlineStr">
        <is>
          <t>The provided Java code defines a class `Supervisor` within the `org.apache.storm.daemon.supervisor` package. It includes methods for managing supervisor processes and metrics related to task execution. Key functionalities include:
1. **Task Management**: Methods for starting, stopping, and monitoring tasks.
2. **Metrics Collection**: Use of the Codahale Metrics library to track various performance metrics such as</t>
        </is>
      </c>
      <c r="E2148" t="n">
        <v>0.0034</v>
      </c>
      <c r="F2148" t="n">
        <v>0.0606</v>
      </c>
      <c r="G2148" t="n">
        <v>0.0794</v>
      </c>
      <c r="H2148" t="inlineStr">
        <is>
          <t>This repository contains backend software components that implement core algorithms.</t>
        </is>
      </c>
      <c r="I2148" t="n">
        <v>0.0278</v>
      </c>
      <c r="J2148" t="n">
        <v>0.4444</v>
      </c>
      <c r="K2148" t="n">
        <v>0.3849</v>
      </c>
      <c r="L2148" t="inlineStr">
        <is>
          <t>The code implements a supervisor component for Apache Storm, which manages worker processes and metrics collection. It includes methods for managing files, tracking task execution times, and reporting metrics using the Codahale Metrics library. The implementation complexity is O(N), where N represents the number of tasks being managed.</t>
        </is>
      </c>
      <c r="M2148" t="n">
        <v>0.0045</v>
      </c>
      <c r="N2148" t="n">
        <v>0.0702</v>
      </c>
      <c r="O2148" t="n">
        <v>0.125</v>
      </c>
    </row>
    <row r="2149">
      <c r="A2149" t="inlineStr">
        <is>
          <t>storm</t>
        </is>
      </c>
      <c r="B2149" t="inlineStr">
        <is>
          <t>storm-client/src/jvm/org/apache/storm/daemon/common/FileWatcher.java</t>
        </is>
      </c>
      <c r="C2149">
        <f>HYPERLINK("https://github.com/apache/storm/blob/master/storm-client/src/jvm/org/apache/storm/daemon/common/FileWatcher.java")</f>
        <v/>
      </c>
      <c r="D2149" t="inlineStr">
        <is>
          <t>The provided code defines a utility class within the `org.apache.storm.daemon.common` package that listens for modifications to files in a specified directory using Java's NIO library. It uses the `StandardWatchEventKinds.ENTRY_MODIFY` event to detect changes such as file creation, deletion, or modification. The implementation is designed to be efficient, with a time complexity of O(N),</t>
        </is>
      </c>
      <c r="E2149" t="n">
        <v>0</v>
      </c>
      <c r="F2149" t="n">
        <v>0.029</v>
      </c>
      <c r="G2149" t="n">
        <v>0.08</v>
      </c>
      <c r="H2149" t="inlineStr">
        <is>
          <t>Manages backend software components with implementation of core algorithms. Complexity is O(N).</t>
        </is>
      </c>
      <c r="I2149" t="n">
        <v>0.0203</v>
      </c>
      <c r="J2149" t="n">
        <v>0.2857</v>
      </c>
      <c r="K2149" t="n">
        <v>0.1786</v>
      </c>
      <c r="L2149" t="inlineStr">
        <is>
          <t>This Java class provides common utility methods for handling file system events using NIO's WatchService API. It listens for modifications to specified directories and triggers corresponding actions based on these changes. The implementation includes basic logging and error handling mechanisms.</t>
        </is>
      </c>
      <c r="M2149" t="n">
        <v>0.0055</v>
      </c>
      <c r="N2149" t="n">
        <v>0.1224</v>
      </c>
      <c r="O2149" t="n">
        <v>0.1786</v>
      </c>
    </row>
    <row r="2150">
      <c r="A2150" t="inlineStr">
        <is>
          <t>storm</t>
        </is>
      </c>
      <c r="B2150" t="inlineStr">
        <is>
          <t>storm-client/src/jvm/org/apache/storm/daemon/metrics/BuiltinMetricsUtil.java</t>
        </is>
      </c>
      <c r="C2150">
        <f>HYPERLINK("https://github.com/apache/storm/blob/master/storm-client/src/jvm/org/apache/storm/daemon/metrics/BuiltinMetricsUtil.java")</f>
        <v/>
      </c>
      <c r="D2150" t="inlineStr">
        <is>
          <t>The provided Java code defines a class `Metrics` within the package `org.apache.storm.daemon.metrics`. This class implements interfaces from the Storm framework's metric API, specifically `IMetric` and `IStatefulObject`. It appears to be designed to handle metrics related to storm daemons, possibly tracking various performance indicators such as task execution times, resource usage, or other relevant metrics. The</t>
        </is>
      </c>
      <c r="E2150" t="n">
        <v>0.0044</v>
      </c>
      <c r="F2150" t="n">
        <v>0.0882</v>
      </c>
      <c r="G2150" t="n">
        <v>0.1181</v>
      </c>
      <c r="H2150" t="inlineStr">
        <is>
          <t>This repository contains backend software components implementing core algorithms. Complexity is O(N), indicating linear time complexity, which means performance increases proportionally with input size. Comments describe the implementation details, while commits document the initial creation of the codebase. Code size is 1000 lines, reflecting its comprehensive nature.</t>
        </is>
      </c>
      <c r="I2150" t="n">
        <v>0.0051</v>
      </c>
      <c r="J2150" t="n">
        <v>0.1429</v>
      </c>
      <c r="K2150" t="n">
        <v>0.1681</v>
      </c>
      <c r="L2150" t="inlineStr">
        <is>
          <t>The code implements a metrics system within Apache Storm, specifically focusing on stateful objects that track various metrics such as task execution times and resource utilization across different topologies. It uses Java's `IMetric` interface to define metric types and provides methods for updating these metrics based on data received from tasks. The implementation includes handling of configuration settings and ensures efficient tracking of metrics over time.</t>
        </is>
      </c>
      <c r="M2150" t="n">
        <v>0.0033</v>
      </c>
      <c r="N2150" t="n">
        <v>0.0533</v>
      </c>
      <c r="O2150" t="n">
        <v>0.1087</v>
      </c>
    </row>
    <row r="2151">
      <c r="A2151" t="inlineStr">
        <is>
          <t>storm</t>
        </is>
      </c>
      <c r="B2151" t="inlineStr">
        <is>
          <t>storm-client/src/jvm/org/apache/storm/daemon/metrics/ClientMetricsUtils.java</t>
        </is>
      </c>
      <c r="C2151">
        <f>HYPERLINK("https://github.com/apache/storm/blob/master/storm-client/src/jvm/org/apache/storm/daemon/metrics/ClientMetricsUtils.java")</f>
        <v/>
      </c>
      <c r="D2151" t="inlineStr">
        <is>
          <t>The code appears to be part of a Storm project that implements metrics collection and reporting functionalities. It includes classes such as `MetricsCollector` which likely handles the gathering and processing of various performance metrics from a Storm cluster. The comments indicate it's licensed under the Apache License, Version 2.0, and mentions handling contributor license agreements. The complexity level is O(N), suggesting linear time complexity operations,</t>
        </is>
      </c>
      <c r="E2151" t="n">
        <v>0.0033</v>
      </c>
      <c r="F2151" t="n">
        <v>0.0789</v>
      </c>
      <c r="G2151" t="n">
        <v>0.1095</v>
      </c>
      <c r="H2151" t="inlineStr">
        <is>
          <t>This repository contains backend software components that implement core algorithms. Complexity is O(N), indicating linear time complexity relative to input size. Comments describe the implementation of these algorithms. Initial codebase commit was made. Code size is 1000 lines.</t>
        </is>
      </c>
      <c r="I2151" t="n">
        <v>0.0064</v>
      </c>
      <c r="J2151" t="n">
        <v>0.1702</v>
      </c>
      <c r="K2151" t="n">
        <v>0.1818</v>
      </c>
      <c r="L2151" t="inlineStr">
        <is>
          <t>This class implements metrics collection for Storm daemons, using Java's `java.util.concurrent.TimeUnit` for time units and `org.apache.storm.Config` for configuration settings. It processes metrics data from various sources and formats them according to specified locale conventions. The implementation includes methods for reading configurations, handling different time units, and formatting metric values.</t>
        </is>
      </c>
      <c r="M2151" t="n">
        <v>0.0049</v>
      </c>
      <c r="N2151" t="n">
        <v>0.09379999999999999</v>
      </c>
      <c r="O2151" t="n">
        <v>0.1653</v>
      </c>
    </row>
    <row r="2152">
      <c r="A2152" t="inlineStr">
        <is>
          <t>storm</t>
        </is>
      </c>
      <c r="B2152" t="inlineStr">
        <is>
          <t>storm-client/src/jvm/org/apache/storm/daemon/worker/WorkerState.java</t>
        </is>
      </c>
      <c r="C2152">
        <f>HYPERLINK("https://github.com/apache/storm/blob/master/storm-client/src/jvm/org/apache/storm/daemon/worker/WorkerState.java")</f>
        <v/>
      </c>
      <c r="D2152" t="inlineStr">
        <is>
          <t>The provided Java code defines a class within the `org.apache.storm.daemon.worker` package that implements core algorithms for processing data in a Storm worker environment. It includes methods for handling byte buffers, collections, and hash maps, as well as comments indicating its implementation complexity and purpose. The code size is approximately 1000 lines, and it is part of a larger repository containing backend software</t>
        </is>
      </c>
      <c r="E2152" t="n">
        <v>0.0074</v>
      </c>
      <c r="F2152" t="n">
        <v>0.08110000000000001</v>
      </c>
      <c r="G2152" t="n">
        <v>0.2776</v>
      </c>
      <c r="H2152" t="inlineStr">
        <is>
          <t>Manages backend software components implementing core algorithms. Complexity is O(N).</t>
        </is>
      </c>
      <c r="I2152" t="n">
        <v>0.0251</v>
      </c>
      <c r="J2152" t="n">
        <v>0.3158</v>
      </c>
      <c r="K2152" t="n">
        <v>0.3117</v>
      </c>
      <c r="L2152" t="inlineStr">
        <is>
          <t>The provided Java code defines a class `Worker` within the `org.apache.storm.daemon.worker` package. It appears to be part of a Storm framework implementation, likely responsible for managing worker processes in a distributed computing environment. The class handles various aspects such as input/output operations, message processing, and data management. Key functionalities include reading from and writing to byte buffers, managing collections, and handling</t>
        </is>
      </c>
      <c r="M2152" t="n">
        <v>0.003</v>
      </c>
      <c r="N2152" t="n">
        <v>0.08110000000000001</v>
      </c>
      <c r="O2152" t="n">
        <v>0.0752</v>
      </c>
    </row>
    <row r="2153">
      <c r="A2153" t="inlineStr">
        <is>
          <t>storm</t>
        </is>
      </c>
      <c r="B2153" t="inlineStr">
        <is>
          <t>storm-client/src/jvm/org/apache/storm/daemon/worker/LogConfigManager.java</t>
        </is>
      </c>
      <c r="C2153">
        <f>HYPERLINK("https://github.com/apache/storm/blob/master/storm-client/src/jvm/org/apache/storm/daemon/worker/LogConfigManager.java")</f>
        <v/>
      </c>
      <c r="D2153" t="inlineStr">
        <is>
          <t>The code implements core algorithms for processing data within a Storm worker process. It uses Java's `HashMap`, `TreeMap`, and `TreeSet` classes to manage data structures efficiently. The complexity of the implementation is O(N), indicating linear time operations based on input size N. The comments provide context about the Apache Storm framework and its licensing terms.</t>
        </is>
      </c>
      <c r="E2153" t="n">
        <v>0.0078</v>
      </c>
      <c r="F2153" t="n">
        <v>0.09229999999999999</v>
      </c>
      <c r="G2153" t="n">
        <v>0.2485</v>
      </c>
      <c r="H2153" t="inlineStr">
        <is>
          <t>This repository contains backend software components that implement core algorithms. Complexity is O(N), indicating linear time complexity. Comments describe the implementation details. Initial codebase commit was made. Code size is 1000 lines.</t>
        </is>
      </c>
      <c r="I2153" t="n">
        <v>0.0077</v>
      </c>
      <c r="J2153" t="n">
        <v>0.1951</v>
      </c>
      <c r="K2153" t="n">
        <v>0.1923</v>
      </c>
      <c r="L2153" t="inlineStr">
        <is>
          <t>The provided Java code defines a class `Worker` within the `org.apache.storm.daemon.worker` package. It appears to be part of a Storm framework implementation where workers manage tasks and data processing. The class uses various collections such as `HashMap`, `TreeMap`, and `TreeSet` to store and organize task-related data efficiently. Additionally, it utilizes atomic references (`AtomicReference`) for</t>
        </is>
      </c>
      <c r="M2153" t="n">
        <v>0.0034</v>
      </c>
      <c r="N2153" t="n">
        <v>0.0597</v>
      </c>
      <c r="O2153" t="n">
        <v>0.119</v>
      </c>
    </row>
    <row r="2154">
      <c r="A2154" t="inlineStr">
        <is>
          <t>storm</t>
        </is>
      </c>
      <c r="B2154" t="inlineStr">
        <is>
          <t>storm-client/src/jvm/org/apache/storm/daemon/worker/BackPressureTracker.java</t>
        </is>
      </c>
      <c r="C2154">
        <f>HYPERLINK("https://github.com/apache/storm/blob/master/storm-client/src/jvm/org/apache/storm/daemon/worker/BackPressureTracker.java")</f>
        <v/>
      </c>
      <c r="D2154" t="inlineStr">
        <is>
          <t>The provided code is part of the Storm framework, specifically within the worker component. It includes metrics tracking using the Coda Hale Metrics library, which measures various aspects of the worker's performance such as task execution times and memory usage. The code uses atomic integers to maintain counters for different metrics like total tasks executed, successful executions, and failed attempts. This setup helps in monitoring and analyzing the behavior of the</t>
        </is>
      </c>
      <c r="E2154" t="n">
        <v>0.003</v>
      </c>
      <c r="F2154" t="n">
        <v>0.05</v>
      </c>
      <c r="G2154" t="n">
        <v>0.1049</v>
      </c>
      <c r="H2154" t="inlineStr">
        <is>
          <t>This repository contains backend software components that implement core algorithms using Java. It includes classes such as `Gauge` from the Codahale Metrics library, which provides metrics tracking capabilities. The complexity of the implementation is O(N), indicating linear time complexity. The repository was initialized with a single commit containing the initial codebase.</t>
        </is>
      </c>
      <c r="I2154" t="n">
        <v>0.0047</v>
      </c>
      <c r="J2154" t="n">
        <v>0.1333</v>
      </c>
      <c r="K2154" t="n">
        <v>0.2033</v>
      </c>
      <c r="L2154" t="inlineStr">
        <is>
          <t>This Java class from the Apache Storm framework implements worker metrics collection and reporting. It uses Codahale Metrics library to track various aspects of the worker's performance such as task execution times, memory usage, and other relevant statistics. The class maintains a list of gauges that represent these metrics and updates them periodically during the worker's operation. The implementation includes methods to register and unregister metrics, which helps in</t>
        </is>
      </c>
      <c r="M2154" t="n">
        <v>0.0035</v>
      </c>
      <c r="N2154" t="n">
        <v>0.0759</v>
      </c>
      <c r="O2154" t="n">
        <v>0.1418</v>
      </c>
    </row>
    <row r="2155">
      <c r="A2155" t="inlineStr">
        <is>
          <t>storm</t>
        </is>
      </c>
      <c r="B2155" t="inlineStr">
        <is>
          <t>storm-client/src/jvm/org/apache/storm/daemon/worker/Worker.java</t>
        </is>
      </c>
      <c r="C2155">
        <f>HYPERLINK("https://github.com/apache/storm/blob/master/storm-client/src/jvm/org/apache/storm/daemon/worker/Worker.java")</f>
        <v/>
      </c>
      <c r="D2155" t="inlineStr">
        <is>
          <t>The provided Java code defines a class `WorkerMetricsRegistry` within the `org.apache.storm.daemon.worker` package. This class uses the Codahale Metrics library to manage metrics related to worker operations in Apache Storm. It includes a method to register meters for various metrics such as task execution times and failures. The code is part of a larger system designed to monitor and analyze storm cluster performance.</t>
        </is>
      </c>
      <c r="E2155" t="n">
        <v>0.0035</v>
      </c>
      <c r="F2155" t="n">
        <v>0.0541</v>
      </c>
      <c r="G2155" t="n">
        <v>0.1119</v>
      </c>
      <c r="H2155" t="inlineStr">
        <is>
          <t>The code provides implementation of core algorithms within the Apache Storm framework's worker component. It includes metrics tracking using Codahale Metrics library and handles various aspects of storm worker operations. Complexity is high due to extensive algorithmic logic and integration with multiple components.</t>
        </is>
      </c>
      <c r="I2155" t="n">
        <v>0.0051</v>
      </c>
      <c r="J2155" t="n">
        <v>0.1538</v>
      </c>
      <c r="K2155" t="n">
        <v>0.1739</v>
      </c>
      <c r="L2155" t="inlineStr">
        <is>
          <t>The provided code implements core algorithms within the Storm worker daemon package, focusing on metrics collection and management using Codahale's Metrics library. It initializes a shared metric registry for worker metrics and provides a meter for tracking events related to worker metrics.</t>
        </is>
      </c>
      <c r="M2155" t="n">
        <v>0.0103</v>
      </c>
      <c r="N2155" t="n">
        <v>0.1176</v>
      </c>
      <c r="O2155" t="n">
        <v>0.2769</v>
      </c>
    </row>
    <row r="2156">
      <c r="A2156" t="inlineStr">
        <is>
          <t>storm</t>
        </is>
      </c>
      <c r="B2156" t="inlineStr">
        <is>
          <t>storm-client/src/jvm/org/apache/storm/daemon/worker/WorkerTransfer.java</t>
        </is>
      </c>
      <c r="C2156">
        <f>HYPERLINK("https://github.com/apache/storm/blob/master/storm-client/src/jvm/org/apache/storm/daemon/worker/WorkerTransfer.java")</f>
        <v/>
      </c>
      <c r="D2156" t="inlineStr">
        <is>
          <t>The provided Java code defines a class `Worker` within the `org.apache.storm.daemon.worker` package. It appears to be part of a Storm framework implementation, likely responsible for managing worker processes in a distributed computing environment. The class includes fields such as atomic boolean flags (`isRunning`, `hasError`) and a queue (`taskQueue`). The complexity of the code is O(N), indicating</t>
        </is>
      </c>
      <c r="E2156" t="n">
        <v>0.0033</v>
      </c>
      <c r="F2156" t="n">
        <v>0.058</v>
      </c>
      <c r="G2156" t="n">
        <v>0.0781</v>
      </c>
      <c r="H2156" t="inlineStr">
        <is>
          <t>This repository contains backend software components implementing core algorithms. Complexity is O(N), indicating linear time complexity. Comments describe the implementation of these algorithms. Initial codebase commit was made. Code size is 1000 lines.</t>
        </is>
      </c>
      <c r="I2156" t="n">
        <v>0.0074</v>
      </c>
      <c r="J2156" t="n">
        <v>0.1905</v>
      </c>
      <c r="K2156" t="n">
        <v>0.1905</v>
      </c>
      <c r="L2156" t="inlineStr">
        <is>
          <t>The provided Java code defines a class `Worker` within the `org.apache.storm.daemon.worker` package. It manages worker threads responsible for processing tasks assigned to them from a queue. The class uses atomic boolean flags to track whether the worker has been initialized and if it should continue running. It includes methods for adding tasks to the task queue, checking if there are any pending tasks, and stopping</t>
        </is>
      </c>
      <c r="M2156" t="n">
        <v>0.0028</v>
      </c>
      <c r="N2156" t="n">
        <v>0.026</v>
      </c>
      <c r="O2156" t="n">
        <v>0.073</v>
      </c>
    </row>
    <row r="2157">
      <c r="A2157" t="inlineStr">
        <is>
          <t>storm</t>
        </is>
      </c>
      <c r="B2157" t="inlineStr">
        <is>
          <t>storm-client/src/jvm/org/apache/storm/serialization/ThriftSerializationDelegate.java</t>
        </is>
      </c>
      <c r="C2157">
        <f>HYPERLINK("https://github.com/apache/storm/blob/master/storm-client/src/jvm/org/apache/storm/serialization/ThriftSerializationDelegate.java")</f>
        <v/>
      </c>
      <c r="D2157" t="inlineStr">
        <is>
          <t>The provided Java code defines a class `TSerializer` within the package `org.apache.storm.serialization`. This class is designed to serialize Thrift objects into byte arrays using the TDeserializer from the Apache Storm library. It takes a Thrift object as input and returns its serialized form as a byte array. The method `serialize` performs the serialization process by utilizing the `deserialize` method of the T</t>
        </is>
      </c>
      <c r="E2157" t="n">
        <v>0.0035</v>
      </c>
      <c r="F2157" t="n">
        <v>0.0548</v>
      </c>
      <c r="G2157" t="n">
        <v>0.1119</v>
      </c>
      <c r="H2157" t="inlineStr">
        <is>
          <t>The code implements core algorithms for backend software components using Thrift serialization. It includes methods for deserializing TBase objects from byte arrays. Complexity is O(N), where N represents the size of the input data being processed.</t>
        </is>
      </c>
      <c r="I2157" t="n">
        <v>0.0121</v>
      </c>
      <c r="J2157" t="n">
        <v>0.08890000000000001</v>
      </c>
      <c r="K2157" t="n">
        <v>0.2922</v>
      </c>
      <c r="L2157" t="inlineStr">
        <is>
          <t>The code implements serialization and deserialization functionalities using Thrift protocol in Java. It provides methods to convert objects into binary format and vice versa, which is essential for data transmission between Storm nodes. The implementation uses `TSerializer` and `TDeserializer` classes from the Apache Thrift library to handle the conversion process efficiently.</t>
        </is>
      </c>
      <c r="M2157" t="n">
        <v>0.0043</v>
      </c>
      <c r="N2157" t="n">
        <v>0.1017</v>
      </c>
      <c r="O2157" t="n">
        <v>0.122</v>
      </c>
    </row>
    <row r="2158">
      <c r="A2158" t="inlineStr">
        <is>
          <t>storm</t>
        </is>
      </c>
      <c r="B2158" t="inlineStr">
        <is>
          <t>storm-client/src/jvm/org/apache/storm/serialization/KryoTupleDeserializer.java</t>
        </is>
      </c>
      <c r="C2158">
        <f>HYPERLINK("https://github.com/apache/storm/blob/master/storm-client/src/jvm/org/apache/storm/serialization/KryoTupleDeserializer.java")</f>
        <v/>
      </c>
      <c r="D2158" t="inlineStr">
        <is>
          <t>The provided code is part of the Storm serialization package within the Apache Hadoop ecosystem. It includes classes that handle deserialization using Kryo, a fast Java object graph serializer. The code processes input data streams and maps it back into objects suitable for processing in a Storm topology. The complexity is O(N), where N represents the number of elements being serialized or deserialized. The implementation focuses on efficiently converting</t>
        </is>
      </c>
      <c r="E2158" t="n">
        <v>0.0026</v>
      </c>
      <c r="F2158" t="n">
        <v>0.0256</v>
      </c>
      <c r="G2158" t="n">
        <v>0.1064</v>
      </c>
      <c r="H2158" t="inlineStr">
        <is>
          <t>This repository contains backend software components implementing core algorithms. Complexity is O(N), indicating linear time complexity. Comments describe the implementation of these algorithms. Initial codebase was committed. Code size is 1000 lines.</t>
        </is>
      </c>
      <c r="I2158" t="n">
        <v>0.0077</v>
      </c>
      <c r="J2158" t="n">
        <v>0.1951</v>
      </c>
      <c r="K2158" t="n">
        <v>0.1923</v>
      </c>
      <c r="L2158" t="inlineStr">
        <is>
          <t>The provided code implements serialization capabilities using Kryo, which allows objects to be converted into byte streams for efficient storage and transmission. It includes methods for serializing and deserializing various data types such as maps, lists, and custom objects. The code processes input from `Input` instances and utilizes `GeneralTopologyContext` for context-specific operations during serialization and deserialization.</t>
        </is>
      </c>
      <c r="M2158" t="n">
        <v>0.0039</v>
      </c>
      <c r="N2158" t="n">
        <v>0.0615</v>
      </c>
      <c r="O2158" t="n">
        <v>0.1172</v>
      </c>
    </row>
    <row r="2159">
      <c r="A2159" t="inlineStr">
        <is>
          <t>storm</t>
        </is>
      </c>
      <c r="B2159" t="inlineStr">
        <is>
          <t>storm-client/src/jvm/org/apache/storm/serialization/SerializationDelegate.java</t>
        </is>
      </c>
      <c r="C2159">
        <f>HYPERLINK("https://github.com/apache/storm/blob/master/storm-client/src/jvm/org/apache/storm/serialization/SerializationDelegate.java")</f>
        <v/>
      </c>
      <c r="D2159" t="inlineStr">
        <is>
          <t>The provided Java code defines an `SerializationDelegate` interface that allows the `org.apache.storm.utils.Utils` class to delegate metadata serialization tasks. This interface includes a single method `serializeMetadata`, which takes a map as input and returns serialized data. The comments indicate that this implementation is part of a larger project focused on storm-related utilities and algorithms.</t>
        </is>
      </c>
      <c r="E2159" t="n">
        <v>0.0041</v>
      </c>
      <c r="F2159" t="n">
        <v>0.09089999999999999</v>
      </c>
      <c r="G2159" t="n">
        <v>0.16</v>
      </c>
      <c r="H2159" t="inlineStr">
        <is>
          <t>The repository contains backend software components that implement core algorithms. Complexity is O(N), indicating linear time complexity for operations involving N elements. Comments provide detailed explanations of the implementation. Initial codebase commit was made. Code size is 1000 lines.</t>
        </is>
      </c>
      <c r="I2159" t="n">
        <v>0.0056</v>
      </c>
      <c r="J2159" t="n">
        <v>0.125</v>
      </c>
      <c r="K2159" t="n">
        <v>0.2302</v>
      </c>
      <c r="L2159" t="inlineStr">
        <is>
          <t>The `SerializationDelegate` interface allows the `org.apache.storm.utils.Utils` class to delegate metadata serialization tasks. It provides methods for serializing and deserializing metadata objects, enabling efficient handling of metadata data within Storm's framework.</t>
        </is>
      </c>
      <c r="M2159" t="n">
        <v>0.0062</v>
      </c>
      <c r="N2159" t="n">
        <v>0.0465</v>
      </c>
      <c r="O2159" t="n">
        <v>0.049</v>
      </c>
    </row>
    <row r="2160">
      <c r="A2160" t="inlineStr">
        <is>
          <t>storm</t>
        </is>
      </c>
      <c r="B2160" t="inlineStr">
        <is>
          <t>storm-client/src/jvm/org/apache/storm/serialization/IKryoFactory.java</t>
        </is>
      </c>
      <c r="C2160">
        <f>HYPERLINK("https://github.com/apache/storm/blob/master/storm-client/src/jvm/org/apache/storm/serialization/IKryoFactory.java")</f>
        <v/>
      </c>
      <c r="D2160" t="inlineStr">
        <is>
          <t>The provided code defines an interface `KryoSerializer` within the `org.apache.storm.serialization` package. This interface specifies methods for configuring and using a Kryo instance, which is commonly used for efficient object serialization in Java applications. The key functionalities include:
1. **Configuration**: Setting up the Kryo instance with necessary configurations such as class registration and custom serializers.
2. **Serialization**: Providing</t>
        </is>
      </c>
      <c r="E2160" t="n">
        <v>0.0038</v>
      </c>
      <c r="F2160" t="n">
        <v>0.0882</v>
      </c>
      <c r="G2160" t="n">
        <v>0.1163</v>
      </c>
      <c r="H2160" t="inlineStr">
        <is>
          <t>The README describes a repository containing backend software components, which includes implementation details of core algorithms. The complexity is described as O(N), indicating linear time complexity, and comments explain the purpose of the implementation. The commits mention an initial codebase commit, and the total size of the codebase is specified as 1000 lines.</t>
        </is>
      </c>
      <c r="I2160" t="n">
        <v>0.0045</v>
      </c>
      <c r="J2160" t="n">
        <v>0.129</v>
      </c>
      <c r="K2160" t="n">
        <v>0.16</v>
      </c>
      <c r="L2160" t="inlineStr">
        <is>
          <t>The `KryoSerialization` class provides an interface for configuring the Kryo instance used by Storm for serialization. It allows customization of the Kryo settings such as registering custom serializers and setting up default configurations. The class ensures proper management of the Kryo instance's lifecycle within the Storm framework.</t>
        </is>
      </c>
      <c r="M2160" t="n">
        <v>0.0039</v>
      </c>
      <c r="N2160" t="n">
        <v>0.0357</v>
      </c>
      <c r="O2160" t="n">
        <v>0.08400000000000001</v>
      </c>
    </row>
    <row r="2161">
      <c r="A2161" t="inlineStr">
        <is>
          <t>storm</t>
        </is>
      </c>
      <c r="B2161" t="inlineStr">
        <is>
          <t>storm-client/src/jvm/org/apache/storm/serialization/GzipThriftSerializationDelegate.java</t>
        </is>
      </c>
      <c r="C2161">
        <f>HYPERLINK("https://github.com/apache/storm/blob/master/storm-client/src/jvm/org/apache/storm/serialization/GzipThriftSerializationDelegate.java")</f>
        <v/>
      </c>
      <c r="D2161" t="inlineStr">
        <is>
          <t>The code implements serialization and deserialization using Thrift for data exchange between Storm components. It includes classes like `TDeserializer` from the Apache Thrift library to handle the conversion of binary data back into objects. This allows for efficient communication between different parts of a Storm topology.</t>
        </is>
      </c>
      <c r="E2161" t="n">
        <v>0.0053</v>
      </c>
      <c r="F2161" t="n">
        <v>0.0741</v>
      </c>
      <c r="G2161" t="n">
        <v>0.1695</v>
      </c>
      <c r="H2161" t="inlineStr">
        <is>
          <t>The repository contains backend software components implementing core algorithms. Complexity is O(N), indicating linear time complexity. Comments describe the implementation of these algorithms. Initial codebase commit was made. Code size is 1000 lines.</t>
        </is>
      </c>
      <c r="I2161" t="n">
        <v>0.0067</v>
      </c>
      <c r="J2161" t="n">
        <v>0.1429</v>
      </c>
      <c r="K2161" t="n">
        <v>0.1429</v>
      </c>
      <c r="L2161" t="inlineStr">
        <is>
          <t>The provided code defines a class `TSerializer` within the `org.apache.storm.serialization` package that serializes Thrift objects into byte arrays using the TDeserializer from the Apache Storm library. It takes a Thrift object (`TBase`) as input and returns a serialized byte array. The method handles exceptions related to deserialization errors gracefully.</t>
        </is>
      </c>
      <c r="M2161" t="n">
        <v>0.0037</v>
      </c>
      <c r="N2161" t="n">
        <v>0.0333</v>
      </c>
      <c r="O2161" t="n">
        <v>0.08260000000000001</v>
      </c>
    </row>
    <row r="2162">
      <c r="A2162" t="inlineStr">
        <is>
          <t>storm</t>
        </is>
      </c>
      <c r="B2162" t="inlineStr">
        <is>
          <t>storm-client/src/jvm/org/apache/storm/serialization/SerializationRegister.java</t>
        </is>
      </c>
      <c r="C2162">
        <f>HYPERLINK("https://github.com/apache/storm/blob/master/storm-client/src/jvm/org/apache/storm/serialization/SerializationRegister.java")</f>
        <v/>
      </c>
      <c r="D2162" t="inlineStr">
        <is>
          <t>The provided code defines a `SerializationFactory` class that uses Java's ServiceLoader mechanism to dynamically load and register custom Kryo serializers. This allows developers to extend the serialization capabilities of Storm by implementing their own serializer classes and registering them through the `META-INF/services/org.apache.storm.serialization.ISerializer` file. The factory provides methods to serialize and deserialize objects using these registered serializers.</t>
        </is>
      </c>
      <c r="E2162" t="n">
        <v>0.0039</v>
      </c>
      <c r="F2162" t="n">
        <v>0.0833</v>
      </c>
      <c r="G2162" t="n">
        <v>0.1563</v>
      </c>
      <c r="H2162" t="inlineStr">
        <is>
          <t>This repository contains backend software components that implement core algorithms using a service loader mechanism to register Kryo serializers with the SerializationFactory.</t>
        </is>
      </c>
      <c r="I2162" t="n">
        <v>0.0114</v>
      </c>
      <c r="J2162" t="n">
        <v>0.2667</v>
      </c>
      <c r="K2162" t="n">
        <v>0.3957</v>
      </c>
      <c r="L2162" t="inlineStr">
        <is>
          <t>This Java class provides a mechanism for registering custom Kryo serializers with the `SerializationFactory` using a service loader, allowing developers to extend Storm's serialization capabilities without modifying the core library.</t>
        </is>
      </c>
      <c r="M2162" t="n">
        <v>0.0074</v>
      </c>
      <c r="N2162" t="n">
        <v>0.1026</v>
      </c>
      <c r="O2162" t="n">
        <v>0.1471</v>
      </c>
    </row>
    <row r="2163">
      <c r="A2163" t="inlineStr">
        <is>
          <t>storm</t>
        </is>
      </c>
      <c r="B2163" t="inlineStr">
        <is>
          <t>storm-client/src/jvm/org/apache/storm/serialization/IKryoDecorator.java</t>
        </is>
      </c>
      <c r="C2163">
        <f>HYPERLINK("https://github.com/apache/storm/blob/master/storm-client/src/jvm/org/apache/storm/serialization/IKryoDecorator.java")</f>
        <v/>
      </c>
      <c r="D2163" t="inlineStr">
        <is>
          <t>The provided code defines an `IKryoDecorator` interface that allows developers to customize how objects are serialized using the Kryo library. This interface includes a method `decorateKryo`, which takes a `Kryo` instance as input and returns it after applying any necessary modifications or extensions. The purpose of this interface is to facilitate integration of custom serialization logic into Storm's serialization framework, enabling users to handle</t>
        </is>
      </c>
      <c r="E2163" t="n">
        <v>0.0034</v>
      </c>
      <c r="F2163" t="n">
        <v>0.0822</v>
      </c>
      <c r="G2163" t="n">
        <v>0.1103</v>
      </c>
      <c r="H2163" t="inlineStr">
        <is>
          <t>Implements core algorithms using Kryo serialization.</t>
        </is>
      </c>
      <c r="I2163" t="n">
        <v>0.0293</v>
      </c>
      <c r="J2163" t="n">
        <v>0.2857</v>
      </c>
      <c r="K2163" t="n">
        <v>0.3276</v>
      </c>
      <c r="L2163" t="inlineStr">
        <is>
          <t>The `IKryoDecorator` interface provides a method to customize how objects are serialized using the Kryo library. It allows developers to add custom serializers that handle specific data types or configurations, enhancing the flexibility and performance of serialization processes within Storm's backend software components.</t>
        </is>
      </c>
      <c r="M2163" t="n">
        <v>0.0051</v>
      </c>
      <c r="N2163" t="n">
        <v>0.0385</v>
      </c>
      <c r="O2163" t="n">
        <v>0.1304</v>
      </c>
    </row>
    <row r="2164">
      <c r="A2164" t="inlineStr">
        <is>
          <t>storm</t>
        </is>
      </c>
      <c r="B2164" t="inlineStr">
        <is>
          <t>storm-client/src/jvm/org/apache/storm/serialization/SerializationFactory.java</t>
        </is>
      </c>
      <c r="C2164">
        <f>HYPERLINK("https://github.com/apache/storm/blob/master/storm-client/src/jvm/org/apache/storm/serialization/SerializationFactory.java")</f>
        <v/>
      </c>
      <c r="D2164" t="inlineStr">
        <is>
          <t>The provided code is part of a Storm serialization library that uses Kryo for efficient object serialization. It includes a custom serializer for BigIntegers using the `BigIntSerializer` class from the EsotericSoftware Kryo library. This allows for optimized handling of large integer data types when serializing objects within the Storm framework.</t>
        </is>
      </c>
      <c r="E2164" t="n">
        <v>0.0037</v>
      </c>
      <c r="F2164" t="n">
        <v>0.0345</v>
      </c>
      <c r="G2164" t="n">
        <v>0.082</v>
      </c>
      <c r="H2164" t="inlineStr">
        <is>
          <t>This repository contains backend software components implementing core algorithms. Complexity is O(N), indicating linear time complexity. Comments describe the implementation of these algorithms. Initial codebase commit was made. Code size is 1000 lines.</t>
        </is>
      </c>
      <c r="I2164" t="n">
        <v>0.0074</v>
      </c>
      <c r="J2164" t="n">
        <v>0.1905</v>
      </c>
      <c r="K2164" t="n">
        <v>0.1905</v>
      </c>
      <c r="L2164" t="inlineStr">
        <is>
          <t>The provided code defines a Kryo serializer for handling `BigInteger` objects using the EsotericSoftware's Kryo library. It extends the default serializer for `BigInteger`, allowing efficient serialization and deserialization of large integers within Storm applications.</t>
        </is>
      </c>
      <c r="M2164" t="n">
        <v>0.0055</v>
      </c>
      <c r="N2164" t="n">
        <v>0.0465</v>
      </c>
      <c r="O2164" t="n">
        <v>0.09429999999999999</v>
      </c>
    </row>
    <row r="2165">
      <c r="A2165" t="inlineStr">
        <is>
          <t>storm</t>
        </is>
      </c>
      <c r="B2165" t="inlineStr">
        <is>
          <t>storm-client/src/jvm/org/apache/storm/serialization/ITupleDeserializer.java</t>
        </is>
      </c>
      <c r="C2165">
        <f>HYPERLINK("https://github.com/apache/storm/blob/master/storm-client/src/jvm/org/apache/storm/serialization/ITupleDeserializer.java")</f>
        <v/>
      </c>
      <c r="D2165" t="inlineStr">
        <is>
          <t>The `ITupleDeserializer` interface defines a method `deserialize` that takes a byte array representing serialized data and returns a `Tuple`. This interface is part of the Storm serialization framework, allowing different deserialization strategies to be implemented as needed.</t>
        </is>
      </c>
      <c r="E2165" t="n">
        <v>0.006</v>
      </c>
      <c r="F2165" t="n">
        <v>0.08890000000000001</v>
      </c>
      <c r="G2165" t="n">
        <v>0.1835</v>
      </c>
      <c r="H2165" t="inlineStr">
        <is>
          <t>Deserializes tuples from byte arrays into Storm tuples.</t>
        </is>
      </c>
      <c r="I2165" t="n">
        <v>0</v>
      </c>
      <c r="J2165" t="n">
        <v>0</v>
      </c>
      <c r="K2165" t="n">
        <v>0</v>
      </c>
      <c r="L2165" t="inlineStr">
        <is>
          <t>The `ITupleDeserializer` interface defines a method `deserialize` that takes a byte array representing serialized data and returns a `Tuple`. This interface is part of the Storm serialization framework, allowing for deserialization of tuples from their binary representation into structured objects suitable for processing within a Storm topology.</t>
        </is>
      </c>
      <c r="M2165" t="n">
        <v>0.0046</v>
      </c>
      <c r="N2165" t="n">
        <v>0.0364</v>
      </c>
      <c r="O2165" t="n">
        <v>0.1261</v>
      </c>
    </row>
    <row r="2166">
      <c r="A2166" t="inlineStr">
        <is>
          <t>storm</t>
        </is>
      </c>
      <c r="B2166" t="inlineStr">
        <is>
          <t>storm-client/src/jvm/org/apache/storm/serialization/GzipBridgeThriftSerializationDelegate.java</t>
        </is>
      </c>
      <c r="C2166">
        <f>HYPERLINK("https://github.com/apache/storm/blob/master/storm-client/src/jvm/org/apache/storm/serialization/GzipBridgeThriftSerializationDelegate.java")</f>
        <v/>
      </c>
      <c r="D2166" t="inlineStr">
        <is>
          <t>The code defines a class `GzipDeserializer` that implements the `ISerializer` interface from the Apache Storm serialization package. It always outputs data compressed using GZIP, regardless of whether the input data is already compressed. When deserializing, it first checks if the input data is compressed using GZIP and then decompresses it accordingly. This ensures consistent compression behavior across different inputs.</t>
        </is>
      </c>
      <c r="E2166" t="n">
        <v>0.0041</v>
      </c>
      <c r="F2166" t="n">
        <v>0.0597</v>
      </c>
      <c r="G2166" t="n">
        <v>0.1527</v>
      </c>
      <c r="H2166" t="inlineStr">
        <is>
          <t>Implements core algorithms for backend software components. Complexity is O(N).</t>
        </is>
      </c>
      <c r="I2166" t="n">
        <v>0.0251</v>
      </c>
      <c r="J2166" t="n">
        <v>0.2105</v>
      </c>
      <c r="K2166" t="n">
        <v>0.3117</v>
      </c>
      <c r="L2166" t="inlineStr">
        <is>
          <t>This Java class, `GzipDecompressor`, implements a decompression mechanism that checks if input data is compressed using GZIP before attempting to decompress it. It uses a `GZIPInputStream` to handle the actual decompression process, ensuring compatibility with both uncompressed and GZipped data streams. The class provides a method `decompress` that takes byte arrays as input and returns the decom</t>
        </is>
      </c>
      <c r="M2166" t="n">
        <v>0.0042</v>
      </c>
      <c r="N2166" t="n">
        <v>0.09229999999999999</v>
      </c>
      <c r="O2166" t="n">
        <v>0.155</v>
      </c>
    </row>
    <row r="2167">
      <c r="A2167" t="inlineStr">
        <is>
          <t>storm</t>
        </is>
      </c>
      <c r="B2167" t="inlineStr">
        <is>
          <t>storm-client/src/jvm/org/apache/storm/serialization/ITupleSerializer.java</t>
        </is>
      </c>
      <c r="C2167">
        <f>HYPERLINK("https://github.com/apache/storm/blob/master/storm-client/src/jvm/org/apache/storm/serialization/ITupleSerializer.java")</f>
        <v/>
      </c>
      <c r="D2167" t="inlineStr">
        <is>
          <t>The `ITupleSerializer` interface defines methods for serializing tuples into bytes and optionally computing their CRC32 checksums. This interface is part of a larger project that includes backend software components and complex algorithms. The implementation complexity is O(N), where N represents the size of the tuple being serialized.</t>
        </is>
      </c>
      <c r="E2167" t="n">
        <v>0.0051</v>
      </c>
      <c r="F2167" t="n">
        <v>0.1071</v>
      </c>
      <c r="G2167" t="n">
        <v>0.2101</v>
      </c>
      <c r="H2167" t="inlineStr">
        <is>
          <t>Provides an interface for serializing tuples into bytes, allowing for efficient data transmission between Storm nodes.</t>
        </is>
      </c>
      <c r="I2167" t="n">
        <v>0</v>
      </c>
      <c r="J2167" t="n">
        <v>0</v>
      </c>
      <c r="K2167" t="n">
        <v>0</v>
      </c>
      <c r="L2167" t="inlineStr">
        <is>
          <t>The `ITupleSerializer` interface defines methods for serializing tuples into byte arrays, which can be used for communication between Storm topologies. It provides a basic serialization mechanism that can be extended for more complex data types if needed.</t>
        </is>
      </c>
      <c r="M2167" t="n">
        <v>0</v>
      </c>
      <c r="N2167" t="n">
        <v>0</v>
      </c>
      <c r="O2167" t="n">
        <v>0.0459</v>
      </c>
    </row>
    <row r="2168">
      <c r="A2168" t="inlineStr">
        <is>
          <t>storm</t>
        </is>
      </c>
      <c r="B2168" t="inlineStr">
        <is>
          <t>storm-client/src/jvm/org/apache/storm/serialization/SerializableSerializer.java</t>
        </is>
      </c>
      <c r="C2168">
        <f>HYPERLINK("https://github.com/apache/storm/blob/master/storm-client/src/jvm/org/apache/storm/serialization/SerializableSerializer.java")</f>
        <v/>
      </c>
      <c r="D2168" t="inlineStr">
        <is>
          <t>The provided code appears to be part of a Java project that uses Kryo serialization library to serialize and deserialize objects efficiently. It includes comments explaining its purpose and licensing details. The complexity is O(N), indicating linear time complexity operations, which suggests it might involve processing collections or arrays. The implementation focuses on core algorithms within the context of Storm serialization framework.</t>
        </is>
      </c>
      <c r="E2168" t="n">
        <v>0.0035</v>
      </c>
      <c r="F2168" t="n">
        <v>0.0563</v>
      </c>
      <c r="G2168" t="n">
        <v>0.1493</v>
      </c>
      <c r="H2168" t="inlineStr">
        <is>
          <t>The code implements core algorithms using Kryo serialization library, which processes data efficiently. Complexity is O(N), indicating linear time complexity based on input size. Comments describe its implementation as core algorithms.</t>
        </is>
      </c>
      <c r="I2168" t="n">
        <v>0.0128</v>
      </c>
      <c r="J2168" t="n">
        <v>0.1</v>
      </c>
      <c r="K2168" t="n">
        <v>0.1456</v>
      </c>
      <c r="L2168" t="inlineStr">
        <is>
          <t>The provided code defines a Kryo serializer for a custom data type within the Apache Storm serialization framework. It handles the serialization and deserialization processes using the Kryo library, which is commonly used for efficient object graph serialization in Java applications. The serializer supports basic data types and can be extended to handle complex objects as needed.</t>
        </is>
      </c>
      <c r="M2168" t="n">
        <v>0.0032</v>
      </c>
      <c r="N2168" t="n">
        <v>0.0308</v>
      </c>
      <c r="O2168" t="n">
        <v>0.0775</v>
      </c>
    </row>
    <row r="2169">
      <c r="A2169" t="inlineStr">
        <is>
          <t>storm</t>
        </is>
      </c>
      <c r="B2169" t="inlineStr">
        <is>
          <t>storm-client/src/jvm/org/apache/storm/serialization/KryoValuesDeserializer.java</t>
        </is>
      </c>
      <c r="C2169">
        <f>HYPERLINK("https://github.com/apache/storm/blob/master/storm-client/src/jvm/org/apache/storm/serialization/KryoValuesDeserializer.java")</f>
        <v/>
      </c>
      <c r="D2169" t="inlineStr">
        <is>
          <t>The provided Java code defines a class `KryoSerializer` within the package `org.apache.storm.serialization`. This class uses the Kryo library for serialization and deserialization of objects. It includes methods for serializing and deserializing lists and maps using Kryo's input/output streams. The complexity of the implementation is O(N), where N represents the number of elements being serialized or deserialized.</t>
        </is>
      </c>
      <c r="E2169" t="n">
        <v>0.0039</v>
      </c>
      <c r="F2169" t="n">
        <v>0.0571</v>
      </c>
      <c r="G2169" t="n">
        <v>0.1563</v>
      </c>
      <c r="H2169" t="inlineStr">
        <is>
          <t>The code implements core algorithms for backend software components using Kryo serialization library. It has a complexity of O(N), where N represents the number of elements being processed.</t>
        </is>
      </c>
      <c r="I2169" t="n">
        <v>0.0157</v>
      </c>
      <c r="J2169" t="n">
        <v>0.1081</v>
      </c>
      <c r="K2169" t="n">
        <v>0.3156</v>
      </c>
      <c r="L2169" t="inlineStr">
        <is>
          <t>This Java class provides serialization capabilities using Kryo, a fast object graph serializer. It includes methods for serializing objects into byte arrays and deserializing them back into their original form. The class supports both primitive types and complex data structures like lists and maps. Serialization is useful for efficiently transferring data between different parts of a Storm cluster or saving/loading state.</t>
        </is>
      </c>
      <c r="M2169" t="n">
        <v>0.0036</v>
      </c>
      <c r="N2169" t="n">
        <v>0.0571</v>
      </c>
      <c r="O2169" t="n">
        <v>0.1128</v>
      </c>
    </row>
    <row r="2170">
      <c r="A2170" t="inlineStr">
        <is>
          <t>storm</t>
        </is>
      </c>
      <c r="B2170" t="inlineStr">
        <is>
          <t>storm-client/src/jvm/org/apache/storm/serialization/DefaultKryoFactory.java</t>
        </is>
      </c>
      <c r="C2170">
        <f>HYPERLINK("https://github.com/apache/storm/blob/master/storm-client/src/jvm/org/apache/storm/serialization/DefaultKryoFactory.java")</f>
        <v/>
      </c>
      <c r="D2170" t="inlineStr">
        <is>
          <t>The provided code is part of the Storm project, which is a distributed real-time computation system. It includes a Kryo serializer implementation that allows efficient serialization and deserialization of objects using the Kryo library. This is particularly useful for handling complex data structures within Storm's architecture. The code is licensed under the Apache License, Version 2.0.</t>
        </is>
      </c>
      <c r="E2170" t="n">
        <v>0.0039</v>
      </c>
      <c r="F2170" t="n">
        <v>0.0597</v>
      </c>
      <c r="G2170" t="n">
        <v>0.1563</v>
      </c>
      <c r="H2170" t="inlineStr">
        <is>
          <t>This repository contains backend software components implementing core algorithms. Complexity is O(N), indicating linear time complexity. Comments describe the implementation details. Initial codebase commit was made. Code size is 1000 lines.</t>
        </is>
      </c>
      <c r="I2170" t="n">
        <v>0.007900000000000001</v>
      </c>
      <c r="J2170" t="n">
        <v>0.2</v>
      </c>
      <c r="K2170" t="n">
        <v>0.1942</v>
      </c>
      <c r="L2170" t="inlineStr">
        <is>
          <t>The provided code implements serialization using Kryo, a fast binary object graph serializer for Java. It includes a custom Serializer class that handles serialization and deserialization of objects, focusing on efficient data transfer between Storm nodes. The implementation complexity is O(N), where N represents the size of the serialized data. The code is part of a larger backend software component repository, designed to facilitate communication between different parts of the</t>
        </is>
      </c>
      <c r="M2170" t="n">
        <v>0.0034</v>
      </c>
      <c r="N2170" t="n">
        <v>0.0506</v>
      </c>
      <c r="O2170" t="n">
        <v>0.1408</v>
      </c>
    </row>
    <row r="2171">
      <c r="A2171" t="inlineStr">
        <is>
          <t>storm</t>
        </is>
      </c>
      <c r="B2171" t="inlineStr">
        <is>
          <t>storm-client/src/jvm/org/apache/storm/serialization/KryoValuesSerializer.java</t>
        </is>
      </c>
      <c r="C2171">
        <f>HYPERLINK("https://github.com/apache/storm/blob/master/storm-client/src/jvm/org/apache/storm/serialization/KryoValuesSerializer.java")</f>
        <v/>
      </c>
      <c r="D2171" t="inlineStr">
        <is>
          <t>The provided code defines a Kryo serializer implementation for Storm, which is used for serializing and deserializing objects using the Kryo library. It includes methods for registering custom serializers and writing data to an Output stream. The complexity of the implementation is O(N), where N represents the number of registered types. The comments indicate that it implements core algorithms related to serialization and deserialization.</t>
        </is>
      </c>
      <c r="E2171" t="n">
        <v>0.0067</v>
      </c>
      <c r="F2171" t="n">
        <v>0.0822</v>
      </c>
      <c r="G2171" t="n">
        <v>0.2321</v>
      </c>
      <c r="H2171" t="inlineStr">
        <is>
          <t>Implements core algorithms for backend software components using Kryo serialization library. Complexity is O(N).</t>
        </is>
      </c>
      <c r="I2171" t="n">
        <v>0.017</v>
      </c>
      <c r="J2171" t="n">
        <v>0.1739</v>
      </c>
      <c r="K2171" t="n">
        <v>0.367</v>
      </c>
      <c r="L2171" t="inlineStr">
        <is>
          <t>The code implements serialization using Kryo, which converts objects into byte streams for efficient storage and transmission. It includes methods for serializing basic data types, lists, maps, and custom classes, as well as handling complex structures like `ListDelegate`. The implementation is optimized for performance and supports various data formats.</t>
        </is>
      </c>
      <c r="M2171" t="n">
        <v>0.0045</v>
      </c>
      <c r="N2171" t="n">
        <v>0.0702</v>
      </c>
      <c r="O2171" t="n">
        <v>0.124</v>
      </c>
    </row>
    <row r="2172">
      <c r="A2172" t="inlineStr">
        <is>
          <t>storm</t>
        </is>
      </c>
      <c r="B2172" t="inlineStr">
        <is>
          <t>storm-client/src/jvm/org/apache/storm/serialization/KryoTupleSerializer.java</t>
        </is>
      </c>
      <c r="C2172">
        <f>HYPERLINK("https://github.com/apache/storm/blob/master/storm-client/src/jvm/org/apache/storm/serialization/KryoTupleSerializer.java")</f>
        <v/>
      </c>
      <c r="D2172" t="inlineStr">
        <is>
          <t>The provided Java code defines a class `KryoSerializer` within the package `org.apache.storm.serialization`. This class implements serialization capabilities using Kryo, a fast object graph serializer. It provides methods for serializing objects into byte arrays and deserializing them back into their original form. The class uses `Output` from the Kryo library to write serialized data and handles exceptions during I/O operations</t>
        </is>
      </c>
      <c r="E2172" t="n">
        <v>0.0041</v>
      </c>
      <c r="F2172" t="n">
        <v>0.08450000000000001</v>
      </c>
      <c r="G2172" t="n">
        <v>0.1527</v>
      </c>
      <c r="H2172" t="inlineStr">
        <is>
          <t>This repository contains backend software components implementing core algorithms. Complexity is O(N), indicating linear time complexity. Comments describe the implementation details. Initial codebase commit was made. Code size is 1000 lines.</t>
        </is>
      </c>
      <c r="I2172" t="n">
        <v>0.007900000000000001</v>
      </c>
      <c r="J2172" t="n">
        <v>0.2</v>
      </c>
      <c r="K2172" t="n">
        <v>0.1942</v>
      </c>
      <c r="L2172" t="inlineStr">
        <is>
          <t>The code provides serialization capabilities using Kryo, which allows objects to be converted into byte streams suitable for transmission over networks or storage. It includes methods for serializing various data types such as maps and general topology contexts. The implementation complexity is O(N), where N is the size of the serialized object.</t>
        </is>
      </c>
      <c r="M2172" t="n">
        <v>0.0035</v>
      </c>
      <c r="N2172" t="n">
        <v>0.0328</v>
      </c>
      <c r="O2172" t="n">
        <v>0.2061</v>
      </c>
    </row>
    <row r="2173">
      <c r="A2173" t="inlineStr">
        <is>
          <t>storm</t>
        </is>
      </c>
      <c r="B2173" t="inlineStr">
        <is>
          <t>storm-client/src/jvm/org/apache/storm/serialization/GzipSerializationDelegate.java</t>
        </is>
      </c>
      <c r="C2173">
        <f>HYPERLINK("https://github.com/apache/storm/blob/master/storm-client/src/jvm/org/apache/storm/serialization/GzipSerializationDelegate.java")</f>
        <v/>
      </c>
      <c r="D2173" t="inlineStr">
        <is>
          <t>The code implements serialization and deserialization using Java's built-in `ObjectOutputStream` and `ObjectInputStream`. It reads from a byte array input stream and writes to a byte array output stream, allowing objects to be serialized into bytes and then back into their original object form. This is useful for storing and transmitting complex data structures across different parts of a system.</t>
        </is>
      </c>
      <c r="E2173" t="n">
        <v>0.0041</v>
      </c>
      <c r="F2173" t="n">
        <v>0.058</v>
      </c>
      <c r="G2173" t="n">
        <v>0.1527</v>
      </c>
      <c r="H2173" t="inlineStr">
        <is>
          <t>This repository contains backend software components that implement core algorithms. Complexity is high due to the extensive implementation of various algorithms. Comments provide detailed explanations of each algorithm's purpose and functionality. Initial codebase commit marks the start of development. Code size is large, indicating a comprehensive set of features and functionalities within the project.</t>
        </is>
      </c>
      <c r="I2173" t="n">
        <v>0.0048</v>
      </c>
      <c r="J2173" t="n">
        <v>0.1905</v>
      </c>
      <c r="K2173" t="n">
        <v>0.2381</v>
      </c>
      <c r="L2173" t="inlineStr">
        <is>
          <t>The provided code implements serialization and deserialization functionalities using Java's `ObjectOutputStream` and `ObjectInputStream`. It reads objects from byte arrays and writes them back as byte arrays, allowing for data persistence across different processes or systems. The implementation is designed to handle basic object types efficiently, leveraging Java's built-in serialization mechanism.</t>
        </is>
      </c>
      <c r="M2173" t="n">
        <v>0.0044</v>
      </c>
      <c r="N2173" t="n">
        <v>0.0984</v>
      </c>
      <c r="O2173" t="n">
        <v>0.123</v>
      </c>
    </row>
    <row r="2174">
      <c r="A2174" t="inlineStr">
        <is>
          <t>storm</t>
        </is>
      </c>
      <c r="B2174" t="inlineStr">
        <is>
          <t>storm-client/src/jvm/org/apache/storm/serialization/types/HashSetSerializer.java</t>
        </is>
      </c>
      <c r="C2174">
        <f>HYPERLINK("https://github.com/apache/storm/blob/master/storm-client/src/jvm/org/apache/storm/serialization/types/HashSetSerializer.java")</f>
        <v/>
      </c>
      <c r="D2174" t="inlineStr">
        <is>
          <t>The provided code defines a Kryo serializer for collections using the EsotericSoftware Kryo library. It includes a `CollectionSerializer` class that handles serialization and deserialization of collection types such as lists, sets, and maps. This implementation is part of a larger project focused on storm serialization types within the Apache Storm framework.</t>
        </is>
      </c>
      <c r="E2174" t="n">
        <v>0.0043</v>
      </c>
      <c r="F2174" t="n">
        <v>0.0678</v>
      </c>
      <c r="G2174" t="n">
        <v>0.1626</v>
      </c>
      <c r="H2174" t="inlineStr">
        <is>
          <t>This repository contains backend software components that implement core algorithms using Kryo serialization library. Complexity is high due to extensive algorithm implementation.</t>
        </is>
      </c>
      <c r="I2174" t="n">
        <v>0.0114</v>
      </c>
      <c r="J2174" t="n">
        <v>0.2667</v>
      </c>
      <c r="K2174" t="n">
        <v>0.3957</v>
      </c>
      <c r="L2174" t="inlineStr">
        <is>
          <t>The code implements serialization and deserialization functionalities using Kryo, focusing on handling collections efficiently. It includes comments indicating implementation of core algorithms and initial commits. The complexity is O(N), and the code size is 1000 lines.</t>
        </is>
      </c>
      <c r="M2174" t="n">
        <v>0.0068</v>
      </c>
      <c r="N2174" t="n">
        <v>0.1333</v>
      </c>
      <c r="O2174" t="n">
        <v>0.1852</v>
      </c>
    </row>
    <row r="2175">
      <c r="A2175" t="inlineStr">
        <is>
          <t>storm</t>
        </is>
      </c>
      <c r="B2175" t="inlineStr">
        <is>
          <t>storm-client/src/jvm/org/apache/storm/serialization/types/ListDelegateSerializer.java</t>
        </is>
      </c>
      <c r="C2175">
        <f>HYPERLINK("https://github.com/apache/storm/blob/master/storm-client/src/jvm/org/apache/storm/serialization/types/ListDelegateSerializer.java")</f>
        <v/>
      </c>
      <c r="D2175" t="inlineStr">
        <is>
          <t>The provided code defines a Kryo serializer for collections using the EsotericSoftware Kryo library. It includes a `CollectionSerializer` that handles serialization and deserialization of collection types such as lists and sets. This implementation is part of a larger project focused on storm serialization types within the Apache Storm framework.</t>
        </is>
      </c>
      <c r="E2175" t="n">
        <v>0.0045</v>
      </c>
      <c r="F2175" t="n">
        <v>0.0702</v>
      </c>
      <c r="G2175" t="n">
        <v>0.1653</v>
      </c>
      <c r="H2175" t="inlineStr">
        <is>
          <t>This repository contains backend software components implementing core algorithms. Complexity is O(N), indicating linear time complexity. Comments describe the implementation of these algorithms. Initial codebase commit was made. Code size is 1000 lines.</t>
        </is>
      </c>
      <c r="I2175" t="n">
        <v>0.0074</v>
      </c>
      <c r="J2175" t="n">
        <v>0.1905</v>
      </c>
      <c r="K2175" t="n">
        <v>0.1905</v>
      </c>
      <c r="L2175" t="inlineStr">
        <is>
          <t>This Java package provides serialization utilities using Kryo, a fast binary object serializer, specifically tailored for Storm's needs. It includes custom serializers for collections like Lists and Maps, enhancing performance and reducing memory usage when serializing data structures commonly used in Storm applications.</t>
        </is>
      </c>
      <c r="M2175" t="n">
        <v>0.0051</v>
      </c>
      <c r="N2175" t="n">
        <v>0.0769</v>
      </c>
      <c r="O2175" t="n">
        <v>0.1304</v>
      </c>
    </row>
    <row r="2176">
      <c r="A2176" t="inlineStr">
        <is>
          <t>storm</t>
        </is>
      </c>
      <c r="B2176" t="inlineStr">
        <is>
          <t>storm-client/src/jvm/org/apache/storm/serialization/types/ArrayListSerializer.java</t>
        </is>
      </c>
      <c r="C2176">
        <f>HYPERLINK("https://github.com/apache/storm/blob/master/storm-client/src/jvm/org/apache/storm/serialization/types/ArrayListSerializer.java")</f>
        <v/>
      </c>
      <c r="D2176" t="inlineStr">
        <is>
          <t>The provided code defines a Kryo serializer for collections using the EsotericSoftware Kryo library. It includes a `CollectionSerializer` that handles serialization and deserialization of various collection types such as lists, sets, maps, etc., ensuring efficient data transfer between Storm nodes during message processing. The complexity of the implementation is O(N), where N represents the number of elements being serialized or deserialized.</t>
        </is>
      </c>
      <c r="E2176" t="n">
        <v>0.003</v>
      </c>
      <c r="F2176" t="n">
        <v>0.0286</v>
      </c>
      <c r="G2176" t="n">
        <v>0.1128</v>
      </c>
      <c r="H2176" t="inlineStr">
        <is>
          <t>Implements core algorithms for backend software components using Kryo serialization library. Complexity is O(N).</t>
        </is>
      </c>
      <c r="I2176" t="n">
        <v>0.017</v>
      </c>
      <c r="J2176" t="n">
        <v>0.1739</v>
      </c>
      <c r="K2176" t="n">
        <v>0.367</v>
      </c>
      <c r="L2176" t="inlineStr">
        <is>
          <t>The code defines a Kryo serializer for collections using the `CollectionSerializer` from the Kryo library. It includes methods to serialize and deserialize collections such as lists and sets. The implementation focuses on handling common collection types efficiently.</t>
        </is>
      </c>
      <c r="M2176" t="n">
        <v>0.005</v>
      </c>
      <c r="N2176" t="n">
        <v>0.0444</v>
      </c>
      <c r="O2176" t="n">
        <v>0.1376</v>
      </c>
    </row>
    <row r="2177">
      <c r="A2177" t="inlineStr">
        <is>
          <t>storm</t>
        </is>
      </c>
      <c r="B2177" t="inlineStr">
        <is>
          <t>storm-client/src/jvm/org/apache/storm/serialization/types/HashMapSerializer.java</t>
        </is>
      </c>
      <c r="C2177">
        <f>HYPERLINK("https://github.com/apache/storm/blob/master/storm-client/src/jvm/org/apache/storm/serialization/types/HashMapSerializer.java")</f>
        <v/>
      </c>
      <c r="D2177" t="inlineStr">
        <is>
          <t>The provided Java code defines a Kryo serializer for handling `HashMap` objects using the EsotericSoftware Kryo library. It includes comments explaining its purpose, licensing, and usage. The complexity is O(1), as it involves basic operations on a hash map. The code size is approximately 1000 lines.</t>
        </is>
      </c>
      <c r="E2177" t="n">
        <v>0.004</v>
      </c>
      <c r="F2177" t="n">
        <v>0.0364</v>
      </c>
      <c r="G2177" t="n">
        <v>0.0847</v>
      </c>
      <c r="H2177" t="inlineStr">
        <is>
          <t>Implements core algorithms using Kryo serialization library.</t>
        </is>
      </c>
      <c r="I2177" t="n">
        <v>0.0286</v>
      </c>
      <c r="J2177" t="n">
        <v>0.2667</v>
      </c>
      <c r="K2177" t="n">
        <v>0.3235</v>
      </c>
      <c r="L2177" t="inlineStr">
        <is>
          <t>The provided code defines a Kryo serializer for handling HashMaps using the MapSerializer from the EsotericSoftware Kryo library. It allows serialization and deserialization of HashMap objects efficiently within Storm's serialization framework.</t>
        </is>
      </c>
      <c r="M2177" t="n">
        <v>0.006</v>
      </c>
      <c r="N2177" t="n">
        <v>0.05</v>
      </c>
      <c r="O2177" t="n">
        <v>0.09710000000000001</v>
      </c>
    </row>
    <row r="2178">
      <c r="A2178" t="inlineStr">
        <is>
          <t>storm</t>
        </is>
      </c>
      <c r="B2178" t="inlineStr">
        <is>
          <t>storm-client/src/jvm/org/apache/storm/utils/ShellUtils.java</t>
        </is>
      </c>
      <c r="C2178">
        <f>HYPERLINK("https://github.com/apache/storm/blob/master/storm-client/src/jvm/org/apache/storm/utils/ShellUtils.java")</f>
        <v/>
      </c>
      <c r="D2178" t="inlineStr">
        <is>
          <t>The provided code appears to be part of the Storm project, specifically within the `org.apache.storm.utils` package. It includes utility classes that utilize metrics (`com.codahale.metrics.Meter`) and handle input/output operations such as reading from files and streams. The complexity of the implementation is O(N), indicating it scales linearly with the size of the data being processed. The comments suggest that</t>
        </is>
      </c>
      <c r="E2178" t="n">
        <v>0.0031</v>
      </c>
      <c r="F2178" t="n">
        <v>0.027</v>
      </c>
      <c r="G2178" t="n">
        <v>0.1154</v>
      </c>
      <c r="H2178" t="inlineStr">
        <is>
          <t>This repository contains backend software components that implement core algorithms. Complexity is O(N), indicating linear time complexity. Comments describe the implementation details, while commits track the initial creation of the codebase. The total size of the code is 1000 lines.</t>
        </is>
      </c>
      <c r="I2178" t="n">
        <v>0.0061</v>
      </c>
      <c r="J2178" t="n">
        <v>0.1633</v>
      </c>
      <c r="K2178" t="n">
        <v>0.1786</v>
      </c>
      <c r="L2178" t="inlineStr">
        <is>
          <t>This Java package `org.apache.storm.utils` includes utility classes that provide various functionalities such as reading files, handling metrics, and managing input streams. It supports reading text from files using `BufferedReader`, counting events using `Meter`, and processing input streams efficiently. The code complexity is moderate, with a size of approximately 1000 lines, and it has been implemented to support core algorithms</t>
        </is>
      </c>
      <c r="M2178" t="n">
        <v>0.0041</v>
      </c>
      <c r="N2178" t="n">
        <v>0.0857</v>
      </c>
      <c r="O2178" t="n">
        <v>0.1908</v>
      </c>
    </row>
    <row r="2179">
      <c r="A2179" t="inlineStr">
        <is>
          <t>storm</t>
        </is>
      </c>
      <c r="B2179" t="inlineStr">
        <is>
          <t>storm-client/src/jvm/org/apache/storm/utils/NimbusClient.java</t>
        </is>
      </c>
      <c r="C2179">
        <f>HYPERLINK("https://github.com/apache/storm/blob/master/storm-client/src/jvm/org/apache/storm/utils/NimbusClient.java")</f>
        <v/>
      </c>
      <c r="D2179" t="inlineStr">
        <is>
          <t>The provided code snippet appears to be part of a Java library called `org.apache.storm.utils`. It includes comments explaining its licensing terms and purpose as a backend component for Apache Storm. The complexity is marked as O(N), indicating that it involves operations proportional to the size of input data. The implementation details are described as "core algorithms," suggesting they form fundamental parts of the library's functionality. The</t>
        </is>
      </c>
      <c r="E2179" t="n">
        <v>0.0028</v>
      </c>
      <c r="F2179" t="n">
        <v>0.0759</v>
      </c>
      <c r="G2179" t="n">
        <v>0.1087</v>
      </c>
      <c r="H2179" t="inlineStr">
        <is>
          <t>The code implements core algorithms for a backend system using Java, including handling security principals, managing configurations, and interacting with Nimbus for cluster management. It has a complexity of O(N) due to potential operations involving lists and maps.</t>
        </is>
      </c>
      <c r="I2179" t="n">
        <v>0.0114</v>
      </c>
      <c r="J2179" t="n">
        <v>0.1277</v>
      </c>
      <c r="K2179" t="n">
        <v>0.2869</v>
      </c>
      <c r="L2179" t="inlineStr">
        <is>
          <t>The provided code implements utility functions related to Storm's configuration management and security checks. It includes methods for retrieving principal details from a list of principals based on their names, checking if a user has permission to perform certain actions using a map of roles and permissions, and handling exceptions during these operations.</t>
        </is>
      </c>
      <c r="M2179" t="n">
        <v>0.0041</v>
      </c>
      <c r="N2179" t="n">
        <v>0.0968</v>
      </c>
      <c r="O2179" t="n">
        <v>0.12</v>
      </c>
    </row>
    <row r="2180">
      <c r="A2180" t="inlineStr">
        <is>
          <t>springboot</t>
        </is>
      </c>
      <c r="B2180" t="inlineStr">
        <is>
          <t>integration-test/spring-boot-integration-tests/src/test/java/org/springframework/boot/web/servlet/support/ErrorPageFilterIntegrationTests.java</t>
        </is>
      </c>
      <c r="C2180">
        <f>HYPERLINK("https://github.com/spring-projects/spring-boot/blob/master/integration-test/spring-boot-integration-tests/src/test/java/org/springframework/boot/web/servlet/support/ErrorPageFilterIntegrationTests.java")</f>
        <v/>
      </c>
      <c r="D2180" t="inlineStr">
        <is>
          <t>The provided Java code snippet is part of a Spring Boot web application that includes support for servlets. It appears to be testing a class that handles HTTP requests and responses using JUnit Jupiter tests. The test involves setting up a `CountDownLatch` to ensure proper synchronization between threads during request processing. The code uses Jakarta EE libraries (`jakarta.servlet.http`) and does not contain any complex logic; it</t>
        </is>
      </c>
      <c r="E2180" t="n">
        <v>0.0028</v>
      </c>
      <c r="F2180" t="n">
        <v>0.0526</v>
      </c>
      <c r="G2180" t="n">
        <v>0.0725</v>
      </c>
      <c r="H2180" t="inlineStr">
        <is>
          <t>This repository contains backend software components implementing core algorithms. The complexity of these implementations is O(N), indicating linear time complexity. The README provides information about the project's license, package structure, and includes comments describing the implementation details.</t>
        </is>
      </c>
      <c r="I2180" t="n">
        <v>0.0071</v>
      </c>
      <c r="J2180" t="n">
        <v>0.2128</v>
      </c>
      <c r="K2180" t="n">
        <v>0.2294</v>
      </c>
      <c r="L2180" t="inlineStr">
        <is>
          <t>This Java code snippet appears to be part of a Spring Boot application that provides support for servlets. It includes tests for handling HTTP requests and responses using JUnit Jupiter extensions. The `@AfterEach` annotation ensures that each test method cleans up after itself, while the `@Test` annotations define individual unit tests for various aspects of servlet request processing. The code uses JAX-RS annotations (`</t>
        </is>
      </c>
      <c r="M2180" t="n">
        <v>0.0034</v>
      </c>
      <c r="N2180" t="n">
        <v>0.0556</v>
      </c>
      <c r="O2180" t="n">
        <v>0.1103</v>
      </c>
    </row>
    <row r="2181">
      <c r="A2181" t="inlineStr">
        <is>
          <t>springboot</t>
        </is>
      </c>
      <c r="B2181" t="inlineStr">
        <is>
          <t>integration-test/spring-boot-loader-integration-tests/spring-boot-loader-tests-signed-jar/src/main/java/org/springframework/boot/loaderapp/LoaderSignedJarTestApplication.java</t>
        </is>
      </c>
      <c r="C2181">
        <f>HYPERLINK("https://github.com/spring-projects/spring-boot/blob/master/integration-test/spring-boot-loader-integration-tests/spring-boot-loader-tests-signed-jar/src/main/java/org/springframework/boot/loaderapp/LoaderSignedJarTestApplication.java")</f>
        <v/>
      </c>
      <c r="D2181" t="inlineStr">
        <is>
          <t>The provided Java code defines a Spring Boot application named `LoaderSignedJarTestApplication`. It includes security configurations using Bouncy Castle provider and uses Spring Boot's auto-configuration feature to set up the application context. The complexity of the implementation is O(N), where N represents the number of dependencies or operations within the application.</t>
        </is>
      </c>
      <c r="E2181" t="n">
        <v>0.0037</v>
      </c>
      <c r="F2181" t="n">
        <v>0.0328</v>
      </c>
      <c r="G2181" t="n">
        <v>0.123</v>
      </c>
      <c r="H2181" t="inlineStr">
        <is>
          <t>This repository contains backend software components that implement core algorithms. The complexity of these implementations is O(N), indicating linear time complexity relative to the size of the input data. The project includes initial codebase commits and uses Bouncy Castle Provider for cryptographic operations within the Spring Boot application.</t>
        </is>
      </c>
      <c r="I2181" t="n">
        <v>0.0054</v>
      </c>
      <c r="J2181" t="n">
        <v>0.1754</v>
      </c>
      <c r="K2181" t="n">
        <v>0.25</v>
      </c>
      <c r="L2181" t="inlineStr">
        <is>
          <t>This Java application uses Spring Boot to run tests on a signed JAR file. It initializes security providers and configures Bouncy Castle for cryptographic operations before starting the application. The `LoaderSignedJarTestApplication` class serves as the entry point for running these tests.</t>
        </is>
      </c>
      <c r="M2181" t="n">
        <v>0.0054</v>
      </c>
      <c r="N2181" t="n">
        <v>0.08160000000000001</v>
      </c>
      <c r="O2181" t="n">
        <v>0.1327</v>
      </c>
    </row>
    <row r="2182">
      <c r="A2182" t="inlineStr">
        <is>
          <t>springboot</t>
        </is>
      </c>
      <c r="B2182" t="inlineStr">
        <is>
          <t>integration-test/spring-boot-loader-integration-tests/spring-boot-loader-tests-app/src/main/java/org/springframework/boot/loaderapp/LoaderTestApplication.java</t>
        </is>
      </c>
      <c r="C2182">
        <f>HYPERLINK("https://github.com/spring-projects/spring-boot/blob/master/integration-test/spring-boot-loader-integration-tests/spring-boot-loader-tests-app/src/main/java/org/springframework/boot/loaderapp/LoaderTestApplication.java")</f>
        <v/>
      </c>
      <c r="D2182" t="inlineStr">
        <is>
          <t>The provided Java code defines a class `SpringBootLoaderApp` within the package `org.springframework.boot.loaderapp`. This class appears to be part of a Spring Boot application that handles loading resources from JAR files. The code includes methods for handling URLs, file operations, and command-line arguments. It also references other classes like `ServletContext`, which suggests it might be used in a web context. The</t>
        </is>
      </c>
      <c r="E2182" t="n">
        <v>0.0036</v>
      </c>
      <c r="F2182" t="n">
        <v>0.0556</v>
      </c>
      <c r="G2182" t="n">
        <v>0.1136</v>
      </c>
      <c r="H2182" t="inlineStr">
        <is>
          <t>Manages backend software components and implements core algorithms. Complexity is O(N).</t>
        </is>
      </c>
      <c r="I2182" t="n">
        <v>0.0474</v>
      </c>
      <c r="J2182" t="n">
        <v>0.3</v>
      </c>
      <c r="K2182" t="n">
        <v>0.3803</v>
      </c>
      <c r="L2182" t="inlineStr">
        <is>
          <t>This Java application component reads files from a specified directory using Spring Boot's `ServletContext` and processes them based on their extensions. It handles jar files by extracting contents and non-jar files by copying them to a destination directory. The process involves checking file types, reading URLs, and performing I/O operations to manage file transfers between directories.</t>
        </is>
      </c>
      <c r="M2182" t="n">
        <v>0.0039</v>
      </c>
      <c r="N2182" t="n">
        <v>0.0597</v>
      </c>
      <c r="O2182" t="n">
        <v>0.1172</v>
      </c>
    </row>
    <row r="2183">
      <c r="A2183" t="inlineStr">
        <is>
          <t>springboot</t>
        </is>
      </c>
      <c r="B2183" t="inlineStr">
        <is>
          <t>integration-test/spring-boot-loader-integration-tests/src/dockerTest/java/org/springframework/boot/loader/LoaderIntegrationTests.java</t>
        </is>
      </c>
      <c r="C2183">
        <f>HYPERLINK("https://github.com/spring-projects/spring-boot/blob/master/integration-test/spring-boot-loader-integration-tests/src/dockerTest/java/org/springframework/boot/loader/LoaderIntegrationTests.java")</f>
        <v/>
      </c>
      <c r="D2183" t="inlineStr">
        <is>
          <t>The provided Java code defines a class `GenericContainer` from the TestContainers library, which is used to run Docker containers as part of automated tests. The class includes methods for managing container lifecycle, retrieving logs, and other operations related to container management within JUnit Jupiter test environments. The complexity of the implementation is O(N), where N represents the number of parameters being tested.</t>
        </is>
      </c>
      <c r="E2183" t="n">
        <v>0.0029</v>
      </c>
      <c r="F2183" t="n">
        <v>0.0282</v>
      </c>
      <c r="G2183" t="n">
        <v>0.1119</v>
      </c>
      <c r="H2183" t="inlineStr">
        <is>
          <t>This repository contains backend software components that implement core algorithms. The complexity of the implementation is O(N), indicating linear time complexity relative to the input size. The README provides information about the project's purpose and structure.</t>
        </is>
      </c>
      <c r="I2183" t="n">
        <v>0.0073</v>
      </c>
      <c r="J2183" t="n">
        <v>0.2174</v>
      </c>
      <c r="K2183" t="n">
        <v>0.2315</v>
      </c>
      <c r="L2183" t="inlineStr">
        <is>
          <t>The provided Java code defines a class `SpringBootLoader` within the package `org.springframework.boot.loader`. It includes methods for loading Spring Boot applications from JAR files. The class uses TestContainers to run containerized tests, which helps in testing the application's ability to load and execute within different environments. The code also includes parameterized tests using JUnit Jupiter to test various scenarios related to loading and</t>
        </is>
      </c>
      <c r="M2183" t="n">
        <v>0.0029</v>
      </c>
      <c r="N2183" t="n">
        <v>0.027</v>
      </c>
      <c r="O2183" t="n">
        <v>0.0746</v>
      </c>
    </row>
    <row r="2184">
      <c r="A2184" t="inlineStr">
        <is>
          <t>springboot</t>
        </is>
      </c>
      <c r="B2184" t="inlineStr">
        <is>
          <t>integration-test/spring-boot-server-integration-tests/spring-boot-server-tests-app/src/main/java/com/example/JettyServerCustomizerConfig.java</t>
        </is>
      </c>
      <c r="C2184">
        <f>HYPERLINK("https://github.com/spring-projects/spring-boot/blob/master/integration-test/spring-boot-server-integration-tests/spring-boot-server-tests-app/src/main/java/com/example/JettyServerCustomizerConfig.java")</f>
        <v/>
      </c>
      <c r="D2184" t="inlineStr">
        <is>
          <t>The provided Java code defines a Spring Boot application that sets up a Jetty server using annotations from `org.springframework.boot.autoconfigure` and `org.eclipse.jetty`. The server listens on HTTP connections and uses a custom resource alias checker (`AllowedResourceAliasChecker`) to handle URI compliance according to the specified `UriCompliance` rules. This setup allows the application to serve web content over HTTP.</t>
        </is>
      </c>
      <c r="E2184" t="n">
        <v>0.0039</v>
      </c>
      <c r="F2184" t="n">
        <v>0.029</v>
      </c>
      <c r="G2184" t="n">
        <v>0.1172</v>
      </c>
      <c r="H2184" t="inlineStr">
        <is>
          <t>This repository contains backend software components that implement core algorithms. The complexity of the implementation is O(N), indicating linear time complexity. The README provides information about the project's license, package structure, and includes comments explaining the implementation details. The code size is 1000 lines, suggesting it involves multiple classes and methods.</t>
        </is>
      </c>
      <c r="I2184" t="n">
        <v>0.0051</v>
      </c>
      <c r="J2184" t="n">
        <v>0.1639</v>
      </c>
      <c r="K2184" t="n">
        <v>0.2033</v>
      </c>
      <c r="L2184" t="inlineStr">
        <is>
          <t>This Java Spring Boot application initializes a Jetty server with basic configurations such as HTTP connections and context handlers. It uses `AllowedResourceAliasChecker` for resource alias checking and sets up URI compliance according to the specified rules. The configuration ensures that the server can handle incoming requests efficiently while adhering to security standards.</t>
        </is>
      </c>
      <c r="M2184" t="n">
        <v>0.0042</v>
      </c>
      <c r="N2184" t="n">
        <v>0.0667</v>
      </c>
      <c r="O2184" t="n">
        <v>0.121</v>
      </c>
    </row>
    <row r="2185">
      <c r="A2185" t="inlineStr">
        <is>
          <t>springboot</t>
        </is>
      </c>
      <c r="B2185" t="inlineStr">
        <is>
          <t>integration-test/spring-boot-server-integration-tests/spring-boot-server-tests-app/src/main/java/com/example/ResourceHandlingApplication.java</t>
        </is>
      </c>
      <c r="C2185">
        <f>HYPERLINK("https://github.com/spring-projects/spring-boot/blob/master/integration-test/spring-boot-server-integration-tests/spring-boot-server-tests-app/src/main/java/com/example/ResourceHandlingApplication.java")</f>
        <v/>
      </c>
      <c r="D2185" t="inlineStr">
        <is>
          <t>The provided Java code defines a simple web application using Spring Boot that serves as a basic HTTP servlet. It includes:
- A `@SpringBootApplication` annotation which automatically configures Spring MVC and sets up the application context.
- An `HttpServlet` class named `ExampleServlet` that handles incoming HTTP requests.
- The `doGet` method processes GET requests, retrieving URLs from the request parameters and</t>
        </is>
      </c>
      <c r="E2185" t="n">
        <v>0.003</v>
      </c>
      <c r="F2185" t="n">
        <v>0.0303</v>
      </c>
      <c r="G2185" t="n">
        <v>0.0752</v>
      </c>
      <c r="H2185" t="inlineStr">
        <is>
          <t>The code implements a servlet that handles HTTP requests and responses using Spring Boot. It processes URLs and returns appropriate responses based on the request parameters. The complexity is O(N) due to potential processing of multiple URL patterns.</t>
        </is>
      </c>
      <c r="I2185" t="n">
        <v>0.0058</v>
      </c>
      <c r="J2185" t="n">
        <v>0.0851</v>
      </c>
      <c r="K2185" t="n">
        <v>0.1364</v>
      </c>
      <c r="L2185" t="inlineStr">
        <is>
          <t>This Java servlet application uses Spring Boot to handle HTTP requests. It processes incoming URLs, extracts relevant data, and returns responses based on that data. The `MainServlet` class extends `HttpServlet`, implementing methods to handle GET requests. It utilizes a set to store unique URL patterns and processes each request accordingly.</t>
        </is>
      </c>
      <c r="M2185" t="n">
        <v>0.0044</v>
      </c>
      <c r="N2185" t="n">
        <v>0.1034</v>
      </c>
      <c r="O2185" t="n">
        <v>0.1639</v>
      </c>
    </row>
    <row r="2186">
      <c r="A2186" t="inlineStr">
        <is>
          <t>springboot</t>
        </is>
      </c>
      <c r="B2186" t="inlineStr">
        <is>
          <t>integration-test/spring-boot-server-integration-tests/spring-boot-server-tests-app/src/main/java/com/autoconfig/ExampleAutoConfiguration.java</t>
        </is>
      </c>
      <c r="C2186">
        <f>HYPERLINK("https://github.com/spring-projects/spring-boot/blob/master/integration-test/spring-boot-server-integration-tests/spring-boot-server-tests-app/src/main/java/com/autoconfig/ExampleAutoConfiguration.java")</f>
        <v/>
      </c>
      <c r="D2186" t="inlineStr">
        <is>
          <t>The provided Java code defines a simple servlet that handles HTTP requests. It uses Spring Boot's autoconfiguration capabilities to automatically configure various aspects of the application when running as a WAR deployment. The servlet does not contain any complex logic; it simply responds to incoming GET requests by returning a basic HTML page. The code includes comments explaining its purpose and dependencies.</t>
        </is>
      </c>
      <c r="E2186" t="n">
        <v>0.0029</v>
      </c>
      <c r="F2186" t="n">
        <v>0.0282</v>
      </c>
      <c r="G2186" t="n">
        <v>0.0746</v>
      </c>
      <c r="H2186" t="inlineStr">
        <is>
          <t>This repository contains backend software components that implement core algorithms. The complexity of the implementation is O(N), indicating linear time complexity. The README provides information about the project's license, package structure, dependencies, and the purpose of the components.</t>
        </is>
      </c>
      <c r="I2186" t="n">
        <v>0.0069</v>
      </c>
      <c r="J2186" t="n">
        <v>0.2083</v>
      </c>
      <c r="K2186" t="n">
        <v>0.2273</v>
      </c>
      <c r="L2186" t="inlineStr">
        <is>
          <t>The provided Java servlet handles HTTP requests related to autoconfiguration settings, utilizing Spring Boot's auto-configuration capabilities to dynamically configure application properties based on environment variables. The code processes incoming requests to update configuration values and returns responses indicating success or failure. It leverages annotations like `@AutoConfiguration` and `@ConditionalOnWarDeployment` to ensure proper initialization within a WAR deployment context.</t>
        </is>
      </c>
      <c r="M2186" t="n">
        <v>0.0032</v>
      </c>
      <c r="N2186" t="n">
        <v>0.0299</v>
      </c>
      <c r="O2186" t="n">
        <v>0.0388</v>
      </c>
    </row>
    <row r="2187">
      <c r="A2187" t="inlineStr">
        <is>
          <t>springboot</t>
        </is>
      </c>
      <c r="B2187" t="inlineStr">
        <is>
          <t>integration-test/spring-boot-server-integration-tests/src/intTest/java/org/springframework/boot/context/embedded/EmbeddedServerContainerInvocationContextProvider.java</t>
        </is>
      </c>
      <c r="C2187">
        <f>HYPERLINK("https://github.com/spring-projects/spring-boot/blob/master/integration-test/spring-boot-server-integration-tests/src/intTest/java/org/springframework/boot/context/embedded/EmbeddedServerContainerInvocationContextProvider.java")</f>
        <v/>
      </c>
      <c r="D2187" t="inlineStr">
        <is>
          <t>The provided Java code defines a class `EmbeddedWebServer` within the package `org.springframework.boot.context.embedded`. This class appears to be part of a Spring Boot framework component responsible for managing embedded web servers. The code includes methods for setting up server configurations, handling HTTP requests, and serving static files from specified directories. It uses reflection to instantiate constructors and handles various types of exceptions such as `IOException</t>
        </is>
      </c>
      <c r="E2187" t="n">
        <v>0.0034</v>
      </c>
      <c r="F2187" t="n">
        <v>0.0526</v>
      </c>
      <c r="G2187" t="n">
        <v>0.1103</v>
      </c>
      <c r="H2187" t="inlineStr">
        <is>
          <t>This repository contains backend software components that implement core algorithms. The complexity of these implementations is O(N), indicating linear time complexity relative to the input size. The codebase has been initialized with a single commit containing the initial implementation.</t>
        </is>
      </c>
      <c r="I2187" t="n">
        <v>0.0062</v>
      </c>
      <c r="J2187" t="n">
        <v>0.1667</v>
      </c>
      <c r="K2187" t="n">
        <v>0.1802</v>
      </c>
      <c r="L2187" t="inlineStr">
        <is>
          <t>The code provides a framework for configuring embedded web servers using Spring Boot's `EmbeddedServletContainerFactory`. It includes methods for setting up server properties, handling classpath scanning, and managing resource locations. The implementation uses reflection to instantiate different types of servlet containers based on configuration options.</t>
        </is>
      </c>
      <c r="M2187" t="n">
        <v>0.0042</v>
      </c>
      <c r="N2187" t="n">
        <v>0.0377</v>
      </c>
      <c r="O2187" t="n">
        <v>0.1293</v>
      </c>
    </row>
    <row r="2188">
      <c r="A2188" t="inlineStr">
        <is>
          <t>springboot</t>
        </is>
      </c>
      <c r="B2188" t="inlineStr">
        <is>
          <t>integration-test/spring-boot-server-integration-tests/src/intTest/java/org/springframework/boot/context/embedded/EmbeddedServletContainerWarDevelopmentIntegrationTests.java</t>
        </is>
      </c>
      <c r="C2188">
        <f>HYPERLINK("https://github.com/spring-projects/spring-boot/blob/master/integration-test/spring-boot-server-integration-tests/src/intTest/java/org/springframework/boot/context/embedded/EmbeddedServletContainerWarDevelopmentIntegrationTests.java")</f>
        <v/>
      </c>
      <c r="D2188" t="inlineStr">
        <is>
          <t>The provided Java code defines a class `EmbeddedWebServer` within the package `org.springframework.boot.context.embedded`. This class appears to be part of a Spring Boot application that manages embedded web servers. The code includes methods for handling HTTP requests and responses, as well as configurations related to server settings such as port numbers and context paths. It also uses JUnit Jupiter annotations for testing purposes, specifically targeting</t>
        </is>
      </c>
      <c r="E2188" t="n">
        <v>0.0034</v>
      </c>
      <c r="F2188" t="n">
        <v>0.0526</v>
      </c>
      <c r="G2188" t="n">
        <v>0.1103</v>
      </c>
      <c r="H2188" t="inlineStr">
        <is>
          <t>The code implements core algorithms for backend software components. It includes Java classes such as `EmbeddedServer` and uses JUnit Jupiter tests to verify its functionality. The complexity is O(N), indicating linear time complexity.</t>
        </is>
      </c>
      <c r="I2188" t="n">
        <v>0.0142</v>
      </c>
      <c r="J2188" t="n">
        <v>0.1429</v>
      </c>
      <c r="K2188" t="n">
        <v>0.3543</v>
      </c>
      <c r="L2188" t="inlineStr">
        <is>
          <t>The provided Java code defines a class `EmbeddedWebServerFactory` within the Spring Boot framework that serves as a factory for creating embedded web servers. It includes methods for configuring server properties such as port number, context path, and servlet mappings. The class also provides utility methods for reading configuration files and handling HTTP status codes. The code is designed to be used in testing environments where lightweight web servers are needed</t>
        </is>
      </c>
      <c r="M2188" t="n">
        <v>0.0026</v>
      </c>
      <c r="N2188" t="n">
        <v>0.0256</v>
      </c>
      <c r="O2188" t="n">
        <v>0.0704</v>
      </c>
    </row>
    <row r="2189">
      <c r="A2189" t="inlineStr">
        <is>
          <t>springboot</t>
        </is>
      </c>
      <c r="B2189" t="inlineStr">
        <is>
          <t>integration-test/spring-boot-server-integration-tests/src/intTest/java/org/springframework/boot/context/embedded/PackagedApplicationLauncher.java</t>
        </is>
      </c>
      <c r="C2189">
        <f>HYPERLINK("https://github.com/spring-projects/spring-boot/blob/master/integration-test/spring-boot-server-integration-tests/src/intTest/java/org/springframework/boot/context/embedded/PackagedApplicationLauncher.java")</f>
        <v/>
      </c>
      <c r="D2189" t="inlineStr">
        <is>
          <t>The provided Java class `PackagedApplicationLauncher` is part of a Spring Boot framework implementation. It extends `AbstractApplicationLauncher`, which is responsible for launching a packaged Spring Boot application using the `java -jar` command. The class does not contain any additional methods or fields beyond those inherited from its superclass. This launcher is designed to handle the execution of a Spring Boot application when it has been packaged</t>
        </is>
      </c>
      <c r="E2189" t="n">
        <v>0.0028</v>
      </c>
      <c r="F2189" t="n">
        <v>0.0274</v>
      </c>
      <c r="G2189" t="n">
        <v>0.073</v>
      </c>
      <c r="H2189" t="inlineStr">
        <is>
          <t>This repository contains backend software components implementing core algorithms. The complexity is O(N), indicating linear time complexity, and it includes comments explaining the implementation. The commits indicate the initial creation of the codebase. The total size of the code is 1000 lines.</t>
        </is>
      </c>
      <c r="I2189" t="n">
        <v>0.0062</v>
      </c>
      <c r="J2189" t="n">
        <v>0.1961</v>
      </c>
      <c r="K2189" t="n">
        <v>0.3263</v>
      </c>
      <c r="L2189" t="inlineStr">
        <is>
          <t>The `PackagedApplicationLauncher` class extends `AbstractApplicationLauncher` and provides functionality to launch a packaged Spring Boot application using the `java -jar` command. It handles setting up the necessary environment variables and arguments to execute the JAR file correctly. The class includes methods for initializing the launcher, launching the application, and handling any exceptions that might occur during the process.</t>
        </is>
      </c>
      <c r="M2189" t="n">
        <v>0.0038</v>
      </c>
      <c r="N2189" t="n">
        <v>0.0615</v>
      </c>
      <c r="O2189" t="n">
        <v>0.0775</v>
      </c>
    </row>
    <row r="2190">
      <c r="A2190" t="inlineStr">
        <is>
          <t>springboot</t>
        </is>
      </c>
      <c r="B2190" t="inlineStr">
        <is>
          <t>integration-test/spring-boot-server-integration-tests/src/intTest/java/org/springframework/boot/context/embedded/EmbeddedServletContainerJarPackagingIntegrationTests.java</t>
        </is>
      </c>
      <c r="C2190">
        <f>HYPERLINK("https://github.com/spring-projects/spring-boot/blob/master/integration-test/spring-boot-server-integration-tests/src/intTest/java/org/springframework/boot/context/embedded/EmbeddedServletContainerJarPackagingIntegrationTests.java")</f>
        <v/>
      </c>
      <c r="D2190" t="inlineStr">
        <is>
          <t>The provided Java code defines a test class that uses JUnit Jupiter to verify the functionality of a RESTful web service using Spring Boot's embedded server. The test checks if a GET request to a specified endpoint returns a status code of 200 OK along with a response body containing the string "Hello World". The `RestTemplate` is used to make the HTTP call, and assertions from Assert</t>
        </is>
      </c>
      <c r="E2190" t="n">
        <v>0.0032</v>
      </c>
      <c r="F2190" t="n">
        <v>0.0526</v>
      </c>
      <c r="G2190" t="n">
        <v>0.07190000000000001</v>
      </c>
      <c r="H2190" t="inlineStr">
        <is>
          <t>This repository contains backend software components that implement core algorithms. The complexity of these implementations is O(N), indicating linear time complexity relative to the input size.</t>
        </is>
      </c>
      <c r="I2190" t="n">
        <v>0.009599999999999999</v>
      </c>
      <c r="J2190" t="n">
        <v>0.2286</v>
      </c>
      <c r="K2190" t="n">
        <v>0.2041</v>
      </c>
      <c r="L2190" t="inlineStr">
        <is>
          <t>The code provides a simple REST client that makes HTTP requests using Spring's RestTemplate library. It includes tests that verify the client's ability to handle different HTTP status codes and responses. The implementation focuses on basic GET requests and error handling.</t>
        </is>
      </c>
      <c r="M2190" t="n">
        <v>0.0045</v>
      </c>
      <c r="N2190" t="n">
        <v>0.0784</v>
      </c>
      <c r="O2190" t="n">
        <v>0.1327</v>
      </c>
    </row>
    <row r="2191">
      <c r="A2191" t="inlineStr">
        <is>
          <t>springboot</t>
        </is>
      </c>
      <c r="B2191" t="inlineStr">
        <is>
          <t>integration-test/spring-boot-server-integration-tests/src/intTest/java/org/springframework/boot/context/embedded/EmbeddedServletContainerWarPackagingIntegrationTests.java</t>
        </is>
      </c>
      <c r="C2191">
        <f>HYPERLINK("https://github.com/spring-projects/spring-boot/blob/master/integration-test/spring-boot-server-integration-tests/src/intTest/java/org/springframework/boot/context/embedded/EmbeddedServletContainerWarPackagingIntegrationTests.java")</f>
        <v/>
      </c>
      <c r="D2191" t="inlineStr">
        <is>
          <t>The provided Java code snippet defines a class `EmbeddedWebServer` within the package `org.springframework.boot.context.embedded`. This class appears to be part of a Spring Boot framework project that deals with embedded web servers. The code includes comments explaining its purpose, licensing, and dependencies. It also references JUnit Jupiter tests and conditional execution based on operating systems. However, without further context about the actual implementation</t>
        </is>
      </c>
      <c r="E2191" t="n">
        <v>0.0035</v>
      </c>
      <c r="F2191" t="n">
        <v>0.0541</v>
      </c>
      <c r="G2191" t="n">
        <v>0.1493</v>
      </c>
      <c r="H2191" t="inlineStr">
        <is>
          <t>This repository contains backend software components implementing core algorithms. The complexity is O(N), indicating linear time complexity. The README provides information about the project's purpose and structure.</t>
        </is>
      </c>
      <c r="I2191" t="n">
        <v>0.009900000000000001</v>
      </c>
      <c r="J2191" t="n">
        <v>0.2703</v>
      </c>
      <c r="K2191" t="n">
        <v>0.3758</v>
      </c>
      <c r="L2191" t="inlineStr">
        <is>
          <t>This Java package contains embedded server configurations for Spring Boot applications. It includes classes that manage HTTP responses and handle various test conditions across different operating systems. The code uses JUnit Jupiter annotations for testing and leverages Java's `StringReader` and `BufferedReader` for reading input strings efficiently.</t>
        </is>
      </c>
      <c r="M2191" t="n">
        <v>0.0048</v>
      </c>
      <c r="N2191" t="n">
        <v>0.0727</v>
      </c>
      <c r="O2191" t="n">
        <v>0.1271</v>
      </c>
    </row>
    <row r="2192">
      <c r="A2192" t="inlineStr">
        <is>
          <t>springboot</t>
        </is>
      </c>
      <c r="B2192" t="inlineStr">
        <is>
          <t>integration-test/spring-boot-server-integration-tests/src/intTest/java/org/springframework/boot/context/embedded/EmbeddedServletContainerTest.java</t>
        </is>
      </c>
      <c r="C2192">
        <f>HYPERLINK("https://github.com/spring-projects/spring-boot/blob/master/integration-test/spring-boot-server-integration-tests/src/intTest/java/org/springframework/boot/context/embedded/EmbeddedServletContainerTest.java")</f>
        <v/>
      </c>
      <c r="D2192" t="inlineStr">
        <is>
          <t>The provided Java code defines an annotation `ServletContainerTest` that can be used to configure servlet container tests using JUnit Jupiter. The annotation extends `ExtendWith`, allowing it to integrate seamlessly into test frameworks like JUnit. It includes metadata such as its retention policy and target element type, making it suitable for configuring test environments where servlet containers need to be set up before running tests. This setup helps</t>
        </is>
      </c>
      <c r="E2192" t="n">
        <v>0.0032</v>
      </c>
      <c r="F2192" t="n">
        <v>0.0267</v>
      </c>
      <c r="G2192" t="n">
        <v>0.1079</v>
      </c>
      <c r="H2192" t="inlineStr">
        <is>
          <t>This repository contains backend software components that implement core algorithms. The complexity of these implementations is O(N), indicating linear time complexity. The code size is 1000 lines, which suggests it includes multiple modules and classes.</t>
        </is>
      </c>
      <c r="I2192" t="n">
        <v>0.0075</v>
      </c>
      <c r="J2192" t="n">
        <v>0.2273</v>
      </c>
      <c r="K2192" t="n">
        <v>0.2804</v>
      </c>
      <c r="L2192" t="inlineStr">
        <is>
          <t>This Java annotation `@ExtendWith` from Spring Boot's embedded testing framework allows developers to specify which test extensions should be applied during the execution of their tests. It enables integration with various testing frameworks like JUnit Jupiter, making it easier to write comprehensive and modular tests for web applications running within an embedded servlet container. The annotation can be placed on classes or methods to indicate that they require specific setup or</t>
        </is>
      </c>
      <c r="M2192" t="n">
        <v>0.003</v>
      </c>
      <c r="N2192" t="n">
        <v>0.05</v>
      </c>
      <c r="O2192" t="n">
        <v>0.1049</v>
      </c>
    </row>
    <row r="2193">
      <c r="A2193" t="inlineStr">
        <is>
          <t>springboot</t>
        </is>
      </c>
      <c r="B2193" t="inlineStr">
        <is>
          <t>integration-test/spring-boot-server-integration-tests/src/intTest/java/org/springframework/boot/context/embedded/IdeApplicationLauncher.java</t>
        </is>
      </c>
      <c r="C2193">
        <f>HYPERLINK("https://github.com/spring-projects/spring-boot/blob/master/integration-test/spring-boot-server-integration-tests/src/intTest/java/org/springframework/boot/context/embedded/IdeApplicationLauncher.java")</f>
        <v/>
      </c>
      <c r="D2193" t="inlineStr">
        <is>
          <t>The provided Java code defines a class `JarUtils` within the package `org.springframework.boot.context.embedded`. This utility class provides methods for working with JAR files, specifically focusing on extracting entries from them into specified directories. The main functionalities include:
1. **Extracting Entries**: It allows extraction of all entries from a given JAR file into a target directory. If the entry name starts with</t>
        </is>
      </c>
      <c r="E2193" t="n">
        <v>0.003</v>
      </c>
      <c r="F2193" t="n">
        <v>0.0556</v>
      </c>
      <c r="G2193" t="n">
        <v>0.07580000000000001</v>
      </c>
      <c r="H2193" t="inlineStr">
        <is>
          <t>This repository contains backend software components that implement core algorithms. The complexity of the implementation is O(N), indicating linear time complexity. The README provides information about the project's license, package structure, and the purpose of the repository. The code size is 1000 lines, which suggests it includes multiple files and classes implementing various algorithms.</t>
        </is>
      </c>
      <c r="I2193" t="n">
        <v>0.0048</v>
      </c>
      <c r="J2193" t="n">
        <v>0.1562</v>
      </c>
      <c r="K2193" t="n">
        <v>0.1984</v>
      </c>
      <c r="L2193" t="inlineStr">
        <is>
          <t>The code processes JAR files to extract their contents into directories specified by user input. It reads each entry from the JAR, checks if it's a directory, and then creates corresponding directories in the output path. If the entry is a file, it copies the content to the appropriate location within the output directory structure. The process involves iterating over all entries in the JAR, handling both directories and</t>
        </is>
      </c>
      <c r="M2193" t="n">
        <v>0.0026</v>
      </c>
      <c r="N2193" t="n">
        <v>0.0256</v>
      </c>
      <c r="O2193" t="n">
        <v>0.0355</v>
      </c>
    </row>
    <row r="2194">
      <c r="A2194" t="inlineStr">
        <is>
          <t>springboot</t>
        </is>
      </c>
      <c r="B2194" t="inlineStr">
        <is>
          <t>integration-test/spring-boot-server-integration-tests/src/intTest/java/org/springframework/boot/context/embedded/BootRunApplicationLauncher.java</t>
        </is>
      </c>
      <c r="C2194">
        <f>HYPERLINK("https://github.com/spring-projects/spring-boot/blob/master/integration-test/spring-boot-server-integration-tests/src/intTest/java/org/springframework/boot/context/embedded/BootRunApplicationLauncher.java")</f>
        <v/>
      </c>
      <c r="D2194" t="inlineStr">
        <is>
          <t>The provided Java code snippet defines a class `JarUtils` within the package `org.springframework.boot.context.embedded`. This class includes utility methods for working with JAR files, such as extracting entries from a JAR file into a specified directory. The code uses standard Java libraries like `java.io`, `java.util`, and `java.util.jar` to achieve these functionalities. It does not contain any</t>
        </is>
      </c>
      <c r="E2194" t="n">
        <v>0.004</v>
      </c>
      <c r="F2194" t="n">
        <v>0.0563</v>
      </c>
      <c r="G2194" t="n">
        <v>0.1181</v>
      </c>
      <c r="H2194" t="inlineStr">
        <is>
          <t>This repository contains backend software components that implement core algorithms. The complexity of the implementation is O(N), indicating linear time complexity relative to the input size. The README provides information about the project's purpose and structure.</t>
        </is>
      </c>
      <c r="I2194" t="n">
        <v>0.0073</v>
      </c>
      <c r="J2194" t="n">
        <v>0.2174</v>
      </c>
      <c r="K2194" t="n">
        <v>0.2315</v>
      </c>
      <c r="L2194" t="inlineStr">
        <is>
          <t>The provided Java code snippet from Spring Boot's `EmbeddedWebApplicationContext` class implements methods to load resources from a JAR file into the application context. It includes functionalities such as reading files from a specified directory within the JAR and copying them to the local filesystem. The code uses Java's built-in `JarFile`, `JarEntry`, and `FileOutputStream` classes to achieve these tasks efficiently.</t>
        </is>
      </c>
      <c r="M2194" t="n">
        <v>0.0037</v>
      </c>
      <c r="N2194" t="n">
        <v>0.0857</v>
      </c>
      <c r="O2194" t="n">
        <v>0.1145</v>
      </c>
    </row>
    <row r="2195">
      <c r="A2195" t="inlineStr">
        <is>
          <t>springboot</t>
        </is>
      </c>
      <c r="B2195" t="inlineStr">
        <is>
          <t>integration-test/spring-boot-server-integration-tests/src/intTest/java/org/springframework/boot/context/embedded/Application.java</t>
        </is>
      </c>
      <c r="C2195">
        <f>HYPERLINK("https://github.com/spring-projects/spring-boot/blob/master/integration-test/spring-boot-server-integration-tests/src/intTest/java/org/springframework/boot/context/embedded/Application.java")</f>
        <v/>
      </c>
      <c r="D2195" t="inlineStr">
        <is>
          <t>The provided Java class `Application` represents a pre-configured application that can be executed using a specified packaging format and container type. It includes fields for the packaging (`packaging`) and container (`container`). The constructor initializes these fields, and there is a method `getPackaging()` to retrieve the packaging type. This class is part of a larger system designed to manage and launch applications within containers,</t>
        </is>
      </c>
      <c r="E2195" t="n">
        <v>0.0034</v>
      </c>
      <c r="F2195" t="n">
        <v>0.0556</v>
      </c>
      <c r="G2195" t="n">
        <v>0.1111</v>
      </c>
      <c r="H2195" t="inlineStr">
        <is>
          <t>The repository contains backend software components implementing core algorithms. The complexity is O(N), indicating linear time complexity, which means it scales proportionally with the input size.</t>
        </is>
      </c>
      <c r="I2195" t="n">
        <v>0.0086</v>
      </c>
      <c r="J2195" t="n">
        <v>0.1714</v>
      </c>
      <c r="K2195" t="n">
        <v>0.2608</v>
      </c>
      <c r="L2195" t="inlineStr">
        <is>
          <t>The `Application` class encapsulates details about a pre-built application, including its packaging type and the container used to run it. It provides methods to retrieve these properties, which are essential for managing and deploying applications within a Spring Boot environment.</t>
        </is>
      </c>
      <c r="M2195" t="n">
        <v>0.0046</v>
      </c>
      <c r="N2195" t="n">
        <v>0.0408</v>
      </c>
      <c r="O2195" t="n">
        <v>0.0893</v>
      </c>
    </row>
    <row r="2196">
      <c r="A2196" t="inlineStr">
        <is>
          <t>springboot</t>
        </is>
      </c>
      <c r="B2196" t="inlineStr">
        <is>
          <t>integration-test/spring-boot-server-integration-tests/src/intTest/java/org/springframework/boot/context/embedded/ExplodedApplicationLauncher.java</t>
        </is>
      </c>
      <c r="C2196">
        <f>HYPERLINK("https://github.com/spring-projects/spring-boot/blob/master/integration-test/spring-boot-server-integration-tests/src/intTest/java/org/springframework/boot/context/embedded/ExplodedApplicationLauncher.java")</f>
        <v/>
      </c>
      <c r="D2196" t="inlineStr">
        <is>
          <t>The provided Java code snippet defines a class `JarExtractor` within the package `org.springframework.boot.context.embedded`. This class appears to be responsible for extracting files from a JAR archive into a specified directory. The main method demonstrates how to use this class to extract all entries from a given JAR file into a target directory.
Here's a brief summary of the key functionalities:
1. **Class</t>
        </is>
      </c>
      <c r="E2196" t="n">
        <v>0.0029</v>
      </c>
      <c r="F2196" t="n">
        <v>0.0533</v>
      </c>
      <c r="G2196" t="n">
        <v>0.0746</v>
      </c>
      <c r="H2196" t="inlineStr">
        <is>
          <t>This repository contains backend software components that implement core algorithms. The complexity is O(N), indicating linear time complexity, which means the execution time increases linearly with the size of the input data. The comments describe the implementation of these algorithms.</t>
        </is>
      </c>
      <c r="I2196" t="n">
        <v>0.0061</v>
      </c>
      <c r="J2196" t="n">
        <v>0.1633</v>
      </c>
      <c r="K2196" t="n">
        <v>0.1786</v>
      </c>
      <c r="L2196" t="inlineStr">
        <is>
          <t>This Java class provides utility methods for managing embedded web applications within Spring Boot contexts. It includes functionalities such as copying files from a JAR archive to a specified directory, extracting resources from a JAR, and handling file system utilities related to these tasks. The class is designed to simplify the process of deploying and configuring web applications during development and testing phases.</t>
        </is>
      </c>
      <c r="M2196" t="n">
        <v>0.0034</v>
      </c>
      <c r="N2196" t="n">
        <v>0.08450000000000001</v>
      </c>
      <c r="O2196" t="n">
        <v>0.1111</v>
      </c>
    </row>
    <row r="2197">
      <c r="A2197" t="inlineStr">
        <is>
          <t>springboot</t>
        </is>
      </c>
      <c r="B2197" t="inlineStr">
        <is>
          <t>integration-test/spring-boot-server-integration-tests/src/intTest/java/org/springframework/boot/context/embedded/EmbeddedServletContainerJarDevelopmentIntegrationTests.java</t>
        </is>
      </c>
      <c r="C2197">
        <f>HYPERLINK("https://github.com/spring-projects/spring-boot/blob/master/integration-test/spring-boot-server-integration-tests/src/intTest/java/org/springframework/boot/context/embedded/EmbeddedServletContainerJarDevelopmentIntegrationTests.java")</f>
        <v/>
      </c>
      <c r="D2197" t="inlineStr">
        <is>
          <t>The provided Java code snippet defines a JUnit test template that tests the HTTP GET request response from a Spring Boot application using RestTemplate. The test checks if the status code of the response is HttpStatus.OK (200) when accessing a specified URL. This test is disabled on Windows operating systems due to known issues related to network connectivity testing.</t>
        </is>
      </c>
      <c r="E2197" t="n">
        <v>0.0031</v>
      </c>
      <c r="F2197" t="n">
        <v>0.0294</v>
      </c>
      <c r="G2197" t="n">
        <v>0.07630000000000001</v>
      </c>
      <c r="H2197" t="inlineStr">
        <is>
          <t>This repository contains backend software components that implement core algorithms. The complexity of these implementations is O(N), indicating they scale linearly with input size.</t>
        </is>
      </c>
      <c r="I2197" t="n">
        <v>0.0104</v>
      </c>
      <c r="J2197" t="n">
        <v>0.2424</v>
      </c>
      <c r="K2197" t="n">
        <v>0.2083</v>
      </c>
      <c r="L2197" t="inlineStr">
        <is>
          <t>The code provides a simple RESTful service that uses Spring Boot's embedded server to handle HTTP requests. It includes basic tests using JUnit Jupiter to verify the response status codes when accessing different endpoints. The `RestTemplate` class is used to make HTTP calls to these endpoints.</t>
        </is>
      </c>
      <c r="M2197" t="n">
        <v>0</v>
      </c>
      <c r="N2197" t="n">
        <v>0</v>
      </c>
      <c r="O2197" t="n">
        <v>0.0424</v>
      </c>
    </row>
    <row r="2198">
      <c r="A2198" t="inlineStr">
        <is>
          <t>springboot</t>
        </is>
      </c>
      <c r="B2198" t="inlineStr">
        <is>
          <t>integration-test/spring-boot-server-integration-tests/src/intTest/java/org/springframework/boot/context/embedded/AbstractApplicationLauncher.java</t>
        </is>
      </c>
      <c r="C2198">
        <f>HYPERLINK("https://github.com/spring-projects/spring-boot/blob/master/integration-test/spring-boot-server-integration-tests/src/intTest/java/org/springframework/boot/context/embedded/AbstractApplicationLauncher.java")</f>
        <v/>
      </c>
      <c r="D2198" t="inlineStr">
        <is>
          <t>The provided Java code defines a JUnit Jupiter extension that sets up a temporary directory before each test method runs. It uses Awaitility to wait for the directory to be created within a specified timeout duration. The extension also provides methods to read from and write to files within the temporary directory using `FileReader` and `PrintStream`. The complexity of the implementation is O(1) as it involves basic</t>
        </is>
      </c>
      <c r="E2198" t="n">
        <v>0.0027</v>
      </c>
      <c r="F2198" t="n">
        <v>0.0263</v>
      </c>
      <c r="G2198" t="n">
        <v>0.1079</v>
      </c>
      <c r="H2198" t="inlineStr">
        <is>
          <t>This repository contains backend software components implementing core algorithms. The complexity of the implementation is O(N), indicating that it scales linearly with input size. The code base has been initialized with a single commit containing the initial codebase structure.</t>
        </is>
      </c>
      <c r="I2198" t="n">
        <v>0.0062</v>
      </c>
      <c r="J2198" t="n">
        <v>0.1667</v>
      </c>
      <c r="K2198" t="n">
        <v>0.1802</v>
      </c>
      <c r="L2198" t="inlineStr">
        <is>
          <t>The code implements a JUnit extension that waits for a specified duration before proceeding with test execution. It uses Awaitility to wait until a condition is met, which can be useful for testing asynchronous systems where dependencies might not be immediately available. The extension takes a `Duration` parameter to specify how long to wait and returns a list of files found in a given directory using a `FileReader`.</t>
        </is>
      </c>
      <c r="M2198" t="n">
        <v>0.0032</v>
      </c>
      <c r="N2198" t="n">
        <v>0.0526</v>
      </c>
      <c r="O2198" t="n">
        <v>0.1071</v>
      </c>
    </row>
    <row r="2199">
      <c r="A2199" t="inlineStr">
        <is>
          <t>springboot</t>
        </is>
      </c>
      <c r="B2199" t="inlineStr">
        <is>
          <t>integration-test/spring-boot-sni-integration-tests/spring-boot-sni-reactive-app/src/main/java/org/springframework/boot/sni/server/SniServerApplication.java</t>
        </is>
      </c>
      <c r="C2199">
        <f>HYPERLINK("https://github.com/spring-projects/spring-boot/blob/master/integration-test/spring-boot-sni-integration-tests/spring-boot-sni-reactive-app/src/main/java/org/springframework/boot/sni/server/SniServerApplication.java")</f>
        <v/>
      </c>
      <c r="D2199" t="inlineStr">
        <is>
          <t>The provided Java code defines a class `Server` within the package `org.springframework.boot.sni.server`. This class appears to be part of a Spring Boot application designed to handle server-side operations related to SSL/TLS certificates using Server Name Indication (SNI). The key functionalities include:
1. **File Handling**: It uses methods from the `java.io` package to read files, specifically handling</t>
        </is>
      </c>
      <c r="E2199" t="n">
        <v>0.0033</v>
      </c>
      <c r="F2199" t="n">
        <v>0.0563</v>
      </c>
      <c r="G2199" t="n">
        <v>0.0781</v>
      </c>
      <c r="H2199" t="inlineStr">
        <is>
          <t>The repository contains backend software components implementing core algorithms. The complexity is O(N), indicating linear time complexity, which means the execution time increases proportionally with the input size.</t>
        </is>
      </c>
      <c r="I2199" t="n">
        <v>0.008</v>
      </c>
      <c r="J2199" t="n">
        <v>0.1622</v>
      </c>
      <c r="K2199" t="n">
        <v>0.2556</v>
      </c>
      <c r="L2199" t="inlineStr">
        <is>
          <t>This Java application uses Spring Boot to serve SSL/TLS certificates from a specified directory. It reads certificate files from a given path, checks if they are valid, and serves them over HTTPS using Jetty as the web server. The application handles jar URLs and can be run as a standalone service.</t>
        </is>
      </c>
      <c r="M2199" t="n">
        <v>0.0043</v>
      </c>
      <c r="N2199" t="n">
        <v>0.0667</v>
      </c>
      <c r="O2199" t="n">
        <v>0.122</v>
      </c>
    </row>
    <row r="2200">
      <c r="A2200" t="inlineStr">
        <is>
          <t>springboot</t>
        </is>
      </c>
      <c r="B2200" t="inlineStr">
        <is>
          <t>integration-test/spring-boot-sni-integration-tests/spring-boot-sni-reactive-app/src/main/java/org/springframework/boot/sni/server/HelloController.java</t>
        </is>
      </c>
      <c r="C2200">
        <f>HYPERLINK("https://github.com/spring-projects/spring-boot/blob/master/integration-test/spring-boot-sni-integration-tests/spring-boot-sni-reactive-app/src/main/java/org/springframework/boot/sni/server/HelloController.java")</f>
        <v/>
      </c>
      <c r="D2200" t="inlineStr">
        <is>
          <t>The provided Java code defines a RESTful controller named `HelloController` within the package `org.springframework.boot.sni.server`. This controller includes a single endpoint that responds to HTTP GET requests at the root URL (`/`). The method `hello` takes a `ServerHttpRequest` as input and returns a simple string greeting message concatenated with the hostname of the incoming request. The complexity of the implementation is O</t>
        </is>
      </c>
      <c r="E2200" t="n">
        <v>0.0036</v>
      </c>
      <c r="F2200" t="n">
        <v>0.0556</v>
      </c>
      <c r="G2200" t="n">
        <v>0.1128</v>
      </c>
      <c r="H2200" t="inlineStr">
        <is>
          <t>This repository contains backend software components that implement core algorithms. The complexity of these implementations is O(N), indicating linear time complexity relative to the size of the input data. The README provides information about the repository's purpose and structure, including its license and copyright notice.</t>
        </is>
      </c>
      <c r="I2200" t="n">
        <v>0.0058</v>
      </c>
      <c r="J2200" t="n">
        <v>0.1818</v>
      </c>
      <c r="K2200" t="n">
        <v>0.2137</v>
      </c>
      <c r="L2200" t="inlineStr">
        <is>
          <t>This Spring Boot controller provides a simple endpoint that returns a greeting message when accessed via HTTP GET requests. The `hello` method takes a `ServerHttpRequest` as input and returns a string containing a personalized greeting message based on the client's IP address.</t>
        </is>
      </c>
      <c r="M2200" t="n">
        <v>0.0052</v>
      </c>
      <c r="N2200" t="n">
        <v>0.0784</v>
      </c>
      <c r="O2200" t="n">
        <v>0.0877</v>
      </c>
    </row>
    <row r="2201">
      <c r="A2201" t="inlineStr">
        <is>
          <t>springboot</t>
        </is>
      </c>
      <c r="B2201" t="inlineStr">
        <is>
          <t>integration-test/spring-boot-sni-integration-tests/spring-boot-sni-servlet-app/src/main/java/org/springframework/boot/sni/server/SniServerApplication.java</t>
        </is>
      </c>
      <c r="C2201">
        <f>HYPERLINK("https://github.com/spring-projects/spring-boot/blob/master/integration-test/spring-boot-sni-integration-tests/spring-boot-sni-servlet-app/src/main/java/org/springframework/boot/sni/server/SniServerApplication.java")</f>
        <v/>
      </c>
      <c r="D2201" t="inlineStr">
        <is>
          <t>The provided Java code defines a class `SniServer` within the package `org.springframework.boot.sni.server`. This class appears to be part of a Spring Boot application designed to handle Server Name Indication (SNI) server configurations. The main purpose of this class seems to be:
1. **File Handling**: It includes methods for handling files, such as reading from URLs and extracting resources from</t>
        </is>
      </c>
      <c r="E2201" t="n">
        <v>0.0037</v>
      </c>
      <c r="F2201" t="n">
        <v>0.0563</v>
      </c>
      <c r="G2201" t="n">
        <v>0.1145</v>
      </c>
      <c r="H2201" t="inlineStr">
        <is>
          <t>This repository contains backend software components that implement core algorithms. The complexity of the implementation is O(N), indicating linear time complexity. The README provides information about the project's purpose and structure.</t>
        </is>
      </c>
      <c r="I2201" t="n">
        <v>0.008500000000000001</v>
      </c>
      <c r="J2201" t="n">
        <v>0.2439</v>
      </c>
      <c r="K2201" t="n">
        <v>0.2427</v>
      </c>
      <c r="L2201" t="inlineStr">
        <is>
          <t>The provided Java code defines a Spring Boot application that serves as a server for SSL/TLS certificates using SNI (Server Name Indication). It includes methods for loading certificate files from JARs and directories, handling HTTPS requests, and starting the server. The code uses Spring's `SpringApplication` class to initialize and run the server.</t>
        </is>
      </c>
      <c r="M2201" t="n">
        <v>0.0035</v>
      </c>
      <c r="N2201" t="n">
        <v>0.0323</v>
      </c>
      <c r="O2201" t="n">
        <v>0.0806</v>
      </c>
    </row>
    <row r="2202">
      <c r="A2202" t="inlineStr">
        <is>
          <t>springboot</t>
        </is>
      </c>
      <c r="B2202" t="inlineStr">
        <is>
          <t>integration-test/spring-boot-sni-integration-tests/spring-boot-sni-servlet-app/src/main/java/org/springframework/boot/sni/server/HelloController.java</t>
        </is>
      </c>
      <c r="C2202">
        <f>HYPERLINK("https://github.com/spring-projects/spring-boot/blob/master/integration-test/spring-boot-sni-integration-tests/spring-boot-sni-servlet-app/src/main/java/org/springframework/boot/sni/server/HelloController.java")</f>
        <v/>
      </c>
      <c r="D2202" t="inlineStr">
        <is>
          <t>The code defines a simple REST controller that responds to HTTP GET requests with a greeting message indicating the server's name. The `hello` method retrieves the request URL using `request.getRequestURL()` and returns it as part of the response string. This implementation does not include any complex algorithms or comments; its primary purpose is to serve basic web content.</t>
        </is>
      </c>
      <c r="E2202" t="n">
        <v>0.0037</v>
      </c>
      <c r="F2202" t="n">
        <v>0.0588</v>
      </c>
      <c r="G2202" t="n">
        <v>0.1538</v>
      </c>
      <c r="H2202" t="inlineStr">
        <is>
          <t>This repository contains backend software components that implement core algorithms. The complexity of these implementations is O(N), indicating they scale linearly with input size. The comments provide details about their implementation.</t>
        </is>
      </c>
      <c r="I2202" t="n">
        <v>0.007900000000000001</v>
      </c>
      <c r="J2202" t="n">
        <v>0.2</v>
      </c>
      <c r="K2202" t="n">
        <v>0.1942</v>
      </c>
      <c r="L2202" t="inlineStr">
        <is>
          <t>This Spring Boot controller provides a simple RESTful endpoint that returns a greeting message containing the requested URL. The `hello` method uses the `HttpServletRequest` object to access the client's request URI and constructs a response string accordingly.</t>
        </is>
      </c>
      <c r="M2202" t="n">
        <v>0.006</v>
      </c>
      <c r="N2202" t="n">
        <v>0.08699999999999999</v>
      </c>
      <c r="O2202" t="n">
        <v>0.1376</v>
      </c>
    </row>
    <row r="2203">
      <c r="A2203" t="inlineStr">
        <is>
          <t>springboot</t>
        </is>
      </c>
      <c r="B2203" t="inlineStr">
        <is>
          <t>integration-test/spring-boot-sni-integration-tests/spring-boot-sni-client-app/src/main/java/org/springframework/boot/sni/client/SniClientApplication.java</t>
        </is>
      </c>
      <c r="C2203">
        <f>HYPERLINK("https://github.com/spring-projects/spring-boot/blob/master/integration-test/spring-boot-sni-integration-tests/spring-boot-sni-client-app/src/main/java/org/springframework/boot/sni/client/SniClientApplication.java")</f>
        <v/>
      </c>
      <c r="D2203" t="inlineStr">
        <is>
          <t>The provided Java code defines a Spring Boot application that serves as a server using SNI (Server Name Indication) to handle multiple SSL/TLS connections based on the hostname requested. The application includes:
- A `CommandLineRunner` interface implementation to run custom logic when the application starts.
- An `@SpringBootApplication` annotation to enable auto-configuration, component scanning, and embedding Tomcat as the</t>
        </is>
      </c>
      <c r="E2203" t="n">
        <v>0.0031</v>
      </c>
      <c r="F2203" t="n">
        <v>0.0597</v>
      </c>
      <c r="G2203" t="n">
        <v>0.1145</v>
      </c>
      <c r="H2203" t="inlineStr">
        <is>
          <t>The code implements a Spring Boot application that serves as a REST client for making HTTP requests. It includes features such as command-line execution, web server configuration, and dependency injection using Spring Boot's auto-configuration capabilities. The complexity is high due to its extensive dependencies and potential integration points within larger applications.</t>
        </is>
      </c>
      <c r="I2203" t="n">
        <v>0.0043</v>
      </c>
      <c r="J2203" t="n">
        <v>0.0645</v>
      </c>
      <c r="K2203" t="n">
        <v>0.122</v>
      </c>
      <c r="L2203" t="inlineStr">
        <is>
          <t>The provided Java code defines a Spring Boot application that serves as a server for handling SNI (Server Name Indication) requests. It uses REST client autoconfiguration to facilitate communication between different services within the same network. The `CommandLineRunner` interface allows the application to execute custom initialization tasks when started. The application can be run using the command line, specifying the web application type as `WebApplicationType</t>
        </is>
      </c>
      <c r="M2203" t="n">
        <v>0</v>
      </c>
      <c r="N2203" t="n">
        <v>0</v>
      </c>
      <c r="O2203" t="n">
        <v>0.0365</v>
      </c>
    </row>
    <row r="2204">
      <c r="A2204" t="inlineStr">
        <is>
          <t>springboot</t>
        </is>
      </c>
      <c r="B2204" t="inlineStr">
        <is>
          <t>integration-test/spring-boot-sni-integration-tests/src/intTest/java/org/springframework/boot/sni/SniIntegrationTests.java</t>
        </is>
      </c>
      <c r="C2204">
        <f>HYPERLINK("https://github.com/spring-projects/spring-boot/blob/master/integration-test/spring-boot-sni-integration-tests/src/intTest/java/org/springframework/boot/sni/SniIntegrationTests.java")</f>
        <v/>
      </c>
      <c r="D2204" t="inlineStr">
        <is>
          <t>The provided Java code defines a class `SNI` within the package `org.springframework.boot.sni`. It includes methods for setting up SSL/TLS configurations using SNI (Server Name Indication) and handling server-side certificate validation. The code uses TestContainers for running container-based tests and Awaitility for waiting for conditions during testing. The complexity of the implementation is O(N), where N represents the</t>
        </is>
      </c>
      <c r="E2204" t="n">
        <v>0.0032</v>
      </c>
      <c r="F2204" t="n">
        <v>0.0278</v>
      </c>
      <c r="G2204" t="n">
        <v>0.1163</v>
      </c>
      <c r="H2204" t="inlineStr">
        <is>
          <t>The repository contains backend software components that implement core algorithms. The complexity of the implementation is O(N), indicating linear time complexity. The README provides information about the project's license, package structure, and includes comments describing the implementation details. The code size is 1000 lines.</t>
        </is>
      </c>
      <c r="I2204" t="n">
        <v>0.0055</v>
      </c>
      <c r="J2204" t="n">
        <v>0.1481</v>
      </c>
      <c r="K2204" t="n">
        <v>0.1724</v>
      </c>
      <c r="L2204" t="inlineStr">
        <is>
          <t>The provided Java code defines a test suite for Spring Boot's SNI (Server Name Indication) implementation using TestContainers. It includes parameterized tests that verify the correct handling of SNI configurations across different scenarios, such as multiple certificates per host and varying certificate validity periods. The tests utilize Awaitility for waiting on expected conditions during container startup and shutdown.</t>
        </is>
      </c>
      <c r="M2204" t="n">
        <v>0.0031</v>
      </c>
      <c r="N2204" t="n">
        <v>0.0597</v>
      </c>
      <c r="O2204" t="n">
        <v>0.1154</v>
      </c>
    </row>
    <row r="2205">
      <c r="A2205" t="inlineStr">
        <is>
          <t>springboot</t>
        </is>
      </c>
      <c r="B2205" t="inlineStr">
        <is>
          <t>integration-test/spring-boot-actuator-integration-tests/src/test/java/org/springframework/boot/actuate/context/properties/ConfigurationPropertiesReportEndpointWebIntegrationTests.java</t>
        </is>
      </c>
      <c r="C2205">
        <f>HYPERLINK("https://github.com/spring-projects/spring-boot/blob/master/integration-test/spring-boot-actuator-integration-tests/src/test/java/org/springframework/boot/actuate/context/properties/ConfigurationPropertiesReportEndpointWebIntegrationTests.java")</f>
        <v/>
      </c>
      <c r="D2205" t="inlineStr">
        <is>
          <t>The provided Java code snippet appears to be part of a Spring Boot application that includes Actuator endpoints for context properties. The class `ContextPropertyWebMvcEndpoint` extends `AbstractWebMvcEndpoint` and provides methods to expose configuration properties as web endpoints. It uses annotations such as `@ConfigurationProperties`, `@Show`, and `@WebEndpointTest` to define how these properties should be exposed via</t>
        </is>
      </c>
      <c r="E2205" t="n">
        <v>0.0034</v>
      </c>
      <c r="F2205" t="n">
        <v>0.0323</v>
      </c>
      <c r="G2205" t="n">
        <v>0.0794</v>
      </c>
      <c r="H2205" t="inlineStr">
        <is>
          <t>The repository contains backend software components that implement core algorithms. The complexity of these implementations is O(N), indicating they scale linearly with input size.</t>
        </is>
      </c>
      <c r="I2205" t="n">
        <v>0.0094</v>
      </c>
      <c r="J2205" t="n">
        <v>0.1818</v>
      </c>
      <c r="K2205" t="n">
        <v>0.1562</v>
      </c>
      <c r="L2205" t="inlineStr">
        <is>
          <t>The provided Java code defines a test class `ContextPropertyWebMvcEndpointTests` that uses JUnit Jupiter to verify the functionality of context properties web MVC endpoints within Spring Boot Actuator. The tests focus on checking how these endpoints handle configuration properties and their visibility settings when exposed via HTTP requests. The class includes setup methods to initialize necessary configurations before each test case runs.</t>
        </is>
      </c>
      <c r="M2205" t="n">
        <v>0.0036</v>
      </c>
      <c r="N2205" t="n">
        <v>0.058</v>
      </c>
      <c r="O2205" t="n">
        <v>0.0752</v>
      </c>
    </row>
    <row r="2206">
      <c r="A2206" t="inlineStr">
        <is>
          <t>springboot</t>
        </is>
      </c>
      <c r="B2206" t="inlineStr">
        <is>
          <t>integration-test/spring-boot-actuator-integration-tests/src/test/java/org/springframework/boot/actuate/env/EnvironmentEndpointWebIntegrationTests.java</t>
        </is>
      </c>
      <c r="C2206">
        <f>HYPERLINK("https://github.com/spring-projects/spring-boot/blob/master/integration-test/spring-boot-actuator-integration-tests/src/test/java/org/springframework/boot/actuate/env/EnvironmentEndpointWebIntegrationTests.java")</f>
        <v/>
      </c>
      <c r="D2206" t="inlineStr">
        <is>
          <t>The provided Java code defines a test class `EnvironmentWebEndpointTests` that uses JUnit Jupiter to test the behavior of Spring Boot's environment web endpoint. The tests verify that certain properties are exposed correctly when accessed via the endpoint. The code sets up mock property values using TestPropertyValues and configures the endpoint to show sensitive information (`Show.SENSITIVE`). It includes assertions to check if the expected</t>
        </is>
      </c>
      <c r="E2206" t="n">
        <v>0.0029</v>
      </c>
      <c r="F2206" t="n">
        <v>0.0274</v>
      </c>
      <c r="G2206" t="n">
        <v>0.0741</v>
      </c>
      <c r="H2206" t="inlineStr">
        <is>
          <t>The repository contains backend software components implementing core algorithms. The complexity is O(N), indicating linear time complexity, which suggests that the algorithm scales proportionally with the input size. Comments describe the implementation as core algorithms, while commits indicate the initial creation of the codebase. The total code size is 1000 lines.</t>
        </is>
      </c>
      <c r="I2206" t="n">
        <v>0.0043</v>
      </c>
      <c r="J2206" t="n">
        <v>0.1</v>
      </c>
      <c r="K2206" t="n">
        <v>0.122</v>
      </c>
      <c r="L2206" t="inlineStr">
        <is>
          <t>The code provides a test suite for Spring Boot's environment endpoint using JUnit Jupiter. It sets up a mock environment configuration and verifies that the endpoint returns expected properties based on the `Show` annotation. The test uses `WebEndpointTest` to simulate HTTP requests and checks if the response matches the configured property values.</t>
        </is>
      </c>
      <c r="M2206" t="n">
        <v>0.0035</v>
      </c>
      <c r="N2206" t="n">
        <v>0.0328</v>
      </c>
      <c r="O2206" t="n">
        <v>0.0806</v>
      </c>
    </row>
    <row r="2207">
      <c r="A2207" t="inlineStr">
        <is>
          <t>springboot</t>
        </is>
      </c>
      <c r="B2207" t="inlineStr">
        <is>
          <t>integration-test/spring-boot-actuator-integration-tests/src/test/java/org/springframework/boot/actuate/autoconfigure/endpoint/web/WebEndpointsAutoConfigurationIntegrationTests.java</t>
        </is>
      </c>
      <c r="C2207">
        <f>HYPERLINK("https://github.com/spring-projects/spring-boot/blob/master/integration-test/spring-boot-actuator-integration-tests/src/test/java/org/springframework/boot/actuate/autoconfigure/endpoint/web/WebEndpointsAutoConfigurationIntegrationTests.java")</f>
        <v/>
      </c>
      <c r="D2207" t="inlineStr">
        <is>
          <t>The provided code snippet appears to be part of a Spring Boot application that includes configuration for auto-configuring endpoints related to health checks. The `HealthEndpoint` class likely handles the logic for retrieving system health information, which can include metrics such as memory usage, CPU load, database connectivity, etc. This endpoint might also support custom health indicators defined by users through annotations like `@Bean`. The code uses</t>
        </is>
      </c>
      <c r="E2207" t="n">
        <v>0.0028</v>
      </c>
      <c r="F2207" t="n">
        <v>0.0267</v>
      </c>
      <c r="G2207" t="n">
        <v>0.0725</v>
      </c>
      <c r="H2207" t="inlineStr">
        <is>
          <t>The provided code is a Java package containing Spring Boot Actuator endpoint web auto-configuration classes. It includes tests and user configurations, but lacks detailed implementation details about its complexity and comments. The README indicates that it contains backend software components related to health endpoints, though no specific algorithm implementations are mentioned.</t>
        </is>
      </c>
      <c r="I2207" t="n">
        <v>0.0043</v>
      </c>
      <c r="J2207" t="n">
        <v>0.0667</v>
      </c>
      <c r="K2207" t="n">
        <v>0.122</v>
      </c>
      <c r="L2207" t="inlineStr">
        <is>
          <t>The provided code defines a test class `HealthEndpointWebMvcTest` within the Spring Boot Actuator project. It includes a single JUnit test method that verifies the configuration of health endpoints using web MVC. The test checks if the necessary configurations are applied correctly when enabling auto-configuration for health endpoints.</t>
        </is>
      </c>
      <c r="M2207" t="n">
        <v>0</v>
      </c>
      <c r="N2207" t="n">
        <v>0</v>
      </c>
      <c r="O2207" t="n">
        <v>0.042</v>
      </c>
    </row>
    <row r="2208">
      <c r="A2208" t="inlineStr">
        <is>
          <t>springboot</t>
        </is>
      </c>
      <c r="B2208" t="inlineStr">
        <is>
          <t>integration-test/spring-boot-actuator-integration-tests/src/test/java/org/springframework/boot/actuate/autoconfigure/endpoint/jmx/JmxEndpointAccessIntegrationTests.java</t>
        </is>
      </c>
      <c r="C2208">
        <f>HYPERLINK("https://github.com/spring-projects/spring-boot/blob/master/integration-test/spring-boot-actuator-integration-tests/src/test/java/org/springframework/boot/actuate/autoconfigure/endpoint/jmx/JmxEndpointAccessIntegrationTests.java")</f>
        <v/>
      </c>
      <c r="D2208" t="inlineStr">
        <is>
          <t>The provided Java code defines a JUnit test class that tests the `BeansEndpointAutoConfiguration` class from Spring Boot Actuator's auto-configuration package. The test checks if the `beans()` method returns an instance of `MBeanOperationInfo`. It uses reflection to create an object name and then attempts to retrieve the MBean operation information using the MBean server. If successful, it asserts that</t>
        </is>
      </c>
      <c r="E2208" t="n">
        <v>0.0031</v>
      </c>
      <c r="F2208" t="n">
        <v>0.0294</v>
      </c>
      <c r="G2208" t="n">
        <v>0.0769</v>
      </c>
      <c r="H2208" t="inlineStr">
        <is>
          <t>This repository contains backend software components that implement core algorithms. The complexity of the implementation is O(N), indicating linear time complexity relative to the size of the input data. The codebase has been initialized with the first commit.</t>
        </is>
      </c>
      <c r="I2208" t="n">
        <v>0.0064</v>
      </c>
      <c r="J2208" t="n">
        <v>0.1702</v>
      </c>
      <c r="K2208" t="n">
        <v>0.1818</v>
      </c>
      <c r="L2208" t="inlineStr">
        <is>
          <t>This Java code snippet defines a test class `BeansEndpointAutoConfigurationTest` that uses JUnit Jupiter to verify the auto-configuration of the Beans endpoint in Spring Boot's Actuator framework. The test focuses on ensuring that the Beans endpoint can be registered correctly with the MBean server using JMX. It checks if the necessary MBean operation information is set up properly and handles potential exceptions related to malformed</t>
        </is>
      </c>
      <c r="M2208" t="n">
        <v>0.0034</v>
      </c>
      <c r="N2208" t="n">
        <v>0.0541</v>
      </c>
      <c r="O2208" t="n">
        <v>0.1103</v>
      </c>
    </row>
    <row r="2209">
      <c r="A2209" t="inlineStr">
        <is>
          <t>springboot</t>
        </is>
      </c>
      <c r="B2209" t="inlineStr">
        <is>
          <t>integration-test/spring-boot-actuator-integration-tests/src/test/java/org/springframework/boot/actuate/autoconfigure/endpoint/jmx/JmxEndpointIntegrationTests.java</t>
        </is>
      </c>
      <c r="C2209">
        <f>HYPERLINK("https://github.com/spring-projects/spring-boot/blob/master/integration-test/spring-boot-actuator-integration-tests/src/test/java/org/springframework/boot/actuate/autoconfigure/endpoint/jmx/JmxEndpointIntegrationTests.java")</f>
        <v/>
      </c>
      <c r="D2209" t="inlineStr">
        <is>
          <t>The provided Java code defines an auto-configuration class for JMX endpoints in Spring Boot applications. It includes methods to register MBeans with a specified MBean server using their respective object names. The code handles potential exceptions such as `InstanceNotFoundException`, `IntrospectionException`, `MalformedObjectNameException`, and `ReflectionException`. This setup allows developers to expose application-specific metrics and management operations through J</t>
        </is>
      </c>
      <c r="E2209" t="n">
        <v>0.0039</v>
      </c>
      <c r="F2209" t="n">
        <v>0.0606</v>
      </c>
      <c r="G2209" t="n">
        <v>0.1172</v>
      </c>
      <c r="H2209" t="inlineStr">
        <is>
          <t>Manages JMX endpoints for Spring Boot applications. Complexity depends on the number of managed beans.</t>
        </is>
      </c>
      <c r="I2209" t="n">
        <v>0</v>
      </c>
      <c r="J2209" t="n">
        <v>0</v>
      </c>
      <c r="K2209" t="n">
        <v>0</v>
      </c>
      <c r="L2209" t="inlineStr">
        <is>
          <t>This Java package provides auto-configuration for JMX endpoints in Spring Boot applications, allowing developers to expose application metrics and health checks via JMX interfaces. The code includes classes that register MBeans for various endpoint types, such as `HealthEndpoint`, `MetricsEndpoint`, and others, which can be accessed through standard JMX tools like JConsole or VisualVM. The implementation uses reflection to introspect and</t>
        </is>
      </c>
      <c r="M2209" t="n">
        <v>0.0036</v>
      </c>
      <c r="N2209" t="n">
        <v>0.08699999999999999</v>
      </c>
      <c r="O2209" t="n">
        <v>0.1515</v>
      </c>
    </row>
    <row r="2210">
      <c r="A2210" t="inlineStr">
        <is>
          <t>springboot</t>
        </is>
      </c>
      <c r="B2210" t="inlineStr">
        <is>
          <t>integration-test/spring-boot-actuator-integration-tests/src/test/java/org/springframework/boot/actuate/sbom/SbomEndpointSyftWebIntegrationTests.java</t>
        </is>
      </c>
      <c r="C2210">
        <f>HYPERLINK("https://github.com/spring-projects/spring-boot/blob/master/integration-test/spring-boot-actuator-integration-tests/src/test/java/org/springframework/boot/actuate/sbom/SbomEndpointSyftWebIntegrationTests.java")</f>
        <v/>
      </c>
      <c r="D2210" t="inlineStr">
        <is>
          <t>The provided code is part of a Spring Boot application that includes an endpoint for generating Software Bill of Materials (SBOM) data. The SBOM is a list of all dependencies used in a project, which can be useful for security audits and compliance checks. The code uses WebFlux for reactive web endpoints and integrates with Spring Actuator's `WebEndpointTest` framework for testing purposes. It also</t>
        </is>
      </c>
      <c r="E2210" t="n">
        <v>0.0028</v>
      </c>
      <c r="F2210" t="n">
        <v>0.0548</v>
      </c>
      <c r="G2210" t="n">
        <v>0.1103</v>
      </c>
      <c r="H2210" t="inlineStr">
        <is>
          <t>This repository contains backend software components implementing core algorithms. The complexity of the implementation is O(N), indicating linear time complexity. The README provides information about the project's license, package structure, test configuration, bean definitions, resource loading, HTTP media types, and web endpoint testing. The code size is 1000 lines.</t>
        </is>
      </c>
      <c r="I2210" t="n">
        <v>0.0053</v>
      </c>
      <c r="J2210" t="n">
        <v>0.1695</v>
      </c>
      <c r="K2210" t="n">
        <v>0.2066</v>
      </c>
      <c r="L2210" t="inlineStr">
        <is>
          <t>The provided code defines a Spring Boot Actuator endpoint that generates Software Bill of Materials (SBOM). It includes configuration for setting up the SBOM generation process using Maven's dependency management capabilities. The endpoint returns the generated SBOM as a JSON response.</t>
        </is>
      </c>
      <c r="M2210" t="n">
        <v>0</v>
      </c>
      <c r="N2210" t="n">
        <v>0.04</v>
      </c>
      <c r="O2210" t="n">
        <v>0.0885</v>
      </c>
    </row>
    <row r="2211">
      <c r="A2211" t="inlineStr">
        <is>
          <t>springboot</t>
        </is>
      </c>
      <c r="B2211" t="inlineStr">
        <is>
          <t>integration-test/spring-boot-actuator-integration-tests/src/test/java/org/springframework/boot/actuate/sbom/SbomEndpointSpdxWebIntegrationTests.java</t>
        </is>
      </c>
      <c r="C2211">
        <f>HYPERLINK("https://github.com/spring-projects/spring-boot/blob/master/integration-test/spring-boot-actuator-integration-tests/src/test/java/org/springframework/boot/actuate/sbom/SbomEndpointSpdxWebIntegrationTests.java")</f>
        <v/>
      </c>
      <c r="D2211" t="inlineStr">
        <is>
          <t>The provided code defines a Spring Boot Actuator endpoint that generates Software Bill of Materials (SBOM) data. It includes configuration settings for the endpoint, such as specifying the media type and resource loader. The `@WebEndpointTest` annotation indicates that it's part of a test environment for web endpoints. The complexity of the implementation is O(N), where N represents the number of resources being processed.</t>
        </is>
      </c>
      <c r="E2211" t="n">
        <v>0.0029</v>
      </c>
      <c r="F2211" t="n">
        <v>0.0548</v>
      </c>
      <c r="G2211" t="n">
        <v>0.1481</v>
      </c>
      <c r="H2211" t="inlineStr">
        <is>
          <t>The code implements a Spring Boot Actuator endpoint that generates Software Bill of Materials (SBOM) data. It includes configuration classes, test setup, and resource loading capabilities. The complexity is high due to its extensive dependencies and integration with other Spring Boot features.</t>
        </is>
      </c>
      <c r="I2211" t="n">
        <v>0.0052</v>
      </c>
      <c r="J2211" t="n">
        <v>0.08</v>
      </c>
      <c r="K2211" t="n">
        <v>0.1316</v>
      </c>
      <c r="L2211" t="inlineStr">
        <is>
          <t>The provided code defines a Spring Boot Actuator endpoint that generates Software Bill of Materials (SBOM). It includes configuration for testing purposes using `WebEndpointTest`, bean definitions, resource loading, media type handling, and test web reactive setup. The code complexity is O(N), where N represents the number of endpoints being tested.</t>
        </is>
      </c>
      <c r="M2211" t="n">
        <v>0.0037</v>
      </c>
      <c r="N2211" t="n">
        <v>0.0678</v>
      </c>
      <c r="O2211" t="n">
        <v>0.123</v>
      </c>
    </row>
    <row r="2212">
      <c r="A2212" t="inlineStr">
        <is>
          <t>springboot</t>
        </is>
      </c>
      <c r="B2212" t="inlineStr">
        <is>
          <t>integration-test/spring-boot-actuator-integration-tests/src/test/java/org/springframework/boot/actuate/sbom/SbomEndpointWebIntegrationTests.java</t>
        </is>
      </c>
      <c r="C2212">
        <f>HYPERLINK("https://github.com/spring-projects/spring-boot/blob/master/integration-test/spring-boot-actuator-integration-tests/src/test/java/org/springframework/boot/actuate/sbom/SbomEndpointWebIntegrationTests.java")</f>
        <v/>
      </c>
      <c r="D2212" t="inlineStr">
        <is>
          <t>The provided code is part of a Spring Boot application that includes an endpoint for generating Software Bill of Materials (SBOM) data. The SBOM is a JSON array containing metadata about dependencies used in a project. The code uses the `net.minidev.json` library to handle JSON serialization and deserialization. It also utilizes Spring Boot Actuator's web endpoint testing capabilities to create a test class for</t>
        </is>
      </c>
      <c r="E2212" t="n">
        <v>0.0028</v>
      </c>
      <c r="F2212" t="n">
        <v>0.0533</v>
      </c>
      <c r="G2212" t="n">
        <v>0.1103</v>
      </c>
      <c r="H2212" t="inlineStr">
        <is>
          <t>The code implements core algorithms for a backend system using Spring Boot Actuator and JSON processing. It includes configuration classes, test endpoints, and resource loading capabilities. The complexity is high due to the extensive implementation of various algorithms.</t>
        </is>
      </c>
      <c r="I2212" t="n">
        <v>0.0114</v>
      </c>
      <c r="J2212" t="n">
        <v>0.1304</v>
      </c>
      <c r="K2212" t="n">
        <v>0.2869</v>
      </c>
      <c r="L2212" t="inlineStr">
        <is>
          <t>This Spring Boot Actuator component generates Software Bill of Materials (SBOM) data as JSON responses from web endpoints. It uses the `net.minidev.json` library to handle JSON serialization and provides configuration options through annotations. The class includes methods annotated with `@WebEndpointTest`, allowing testing of endpoint functionalities without running a full application context.</t>
        </is>
      </c>
      <c r="M2212" t="n">
        <v>0.0043</v>
      </c>
      <c r="N2212" t="n">
        <v>0.0984</v>
      </c>
      <c r="O2212" t="n">
        <v>0.1626</v>
      </c>
    </row>
    <row r="2213">
      <c r="A2213" t="inlineStr">
        <is>
          <t>springboot</t>
        </is>
      </c>
      <c r="B2213" t="inlineStr">
        <is>
          <t>integration-test/spring-boot-actuator-integration-tests/src/test/java/org/springframework/boot/actuate/sbom/SbomEndpointCycloneDxWebIntegrationTests.java</t>
        </is>
      </c>
      <c r="C2213">
        <f>HYPERLINK("https://github.com/spring-projects/spring-boot/blob/master/integration-test/spring-boot-actuator-integration-tests/src/test/java/org/springframework/boot/actuate/sbom/SbomEndpointCycloneDxWebIntegrationTests.java")</f>
        <v/>
      </c>
      <c r="D2213" t="inlineStr">
        <is>
          <t>The provided code is part of a Spring Boot application that includes an endpoint for generating Software Bill of Materials (SBOM). The SBOM data can be retrieved as JSON or XML format. It uses WebFlux for handling HTTP requests and provides configuration options for specifying the media types supported. The code also includes test configurations using `WebEndpointTest` from Spring Boot Actuator.</t>
        </is>
      </c>
      <c r="E2213" t="n">
        <v>0.003</v>
      </c>
      <c r="F2213" t="n">
        <v>0.058</v>
      </c>
      <c r="G2213" t="n">
        <v>0.1128</v>
      </c>
      <c r="H2213" t="inlineStr">
        <is>
          <t>The repository contains backend software components implementing core algorithms. The complexity is O(N), indicating linear time complexity.</t>
        </is>
      </c>
      <c r="I2213" t="n">
        <v>0.0137</v>
      </c>
      <c r="J2213" t="n">
        <v>0.2308</v>
      </c>
      <c r="K2213" t="n">
        <v>0.2871</v>
      </c>
      <c r="L2213" t="inlineStr">
        <is>
          <t>This Spring Boot Actuator component generates Software Bill of Materials (SBOMs) as web endpoints. It uses annotations from `org.springframework.boot.actuate.endpoint.web.test` to create test endpoints for SBOM generation. The configuration includes a bean that loads resources using `ResourceLoader`, which is used to access files needed for generating the SBOMs. The generated SBOMs can be accessed via HTTP</t>
        </is>
      </c>
      <c r="M2213" t="n">
        <v>0.0033</v>
      </c>
      <c r="N2213" t="n">
        <v>0.058</v>
      </c>
      <c r="O2213" t="n">
        <v>0.1181</v>
      </c>
    </row>
    <row r="2214">
      <c r="A2214" t="inlineStr">
        <is>
          <t>springboot</t>
        </is>
      </c>
      <c r="B2214" t="inlineStr">
        <is>
          <t>integration-test/spring-boot-actuator-integration-tests/src/test/java/org/springframework/boot/actuate/web/mappings/MappingsEndpointIntegrationTests.java</t>
        </is>
      </c>
      <c r="C2214">
        <f>HYPERLINK("https://github.com/spring-projects/spring-boot/blob/master/integration-test/spring-boot-actuator-integration-tests/src/test/java/org/springframework/boot/actuate/web/mappings/MappingsEndpointIntegrationTests.java")</f>
        <v/>
      </c>
      <c r="D2214" t="inlineStr">
        <is>
          <t>The provided Java code defines a class `WebMappingsEndpoint` within the package `org.springframework.boot.actuate.web.mappings`. This class appears to be part of Spring Boot's Actuator module, which provides endpoints for monitoring and managing applications. The endpoint likely exposes information about web mappings, such as servlet registrations, filter registrations, and other relevant details about how the application handles HTTP requests.
Here's a</t>
        </is>
      </c>
      <c r="E2214" t="n">
        <v>0.0037</v>
      </c>
      <c r="F2214" t="n">
        <v>0.0822</v>
      </c>
      <c r="G2214" t="n">
        <v>0.1154</v>
      </c>
      <c r="H2214" t="inlineStr">
        <is>
          <t>The repository contains backend software components implementing core algorithms. Complexity is O(N), indicating linear time complexity. The README describes it as containing implementation details for core functionalities.</t>
        </is>
      </c>
      <c r="I2214" t="n">
        <v>0.0083</v>
      </c>
      <c r="J2214" t="n">
        <v>0.2222</v>
      </c>
      <c r="K2214" t="n">
        <v>0.1515</v>
      </c>
      <c r="L2214" t="inlineStr">
        <is>
          <t>This Java package provides web mapping support for Spring Boot applications, allowing developers to manage servlet filter registrations dynamically based on application configurations. The class `WebMappingFilterRegistrations` manages these mappings using a map that associates each filter name with a supplier function providing the corresponding FilterRegistration object. It includes methods to register filters, unregister them, and retrieve all registered filters. The implementation uses Jakarta Servlet API classes to</t>
        </is>
      </c>
      <c r="M2214" t="n">
        <v>0.0032</v>
      </c>
      <c r="N2214" t="n">
        <v>0.08</v>
      </c>
      <c r="O2214" t="n">
        <v>0.1439</v>
      </c>
    </row>
    <row r="2215">
      <c r="A2215" t="inlineStr">
        <is>
          <t>springboot</t>
        </is>
      </c>
      <c r="B2215" t="inlineStr">
        <is>
          <t>integration-test/spring-boot-actuator-integration-tests/src/test/java/org/springframework/boot/actuate/logging/LoggersEndpointWebIntegrationTests.java</t>
        </is>
      </c>
      <c r="C2215">
        <f>HYPERLINK("https://github.com/spring-projects/spring-boot/blob/master/integration-test/spring-boot-actuator-integration-tests/src/test/java/org/springframework/boot/actuate/logging/LoggersEndpointWebIntegrationTests.java")</f>
        <v/>
      </c>
      <c r="D2215" t="inlineStr">
        <is>
          <t>The provided Java code defines a class `LoggingEndpoint` within the package `org.springframework.boot.actuate.logging`. This class appears to be part of Spring Boot's Actuator module, which provides endpoints for monitoring and managing application behavior. The class likely handles logging-related operations, possibly including retrieving log configurations, updating them, or providing logs in various formats such as JSON.
Key functionalities include:
1. **</t>
        </is>
      </c>
      <c r="E2215" t="n">
        <v>0.0037</v>
      </c>
      <c r="F2215" t="n">
        <v>0.0833</v>
      </c>
      <c r="G2215" t="n">
        <v>0.1145</v>
      </c>
      <c r="H2215" t="inlineStr">
        <is>
          <t>This repository contains backend software components implementing core algorithms. The complexity of the implementation is O(N), indicating linear time complexity relative to the input size. The comments provide details about the implementation's purpose and structure.</t>
        </is>
      </c>
      <c r="I2215" t="n">
        <v>0.0075</v>
      </c>
      <c r="J2215" t="n">
        <v>0.2222</v>
      </c>
      <c r="K2215" t="n">
        <v>0.2336</v>
      </c>
      <c r="L2215" t="inlineStr">
        <is>
          <t>This Java class provides logging management functionalities using Spring Boot Actuator. It includes methods to retrieve and manipulate log levels across different sources such as console, file, and remote destinations. The class uses Mockito for unit testing purposes and handles JSON data conversion for logging configurations.</t>
        </is>
      </c>
      <c r="M2215" t="n">
        <v>0.0048</v>
      </c>
      <c r="N2215" t="n">
        <v>0.1111</v>
      </c>
      <c r="O2215" t="n">
        <v>0.1271</v>
      </c>
    </row>
    <row r="2216">
      <c r="A2216" t="inlineStr">
        <is>
          <t>springboot</t>
        </is>
      </c>
      <c r="B2216" t="inlineStr">
        <is>
          <t>integration-test/spring-boot-actuator-integration-tests/src/test/java/org/springframework/boot/actuate/logging/LogFileWebEndpointWebIntegrationTests.java</t>
        </is>
      </c>
      <c r="C2216">
        <f>HYPERLINK("https://github.com/spring-projects/spring-boot/blob/master/integration-test/spring-boot-actuator-integration-tests/src/test/java/org/springframework/boot/actuate/logging/LogFileWebEndpointWebIntegrationTests.java")</f>
        <v/>
      </c>
      <c r="D2216" t="inlineStr">
        <is>
          <t>The provided Java code snippet appears to be part of a Spring Boot application that includes logging management functionalities. It defines a test class `LogFileControllerTests` which extends `WebEndpointTest`. This class likely tests the endpoints related to managing log files within a Spring Boot application using JUnit Jupiter. The code imports necessary classes from Spring Boot's Actuator module and sets up a temporary directory for testing purposes.</t>
        </is>
      </c>
      <c r="E2216" t="n">
        <v>0.0036</v>
      </c>
      <c r="F2216" t="n">
        <v>0.08</v>
      </c>
      <c r="G2216" t="n">
        <v>0.1449</v>
      </c>
      <c r="H2216" t="inlineStr">
        <is>
          <t>This repository contains backend software components that implement core algorithms. The complexity of these implementations is O(N), indicating they scale linearly with input size. The comments provide detailed explanations of each algorithm's implementation. The commits include an initial codebase commit. The total code size is 1000 lines.</t>
        </is>
      </c>
      <c r="I2216" t="n">
        <v>0.0051</v>
      </c>
      <c r="J2216" t="n">
        <v>0.1404</v>
      </c>
      <c r="K2216" t="n">
        <v>0.1681</v>
      </c>
      <c r="L2216" t="inlineStr">
        <is>
          <t>The provided Java code is part of Spring Boot's Actuator logging package, specifically focusing on testing the `LogFile` class using JUnit 5. It sets up a temporary directory for log files during tests and includes methods to test various aspects of the `LogFile` class, such as creating, reading, and deleting log files. The code uses annotations from both Spring Boot Actuator and JUnit</t>
        </is>
      </c>
      <c r="M2216" t="n">
        <v>0.0029</v>
      </c>
      <c r="N2216" t="n">
        <v>0.0278</v>
      </c>
      <c r="O2216" t="n">
        <v>0.0741</v>
      </c>
    </row>
    <row r="2217">
      <c r="A2217" t="inlineStr">
        <is>
          <t>springboot</t>
        </is>
      </c>
      <c r="B2217" t="inlineStr">
        <is>
          <t>integration-test/spring-boot-actuator-integration-tests/src/test/java/org/springframework/boot/actuate/info/InfoEndpointWebIntegrationTests.java</t>
        </is>
      </c>
      <c r="C2217">
        <f>HYPERLINK("https://github.com/spring-projects/spring-boot/blob/master/integration-test/spring-boot-actuator-integration-tests/src/test/java/org/springframework/boot/actuate/info/InfoEndpointWebIntegrationTests.java")</f>
        <v/>
      </c>
      <c r="D2217" t="inlineStr">
        <is>
          <t>The provided Java code defines a configuration class `InfoConfiguration` within the package `org.springframework.boot.actuate.info`. This class is part of Spring Boot's Actuator module, which provides endpoints that expose information about the application and its environment. The main purpose of this configuration is to define beans related to providing system information through web endpoints.
Key points:
1. **Package**: The code resides in the</t>
        </is>
      </c>
      <c r="E2217" t="n">
        <v>0.0036</v>
      </c>
      <c r="F2217" t="n">
        <v>0.08110000000000001</v>
      </c>
      <c r="G2217" t="n">
        <v>0.1128</v>
      </c>
      <c r="H2217" t="inlineStr">
        <is>
          <t>This repository contains backend software components that implement core algorithms. The complexity of these implementations is O(N), indicating linear time complexity relative to the size of the input data. The README provides information about the project's license, package structure, and includes comments explaining the implementation details. The code size is 1000 lines, suggesting it covers multiple functionalities within the system.</t>
        </is>
      </c>
      <c r="I2217" t="n">
        <v>0.0043</v>
      </c>
      <c r="J2217" t="n">
        <v>0.1429</v>
      </c>
      <c r="K2217" t="n">
        <v>0.2273</v>
      </c>
      <c r="L2217" t="inlineStr">
        <is>
          <t>The provided code defines a Spring Boot Actuator endpoint that returns application metadata as a map. It uses `LinkedHashMap` to preserve insertion order and includes comments indicating implementation of core algorithms. The class is part of a larger repository containing backend software components.</t>
        </is>
      </c>
      <c r="M2217" t="n">
        <v>0.0056</v>
      </c>
      <c r="N2217" t="n">
        <v>0.0784</v>
      </c>
      <c r="O2217" t="n">
        <v>0.2174</v>
      </c>
    </row>
    <row r="2218">
      <c r="A2218" t="inlineStr">
        <is>
          <t>springboot</t>
        </is>
      </c>
      <c r="B2218" t="inlineStr">
        <is>
          <t>integration-test/spring-boot-actuator-integration-tests/src/test/java/org/springframework/boot/actuate/metrics/MetricsEndpointWebIntegrationTests.java</t>
        </is>
      </c>
      <c r="C2218">
        <f>HYPERLINK("https://github.com/spring-projects/spring-boot/blob/master/integration-test/spring-boot-actuator-integration-tests/src/test/java/org/springframework/boot/actuate/metrics/MetricsEndpointWebIntegrationTests.java")</f>
        <v/>
      </c>
      <c r="D2218" t="inlineStr">
        <is>
          <t>The provided code snippet is part of a Spring Boot application that integrates Micrometer metrics library to monitor JVM memory usage. It sets up a `MockClock` for testing purposes, registers JvmMemoryMetrics, and uses SimpleConfig for configuration. The complexity is O(1) as it involves basic operations like setting up configurations and registering metrics without iterating over large data structures.</t>
        </is>
      </c>
      <c r="E2218" t="n">
        <v>0.0031</v>
      </c>
      <c r="F2218" t="n">
        <v>0.0299</v>
      </c>
      <c r="G2218" t="n">
        <v>0.0769</v>
      </c>
      <c r="H2218" t="inlineStr">
        <is>
          <t>Manages metrics using Micrometer library. Complexity is O(N) due to processing multiple metrics. Comments describe implementation details. Commits include initial setup. Code size is 1000 lines.</t>
        </is>
      </c>
      <c r="I2218" t="n">
        <v>0</v>
      </c>
      <c r="J2218" t="n">
        <v>0.0571</v>
      </c>
      <c r="K2218" t="n">
        <v>0.102</v>
      </c>
      <c r="L2218" t="inlineStr">
        <is>
          <t>This Java package provides metrics support for Spring Boot applications using Micrometer library. It includes bindings for JVM memory metrics and uses a simple configuration for metric collection. The code size is 1000 lines, with initial comments indicating implementation of core algorithms.</t>
        </is>
      </c>
      <c r="M2218" t="n">
        <v>0.0058</v>
      </c>
      <c r="N2218" t="n">
        <v>0.12</v>
      </c>
      <c r="O2218" t="n">
        <v>0.2193</v>
      </c>
    </row>
    <row r="2219">
      <c r="A2219" t="inlineStr">
        <is>
          <t>springboot</t>
        </is>
      </c>
      <c r="B2219" t="inlineStr">
        <is>
          <t>integration-test/spring-boot-actuator-integration-tests/src/test/java/org/springframework/boot/actuate/metrics/export/prometheus/PrometheusScrapeEndpointIntegrationTests.java</t>
        </is>
      </c>
      <c r="C2219">
        <f>HYPERLINK("https://github.com/spring-projects/spring-boot/blob/master/integration-test/spring-boot-actuator-integration-tests/src/test/java/org/springframework/boot/actuate/metrics/export/prometheus/PrometheusScrapeEndpointIntegrationTests.java")</f>
        <v/>
      </c>
      <c r="D2219" t="inlineStr">
        <is>
          <t>The provided Java code defines a class `PrometheusExporter` that extends `AbstractMetricExport`. It implements the Prometheus metrics exporter using Micrometer's `PrometheusMeterRegistry`. The class provides methods to export various types of metrics such as counters, gauges, timers, etc., into Open Metrics text format. The implementation uses Micrometer's `Clock` to get the current time and registers different metric</t>
        </is>
      </c>
      <c r="E2219" t="n">
        <v>0.004</v>
      </c>
      <c r="F2219" t="n">
        <v>0.0615</v>
      </c>
      <c r="G2219" t="n">
        <v>0.1181</v>
      </c>
      <c r="H2219" t="inlineStr">
        <is>
          <t>Implements core algorithms using Prometheus metrics library. Complexity is O(N).</t>
        </is>
      </c>
      <c r="I2219" t="n">
        <v>0.0211</v>
      </c>
      <c r="J2219" t="n">
        <v>0.2105</v>
      </c>
      <c r="K2219" t="n">
        <v>0.3117</v>
      </c>
      <c r="L2219" t="inlineStr">
        <is>
          <t>This Java class implements Prometheus metrics export using Micrometer's `PrometheusMeterRegistry`. It initializes a registry that can be used to register counters and other metrics, which are then exposed via Open Metrics text format. The class uses a default clock if none is provided.</t>
        </is>
      </c>
      <c r="M2219" t="n">
        <v>0.0056</v>
      </c>
      <c r="N2219" t="n">
        <v>0.1154</v>
      </c>
      <c r="O2219" t="n">
        <v>0.1739</v>
      </c>
    </row>
    <row r="2220">
      <c r="A2220" t="inlineStr">
        <is>
          <t>springboot</t>
        </is>
      </c>
      <c r="B2220" t="inlineStr">
        <is>
          <t>integration-test/spring-boot-actuator-integration-tests/src/test/java/org/springframework/boot/actuate/endpoint/web/annotation/BaseConfiguration.java</t>
        </is>
      </c>
      <c r="C2220">
        <f>HYPERLINK("https://github.com/spring-projects/spring-boot/blob/master/integration-test/spring-boot-actuator-integration-tests/src/test/java/org/springframework/boot/actuate/endpoint/web/annotation/BaseConfiguration.java")</f>
        <v/>
      </c>
      <c r="D2220" t="inlineStr">
        <is>
          <t>The provided Java code defines annotations and utility classes related to Spring Boot Actuator endpoints. It includes:
1. **Annotations**: Defines custom annotations for exposing actuator endpoints as web services.
2. **Utility Classes**:
   - `ParameterValueMapper`: A class that maps parameter values from request bodies to endpoint parameters.
   - `ConversionServiceParameterValueMapper`: Extends `ParameterValueMapper` using a conversion</t>
        </is>
      </c>
      <c r="E2220" t="n">
        <v>0.0035</v>
      </c>
      <c r="F2220" t="n">
        <v>0.0339</v>
      </c>
      <c r="G2220" t="n">
        <v>0.08</v>
      </c>
      <c r="H2220" t="inlineStr">
        <is>
          <t>This repository contains backend software components implementing core algorithms. Complexity is O(N), indicating linear time complexity in relation to input size. The README provides information about the project's license, package structure, and initial commit details.</t>
        </is>
      </c>
      <c r="I2220" t="n">
        <v>0.0075</v>
      </c>
      <c r="J2220" t="n">
        <v>0.2222</v>
      </c>
      <c r="K2220" t="n">
        <v>0.3477</v>
      </c>
      <c r="L2220" t="inlineStr">
        <is>
          <t>This Java package provides annotation-based web endpoints for Spring Boot Actuator, allowing developers to expose application metrics, health checks, and other management functionalities through RESTful APIs. The code includes utilities for parameter value mapping and conversion services, facilitating dynamic endpoint configuration and data serialization.</t>
        </is>
      </c>
      <c r="M2220" t="n">
        <v>0.005</v>
      </c>
      <c r="N2220" t="n">
        <v>0.1132</v>
      </c>
      <c r="O2220" t="n">
        <v>0.1293</v>
      </c>
    </row>
    <row r="2221">
      <c r="A2221" t="inlineStr">
        <is>
          <t>springboot</t>
        </is>
      </c>
      <c r="B2221" t="inlineStr">
        <is>
          <t>integration-test/spring-boot-actuator-integration-tests/src/test/java/org/springframework/boot/actuate/endpoint/web/annotation/AbstractWebEndpointIntegrationTests.java</t>
        </is>
      </c>
      <c r="C2221">
        <f>HYPERLINK("https://github.com/spring-projects/spring-boot/blob/master/integration-test/spring-boot-actuator-integration-tests/src/test/java/org/springframework/boot/actuate/endpoint/web/annotation/AbstractWebEndpointIntegrationTests.java")</f>
        <v/>
      </c>
      <c r="D2221" t="inlineStr">
        <is>
          <t>The provided Java code defines annotations and utilities related to web endpoints in Spring Boot Actuator. It includes classes such as `EndpointWebExchange`, which represents exchange information between a client and server during endpoint requests, and `EndpointRequest`, which encapsulates request details including headers, query parameters, and path variables. The code also provides utility methods for handling HTTP exchanges and managing security principals. The complexity of the</t>
        </is>
      </c>
      <c r="E2221" t="n">
        <v>0.0028</v>
      </c>
      <c r="F2221" t="n">
        <v>0.0274</v>
      </c>
      <c r="G2221" t="n">
        <v>0.0365</v>
      </c>
      <c r="H2221" t="inlineStr">
        <is>
          <t>This repository contains backend software components that implement core algorithms. The complexity is O(N), indicating linear time complexity for certain operations. The implementation includes various functions and classes designed to perform essential tasks efficiently.</t>
        </is>
      </c>
      <c r="I2221" t="n">
        <v>0.0077</v>
      </c>
      <c r="J2221" t="n">
        <v>0.2791</v>
      </c>
      <c r="K2221" t="n">
        <v>0.4023</v>
      </c>
      <c r="L2221" t="inlineStr">
        <is>
          <t>The provided code defines annotations for creating web endpoints that expose actuator metrics and health checks. It includes methods for handling requests, managing security, and processing responses efficiently. The code uses Java's functional interfaces like `BiConsumer`, `Consumer`, and `Supplier` to handle various aspects of endpoint creation and management.</t>
        </is>
      </c>
      <c r="M2221" t="n">
        <v>0.0038</v>
      </c>
      <c r="N2221" t="n">
        <v>0.0702</v>
      </c>
      <c r="O2221" t="n">
        <v>0.0833</v>
      </c>
    </row>
    <row r="2222">
      <c r="A2222" t="inlineStr">
        <is>
          <t>springboot</t>
        </is>
      </c>
      <c r="B2222" t="inlineStr">
        <is>
          <t>integration-test/spring-boot-actuator-integration-tests/src/test/java/org/springframework/boot/actuate/endpoint/web/jersey/JerseyWebEndpointIntegrationTests.java</t>
        </is>
      </c>
      <c r="C2222">
        <f>HYPERLINK("https://github.com/spring-projects/spring-boot/blob/master/integration-test/spring-boot-actuator-integration-tests/src/test/java/org/springframework/boot/actuate/endpoint/web/jersey/JerseyWebEndpointIntegrationTests.java")</f>
        <v/>
      </c>
      <c r="D2222" t="inlineStr">
        <is>
          <t>The provided Java code defines a Jersey-based filter that serializes responses from Spring Boot Actuator endpoints using Jackson's `ObjectMapper`. The filter intercepts HTTP requests and responses, ensuring that any objects returned by Actuator endpoints are properly serialized into JSON format before being sent back to clients. This enhances the readability and interoperability of Actuator data when accessed via web services.</t>
        </is>
      </c>
      <c r="E2222" t="n">
        <v>0.0036</v>
      </c>
      <c r="F2222" t="n">
        <v>0.0571</v>
      </c>
      <c r="G2222" t="n">
        <v>0.1136</v>
      </c>
      <c r="H2222" t="inlineStr">
        <is>
          <t>The code implements core algorithms for a backend system. It includes a filter that processes HTTP requests using Jackson for JSON serialization/deserialization. The complexity is O(N) due to potential processing of collections or arrays.</t>
        </is>
      </c>
      <c r="I2222" t="n">
        <v>0.0116</v>
      </c>
      <c r="J2222" t="n">
        <v>0.09089999999999999</v>
      </c>
      <c r="K2222" t="n">
        <v>0.2411</v>
      </c>
      <c r="L2222" t="inlineStr">
        <is>
          <t>This Java class implements a Jersey-based REST endpoint filter that serializes responses using Jackson's ObjectMapper. It filters out sensitive data from JSON responses by excluding certain fields marked as `@JsonIgnore` annotations. The filter uses a HashSet to store these ignored field names for efficient lookup during serialization.</t>
        </is>
      </c>
      <c r="M2222" t="n">
        <v>0.0046</v>
      </c>
      <c r="N2222" t="n">
        <v>0.0702</v>
      </c>
      <c r="O2222" t="n">
        <v>0.1261</v>
      </c>
    </row>
    <row r="2223">
      <c r="A2223" t="inlineStr">
        <is>
          <t>springboot</t>
        </is>
      </c>
      <c r="B2223" t="inlineStr">
        <is>
          <t>integration-test/spring-boot-actuator-integration-tests/src/test/java/org/springframework/boot/actuate/endpoint/web/servlet/ControllerEndpointHandlerMappingIntegrationTests.java</t>
        </is>
      </c>
      <c r="C2223">
        <f>HYPERLINK("https://github.com/spring-projects/spring-boot/blob/master/integration-test/spring-boot-actuator-integration-tests/src/test/java/org/springframework/boot/actuate/endpoint/web/servlet/ControllerEndpointHandlerMappingIntegrationTests.java")</f>
        <v/>
      </c>
      <c r="D2223" t="inlineStr">
        <is>
          <t>The provided Java code defines a class `EndpointAccessResolver` within the package `org.springframework.boot.actuate.endpoint.web.servlet`. This class implements an interface that resolves access control for endpoints based on their metadata. The method `resolveAccess` takes two parameters: `endpointMetadata`, which provides information about the endpoint, and `consumer`, which allows setting additional access rules if needed. The implementation checks various properties</t>
        </is>
      </c>
      <c r="E2223" t="n">
        <v>0.0044</v>
      </c>
      <c r="F2223" t="n">
        <v>0.08699999999999999</v>
      </c>
      <c r="G2223" t="n">
        <v>0.1181</v>
      </c>
      <c r="H2223" t="inlineStr">
        <is>
          <t>This repository contains backend software components implementing core algorithms. The complexity is O(N), indicating linear time complexity, which means it scales with the size of the input data. The comments describe the implementation as providing core algorithmic solutions.</t>
        </is>
      </c>
      <c r="I2223" t="n">
        <v>0.0064</v>
      </c>
      <c r="J2223" t="n">
        <v>0.1702</v>
      </c>
      <c r="K2223" t="n">
        <v>0.1818</v>
      </c>
      <c r="L2223" t="inlineStr">
        <is>
          <t>This Java package provides servlet-based endpoint support for Spring Boot Actuator, allowing developers to expose application health, metrics, and other runtime data through web requests. The code includes tests that verify access resolution for endpoints based on user roles and permissions.</t>
        </is>
      </c>
      <c r="M2223" t="n">
        <v>0.0054</v>
      </c>
      <c r="N2223" t="n">
        <v>0.08</v>
      </c>
      <c r="O2223" t="n">
        <v>0.2262</v>
      </c>
    </row>
    <row r="2224">
      <c r="A2224" t="inlineStr">
        <is>
          <t>springboot</t>
        </is>
      </c>
      <c r="B2224" t="inlineStr">
        <is>
          <t>integration-test/spring-boot-actuator-integration-tests/src/test/java/org/springframework/boot/actuate/endpoint/web/servlet/MvcWebEndpointIntegrationTests.java</t>
        </is>
      </c>
      <c r="C2224">
        <f>HYPERLINK("https://github.com/spring-projects/spring-boot/blob/master/integration-test/spring-boot-actuator-integration-tests/src/test/java/org/springframework/boot/actuate/endpoint/web/servlet/MvcWebEndpointIntegrationTests.java")</f>
        <v/>
      </c>
      <c r="D2224" t="inlineStr">
        <is>
          <t>The provided Java code defines a test class `ServletWebEndpointFilterTests` within the package `org.springframework.boot.actuate.endpoint.web.servlet`. This class includes a single JUnit test method named `testFiltering`. The purpose of this test is to verify that the servlet-based web endpoint filter behaves as expected when processing HTTP requests. The test does not provide any detailed implementation details but rather serves as a</t>
        </is>
      </c>
      <c r="E2224" t="n">
        <v>0.0031</v>
      </c>
      <c r="F2224" t="n">
        <v>0.0548</v>
      </c>
      <c r="G2224" t="n">
        <v>0.0769</v>
      </c>
      <c r="H2224" t="inlineStr">
        <is>
          <t>This repository contains backend software components that implement core algorithms. The complexity of these implementations is O(N), indicating they scale linearly with input size.</t>
        </is>
      </c>
      <c r="I2224" t="n">
        <v>0.0104</v>
      </c>
      <c r="J2224" t="n">
        <v>0.2424</v>
      </c>
      <c r="K2224" t="n">
        <v>0.2083</v>
      </c>
      <c r="L2224" t="inlineStr">
        <is>
          <t>The provided Java code defines a servlet filter that intercepts incoming HTTP requests and performs basic authentication before passing them to subsequent filters or handlers. It checks if the request includes valid credentials and sets appropriate headers based on the result. The filter uses hardcoded usernames and passwords for simplicity, which should be replaced with secure methods in production environments.</t>
        </is>
      </c>
      <c r="M2224" t="n">
        <v>0.003</v>
      </c>
      <c r="N2224" t="n">
        <v>0.0294</v>
      </c>
      <c r="O2224" t="n">
        <v>0.07580000000000001</v>
      </c>
    </row>
    <row r="2225">
      <c r="A2225" t="inlineStr">
        <is>
          <t>springboot</t>
        </is>
      </c>
      <c r="B2225" t="inlineStr">
        <is>
          <t>integration-test/spring-boot-actuator-integration-tests/src/test/java/org/springframework/boot/actuate/endpoint/web/reactive/ControllerEndpointHandlerMappingIntegrationTests.java</t>
        </is>
      </c>
      <c r="C2225">
        <f>HYPERLINK("https://github.com/spring-projects/spring-boot/blob/master/integration-test/spring-boot-actuator-integration-tests/src/test/java/org/springframework/boot/actuate/endpoint/web/reactive/ControllerEndpointHandlerMappingIntegrationTests.java")</f>
        <v/>
      </c>
      <c r="D2225" t="inlineStr">
        <is>
          <t>The provided Java code defines a test class `EndpointAccessResolverTests` that tests various functionalities related to endpoint access resolution using Spring Boot Actuator's web reactive endpoints. The class includes several unit tests that verify the behavior of methods such as `resolve`, `isAccessible`, and `getAccess`. These tests ensure that the endpoint access resolver correctly handles different scenarios, including authentication and authorization checks.</t>
        </is>
      </c>
      <c r="E2225" t="n">
        <v>0.003</v>
      </c>
      <c r="F2225" t="n">
        <v>0.058</v>
      </c>
      <c r="G2225" t="n">
        <v>0.07580000000000001</v>
      </c>
      <c r="H2225" t="inlineStr">
        <is>
          <t>This repository contains backend software components implementing core algorithms. The complexity is O(N), indicating linear time complexity for certain operations. The comments describe the implementation of these algorithms. The commits include an initial codebase commit. The total size of the codebase is 1000 lines.</t>
        </is>
      </c>
      <c r="I2225" t="n">
        <v>0.0055</v>
      </c>
      <c r="J2225" t="n">
        <v>0.1509</v>
      </c>
      <c r="K2225" t="n">
        <v>0.1724</v>
      </c>
      <c r="L2225" t="inlineStr">
        <is>
          <t>This Java package provides reactive web endpoints for Spring Boot Actuator, allowing users to access various application metrics and management interfaces through HTTP requests. The code includes classes such as `EndpointAccessResolver` which resolves endpoint access based on user roles and permissions, and tests that verify the correctness of these functionalities.</t>
        </is>
      </c>
      <c r="M2225" t="n">
        <v>0.0044</v>
      </c>
      <c r="N2225" t="n">
        <v>0.06900000000000001</v>
      </c>
      <c r="O2225" t="n">
        <v>0.123</v>
      </c>
    </row>
    <row r="2226">
      <c r="A2226" t="inlineStr">
        <is>
          <t>springboot</t>
        </is>
      </c>
      <c r="B2226" t="inlineStr">
        <is>
          <t>integration-test/spring-boot-actuator-integration-tests/src/test/java/org/springframework/boot/actuate/endpoint/web/reactive/WebFluxEndpointIntegrationTests.java</t>
        </is>
      </c>
      <c r="C2226">
        <f>HYPERLINK("https://github.com/spring-projects/spring-boot/blob/master/integration-test/spring-boot-actuator-integration-tests/src/test/java/org/springframework/boot/actuate/endpoint/web/reactive/WebFluxEndpointIntegrationTests.java")</f>
        <v/>
      </c>
      <c r="D2226" t="inlineStr">
        <is>
          <t>The provided Java code defines a test class `EndpointWebFluxControllerTests` that tests various functionalities related to webflux endpoints in Spring Boot Actuator. The class uses JUnit Jupiter annotations to define unit tests for different aspects of endpoint mapping, media types, and links resolution within a reactive environment. It includes assertions to verify expected behavior during these operations.</t>
        </is>
      </c>
      <c r="E2226" t="n">
        <v>0.0033</v>
      </c>
      <c r="F2226" t="n">
        <v>0.0625</v>
      </c>
      <c r="G2226" t="n">
        <v>0.0781</v>
      </c>
      <c r="H2226" t="inlineStr">
        <is>
          <t>This repository contains backend software components that implement core algorithms. The complexity of these implementations is O(N), indicating they scale linearly with input size. The codebase has been initialized with a single commit containing the initial implementation.</t>
        </is>
      </c>
      <c r="I2226" t="n">
        <v>0.0066</v>
      </c>
      <c r="J2226" t="n">
        <v>0.1739</v>
      </c>
      <c r="K2226" t="n">
        <v>0.1835</v>
      </c>
      <c r="L2226" t="inlineStr">
        <is>
          <t>The provided Java code defines test cases for the `EndpointLinksResolver` class within the Spring Boot Actuator project. It uses JUnit Jupiter to verify that the endpoint links resolver correctly generates links based on various configurations such as mappings, media types, and endpoints. The tests cover scenarios where different combinations of these parameters result in expected link generation outcomes.</t>
        </is>
      </c>
      <c r="M2226" t="n">
        <v>0.0031</v>
      </c>
      <c r="N2226" t="n">
        <v>0.0303</v>
      </c>
      <c r="O2226" t="n">
        <v>0.0769</v>
      </c>
    </row>
    <row r="2227">
      <c r="A2227" t="inlineStr">
        <is>
          <t>springboot</t>
        </is>
      </c>
      <c r="B2227" t="inlineStr">
        <is>
          <t>integration-test/spring-boot-actuator-integration-tests/src/test/java/org/springframework/boot/actuate/management/HeapDumpWebEndpointWebIntegrationTests.java</t>
        </is>
      </c>
      <c r="C2227">
        <f>HYPERLINK("https://github.com/spring-projects/spring-boot/blob/master/integration-test/spring-boot-actuator-integration-tests/src/test/java/org/springframework/boot/actuate/management/HeapDumpWebEndpointWebIntegrationTests.java")</f>
        <v/>
      </c>
      <c r="D2227" t="inlineStr">
        <is>
          <t>The code appears to be part of a Spring Boot application that includes management endpoints for monitoring and managing the application's lifecycle. It uses Awaitility for asynchronous testing and NIO files for handling file operations. The complexity is O(N), indicating linear time complexity, which suggests it processes data sequentially. The comments indicate that the implementation involves core algorithms, but without more context, it's difficult to provide a detailed</t>
        </is>
      </c>
      <c r="E2227" t="n">
        <v>0.0032</v>
      </c>
      <c r="F2227" t="n">
        <v>0.0506</v>
      </c>
      <c r="G2227" t="n">
        <v>0.1429</v>
      </c>
      <c r="H2227" t="inlineStr">
        <is>
          <t>This repository contains backend software components implementing core algorithms. The complexity is O(N), indicating that the time taken increases linearly with the size of the input data.</t>
        </is>
      </c>
      <c r="I2227" t="n">
        <v>0.0092</v>
      </c>
      <c r="J2227" t="n">
        <v>0.2222</v>
      </c>
      <c r="K2227" t="n">
        <v>0.3188</v>
      </c>
      <c r="L2227" t="inlineStr">
        <is>
          <t>This Java class provides test utilities for Spring Boot Actuator management endpoints using JUnit Jupiter. It includes methods to start an application context, wait for endpoint availability, and perform assertions on endpoint responses. The `@BeforeEach` method initializes the application context before each test case.</t>
        </is>
      </c>
      <c r="M2227" t="n">
        <v>0.005</v>
      </c>
      <c r="N2227" t="n">
        <v>0.0769</v>
      </c>
      <c r="O2227" t="n">
        <v>0.1293</v>
      </c>
    </row>
    <row r="2228">
      <c r="A2228" t="inlineStr">
        <is>
          <t>springboot</t>
        </is>
      </c>
      <c r="B2228" t="inlineStr">
        <is>
          <t>integration-test/spring-boot-actuator-integration-tests/src/test/java/org/springframework/boot/actuate/management/ThreadDumpEndpointWebIntegrationTests.java</t>
        </is>
      </c>
      <c r="C2228">
        <f>HYPERLINK("https://github.com/spring-projects/spring-boot/blob/master/integration-test/spring-boot-actuator-integration-tests/src/test/java/org/springframework/boot/actuate/management/ThreadDumpEndpointWebIntegrationTests.java")</f>
        <v/>
      </c>
      <c r="D2228" t="inlineStr">
        <is>
          <t>The provided code is part of a Spring Boot application that includes management endpoints for testing purposes using WebFlux. It uses the `WebEndpointTest` class from Spring Boot Actuator to test web endpoints programmatically. The code sets up a configuration with a bean that defines how the endpoint should be handled, including specifying the media type as JSON. Additionally, it configures a `WebTestClient`</t>
        </is>
      </c>
      <c r="E2228" t="n">
        <v>0</v>
      </c>
      <c r="F2228" t="n">
        <v>0</v>
      </c>
      <c r="G2228" t="n">
        <v>0.0373</v>
      </c>
      <c r="H2228" t="inlineStr">
        <is>
          <t>This repository contains backend software components that implement core algorithms. The complexity of the implementation is O(N), indicating linear time complexity. The README provides information about the project's license, package structure, test configuration, and overall purpose.</t>
        </is>
      </c>
      <c r="I2228" t="n">
        <v>0.0073</v>
      </c>
      <c r="J2228" t="n">
        <v>0.2174</v>
      </c>
      <c r="K2228" t="n">
        <v>0.2315</v>
      </c>
      <c r="L2228" t="inlineStr">
        <is>
          <t>The code provides a configuration for testing Spring Boot Actuator endpoints using WebFlux. It includes a test class that sets up a `WebTestClient` to interact with the management endpoints and verifies their responses based on expected media types. The configuration defines beans necessary for setting up the test environment.</t>
        </is>
      </c>
      <c r="M2228" t="n">
        <v>0.0037</v>
      </c>
      <c r="N2228" t="n">
        <v>0.0351</v>
      </c>
      <c r="O2228" t="n">
        <v>0.08260000000000001</v>
      </c>
    </row>
    <row r="2229">
      <c r="A2229" t="inlineStr">
        <is>
          <t>springboot</t>
        </is>
      </c>
      <c r="B2229" t="inlineStr">
        <is>
          <t>integration-test/spring-boot-actuator-integration-tests/src/test/java/org/springframework/boot/actuate/audit/AuditEventsEndpointWebIntegrationTests.java</t>
        </is>
      </c>
      <c r="C2229">
        <f>HYPERLINK("https://github.com/spring-projects/spring-boot/blob/master/integration-test/spring-boot-actuator-integration-tests/src/test/java/org/springframework/boot/actuate/audit/AuditEventsEndpointWebIntegrationTests.java")</f>
        <v/>
      </c>
      <c r="D2229" t="inlineStr">
        <is>
          <t>The provided Java code defines a Spring Boot Actuator endpoint that exposes audit logs as JSON arrays. It includes annotations for testing web endpoints, configuration beans, and imports necessary libraries. The complexity of the implementation is O(N), where N represents the number of audit records being processed. The comments indicate that it implements core algorithms related to auditing. The repository contains initial codebase commits and has a size of</t>
        </is>
      </c>
      <c r="E2229" t="n">
        <v>0.0062</v>
      </c>
      <c r="F2229" t="n">
        <v>0.0769</v>
      </c>
      <c r="G2229" t="n">
        <v>0.1812</v>
      </c>
      <c r="H2229" t="inlineStr">
        <is>
          <t>This repository contains backend software components that implement core algorithms. The complexity of these implementations is O(N), indicating linear time complexity relative to the input size. The README provides information about the project's license, package structure, and includes comments describing the implementation details.</t>
        </is>
      </c>
      <c r="I2229" t="n">
        <v>0.0061</v>
      </c>
      <c r="J2229" t="n">
        <v>0.1887</v>
      </c>
      <c r="K2229" t="n">
        <v>0.2174</v>
      </c>
      <c r="L2229" t="inlineStr">
        <is>
          <t>This Java Spring Boot application provides audit logging capabilities through the `AuditEventRepository` interface. It includes test configurations using Web Endpoints and JSON array handling. The code size is 1000 lines, focusing on implementing core algorithms for auditing purposes.</t>
        </is>
      </c>
      <c r="M2229" t="n">
        <v>0.0064</v>
      </c>
      <c r="N2229" t="n">
        <v>0.1304</v>
      </c>
      <c r="O2229" t="n">
        <v>0.3382</v>
      </c>
    </row>
    <row r="2230">
      <c r="A2230" t="inlineStr">
        <is>
          <t>springboot</t>
        </is>
      </c>
      <c r="B2230" t="inlineStr">
        <is>
          <t>integration-test/spring-boot-actuator-integration-tests/src/test/java/org/springframework/boot/actuate/health/TestHealthEndpointGroup.java</t>
        </is>
      </c>
      <c r="C2230">
        <f>HYPERLINK("https://github.com/spring-projects/spring-boot/blob/master/integration-test/spring-boot-actuator-integration-tests/src/test/java/org/springframework/boot/actuate/health/TestHealthEndpointGroup.java")</f>
        <v/>
      </c>
      <c r="D2230" t="inlineStr">
        <is>
          <t>The provided code defines a class `CustomHealthIndicator` that extends `AbstractHealthIndicator`. It includes methods to check health status based on various predicates and provides additional paths for endpoint groups. The class uses Spring Boot Actuator's HealthEndpointGroup and AdditionalHealthEndpointPath functionalities. The complexity is O(1) due to constant-time operations within its methods.</t>
        </is>
      </c>
      <c r="E2230" t="n">
        <v>0.0037</v>
      </c>
      <c r="F2230" t="n">
        <v>0.0333</v>
      </c>
      <c r="G2230" t="n">
        <v>0.08260000000000001</v>
      </c>
      <c r="H2230" t="inlineStr">
        <is>
          <t>This repository contains backend software components implementing core algorithms. The complexity is O(N), indicating linear time complexity for certain operations.</t>
        </is>
      </c>
      <c r="I2230" t="n">
        <v>0.0127</v>
      </c>
      <c r="J2230" t="n">
        <v>0.2759</v>
      </c>
      <c r="K2230" t="n">
        <v>0.3431</v>
      </c>
      <c r="L2230" t="inlineStr">
        <is>
          <t>The provided Java code defines a class `HealthEndpointGroup` within the Spring Boot Actuator package that manages groups of health endpoints. It includes methods for adding additional paths to these endpoints, retrieving security contexts, and managing group configurations. The code complexity is O(1), as it primarily involves basic data structure manipulations and method calls. The existing comments indicate that the implementation focuses on core algorithmic aspects</t>
        </is>
      </c>
      <c r="M2230" t="n">
        <v>0.0033</v>
      </c>
      <c r="N2230" t="n">
        <v>0.0541</v>
      </c>
      <c r="O2230" t="n">
        <v>0.1095</v>
      </c>
    </row>
    <row r="2231">
      <c r="A2231" t="inlineStr">
        <is>
          <t>springboot</t>
        </is>
      </c>
      <c r="B2231" t="inlineStr">
        <is>
          <t>integration-test/spring-boot-actuator-integration-tests/src/test/java/org/springframework/boot/actuate/health/HealthEndpointWebIntegrationTests.java</t>
        </is>
      </c>
      <c r="C2231">
        <f>HYPERLINK("https://github.com/spring-projects/spring-boot/blob/master/integration-test/spring-boot-actuator-integration-tests/src/test/java/org/springframework/boot/actuate/health/HealthEndpointWebIntegrationTests.java")</f>
        <v/>
      </c>
      <c r="D2231" t="inlineStr">
        <is>
          <t>The provided code is part of a Spring Boot Actuator project that implements health checks. It includes classes for managing health data, handling API versions, and providing reactive support for health endpoints. The complexity is O(N), indicating linear time operations based on input size. The comments describe the implementation of core algorithms, while the README provides information about the repository's contents, complexity, comments, commits, and code</t>
        </is>
      </c>
      <c r="E2231" t="n">
        <v>0.0036</v>
      </c>
      <c r="F2231" t="n">
        <v>0.0789</v>
      </c>
      <c r="G2231" t="n">
        <v>0.1449</v>
      </c>
      <c r="H2231" t="inlineStr">
        <is>
          <t>Implements core algorithms for backend software components. Complexity is O(N).</t>
        </is>
      </c>
      <c r="I2231" t="n">
        <v>0.0251</v>
      </c>
      <c r="J2231" t="n">
        <v>0.2105</v>
      </c>
      <c r="K2231" t="n">
        <v>0.3117</v>
      </c>
      <c r="L2231" t="inlineStr">
        <is>
          <t>This Java Spring Boot application provides health monitoring endpoints that expose various system metrics as JSON responses. The `HealthEndpoint` class handles requests to retrieve health status data, which includes checks for database connectivity, server uptime, and other critical services. It uses reactive programming through Reactor to handle asynchronous operations efficiently. The endpoint supports multiple API versions and can be configured via object providers for dynamic service discovery.</t>
        </is>
      </c>
      <c r="M2231" t="n">
        <v>0.0032</v>
      </c>
      <c r="N2231" t="n">
        <v>0.0533</v>
      </c>
      <c r="O2231" t="n">
        <v>0.1079</v>
      </c>
    </row>
    <row r="2232">
      <c r="A2232" t="inlineStr">
        <is>
          <t>springboot</t>
        </is>
      </c>
      <c r="B2232" t="inlineStr">
        <is>
          <t>integration-test/spring-boot-test-integration-tests/src/test/java/org/springframework/boot/web/server/test/SpringBootTestReactiveWebEnvironmentRandomPortTests.java</t>
        </is>
      </c>
      <c r="C2232">
        <f>HYPERLINK("https://github.com/spring-projects/spring-boot/blob/master/integration-test/spring-boot-test-integration-tests/src/test/java/org/springframework/boot/web/server/test/SpringBootTestReactiveWebEnvironmentRandomPortTests.java")</f>
        <v/>
      </c>
      <c r="D2232" t="inlineStr">
        <is>
          <t>The provided Java code defines a Spring Boot test configuration that sets up a web application environment using `@SpringBootTest` with `WebEnvironment.RANDOM_PORT`. It includes annotations such as `@Configuration`, `@DirtiesContext`, and `@RestController` to define a simple REST controller within the context of the test environment. The complexity of the implementation is O(1) due to its straightforward</t>
        </is>
      </c>
      <c r="E2232" t="n">
        <v>0.0034</v>
      </c>
      <c r="F2232" t="n">
        <v>0.0308</v>
      </c>
      <c r="G2232" t="n">
        <v>0.119</v>
      </c>
      <c r="H2232" t="inlineStr">
        <is>
          <t>This repository contains backend software components that implement core algorithms. The complexity of these implementations is O(N), indicating they scale linearly with input size. The README provides information about the project's license, package structure, test configuration, controller annotations, and overall architecture. The code size is 1000 lines, suggesting it includes multiple classes and files related to the implementation of various algorithms.</t>
        </is>
      </c>
      <c r="I2232" t="n">
        <v>0.0042</v>
      </c>
      <c r="J2232" t="n">
        <v>0.1408</v>
      </c>
      <c r="K2232" t="n">
        <v>0.188</v>
      </c>
      <c r="L2232" t="inlineStr">
        <is>
          <t>The code provides test configurations for Spring Boot web applications using `@SpringBootTest` annotations. It includes configuration classes annotated with `@Configuration`, which define beans necessary for testing, such as controllers (`@RestController`). The tests run in a web environment and clean up after themselves using `@DirtiesContext`.</t>
        </is>
      </c>
      <c r="M2232" t="n">
        <v>0.0042</v>
      </c>
      <c r="N2232" t="n">
        <v>0.0385</v>
      </c>
      <c r="O2232" t="n">
        <v>0.0862</v>
      </c>
    </row>
    <row r="2233">
      <c r="A2233" t="inlineStr">
        <is>
          <t>springboot</t>
        </is>
      </c>
      <c r="B2233" t="inlineStr">
        <is>
          <t>integration-test/spring-boot-test-integration-tests/src/test/java/org/springframework/boot/web/server/test/AbstractSpringBootTestWebServerWebEnvironmentTests.java</t>
        </is>
      </c>
      <c r="C2233">
        <f>HYPERLINK("https://github.com/spring-projects/spring-boot/blob/master/integration-test/spring-boot-test-integration-tests/src/test/java/org/springframework/boot/web/server/test/AbstractSpringBootTestWebServerWebEnvironmentTests.java")</f>
        <v/>
      </c>
      <c r="D2233" t="inlineStr">
        <is>
          <t>The provided Java code defines a JUnit test class `TestServer` within the package `org.springframework.boot.web.server.test`. This class uses Spring Boot's Test Rest Template to make HTTP requests against a server running on the local machine. The test class includes a single method annotated with `@Test`, which sends a GET request to a specified endpoint using the Test Rest Template. The URL for the request</t>
        </is>
      </c>
      <c r="E2233" t="n">
        <v>0.0029</v>
      </c>
      <c r="F2233" t="n">
        <v>0.026</v>
      </c>
      <c r="G2233" t="n">
        <v>0.0741</v>
      </c>
      <c r="H2233" t="inlineStr">
        <is>
          <t>This repository contains backend software components that implement core algorithms. The complexity of these implementations is O(N), indicating they scale linearly with input size.</t>
        </is>
      </c>
      <c r="I2233" t="n">
        <v>0.0104</v>
      </c>
      <c r="J2233" t="n">
        <v>0.2424</v>
      </c>
      <c r="K2233" t="n">
        <v>0.2083</v>
      </c>
      <c r="L2233" t="inlineStr">
        <is>
          <t>This Java test suite uses Spring Boot's Test Rest Template to perform integration tests against a web server component. It includes a JUnit test that verifies the functionality of a servlet context setup using annotations from `jakarta.servlet`. The class is part of a larger project focused on backend software components and has been committed as the initial version of the codebase.</t>
        </is>
      </c>
      <c r="M2233" t="n">
        <v>0.0042</v>
      </c>
      <c r="N2233" t="n">
        <v>0.08450000000000001</v>
      </c>
      <c r="O2233" t="n">
        <v>0.1504</v>
      </c>
    </row>
    <row r="2234">
      <c r="A2234" t="inlineStr">
        <is>
          <t>springboot</t>
        </is>
      </c>
      <c r="B2234" t="inlineStr">
        <is>
          <t>integration-test/spring-boot-test-integration-tests/src/test/java/org/springframework/boot/web/server/test/AbstractSpringBootTestEmbeddedReactiveWebEnvironmentTests.java</t>
        </is>
      </c>
      <c r="C2234">
        <f>HYPERLINK("https://github.com/spring-projects/spring-boot/blob/master/integration-test/spring-boot-test-integration-tests/src/test/java/org/springframework/boot/web/server/test/AbstractSpringBootTestEmbeddedReactiveWebEnvironmentTests.java")</f>
        <v/>
      </c>
      <c r="D2234" t="inlineStr">
        <is>
          <t>The provided Java code defines a test class `TestRestClient` within the package `org.springframework.boot.web.server.test`. This class uses Spring Boot's Test Rest Template to perform HTTP requests against a RESTful API endpoint. The class includes a method annotated with `@Test`, which sends a GET request to the specified URL using the Test Rest Template. It also utilizes the `@Value` annotation to</t>
        </is>
      </c>
      <c r="E2234" t="n">
        <v>0.0031</v>
      </c>
      <c r="F2234" t="n">
        <v>0.0274</v>
      </c>
      <c r="G2234" t="n">
        <v>0.07630000000000001</v>
      </c>
      <c r="H2234" t="inlineStr">
        <is>
          <t>The provided code implements a test suite using JUnit Jupiter and Reactor Core Publisher for testing REST endpoints. It includes configuration for setting up a TestRestTemplate and handling HTTP requests. The complexity is high due to the extensive setup and integration tests involved.</t>
        </is>
      </c>
      <c r="I2234" t="n">
        <v>0.0051</v>
      </c>
      <c r="J2234" t="n">
        <v>0.1176</v>
      </c>
      <c r="K2234" t="n">
        <v>0.1739</v>
      </c>
      <c r="L2234" t="inlineStr">
        <is>
          <t>This Java Spring Boot test class uses Test Rest Template to perform HTTP requests against a RESTful API endpoint. It includes a test method that sends a GET request to retrieve data from the specified URL and checks if the response status code matches the expected value. The `@Value` annotation is used to inject configuration properties related to the base URL and timeout duration.</t>
        </is>
      </c>
      <c r="M2234" t="n">
        <v>0.0034</v>
      </c>
      <c r="N2234" t="n">
        <v>0.0556</v>
      </c>
      <c r="O2234" t="n">
        <v>0.1103</v>
      </c>
    </row>
    <row r="2235">
      <c r="A2235" t="inlineStr">
        <is>
          <t>springboot</t>
        </is>
      </c>
      <c r="B2235" t="inlineStr">
        <is>
          <t>integration-test/spring-boot-test-integration-tests/src/test/java/org/springframework/boot/web/server/test/AutoConfigureWebServerWebMvcIntegrationTests.java</t>
        </is>
      </c>
      <c r="C2235">
        <f>HYPERLINK("https://github.com/spring-projects/spring-boot/blob/master/integration-test/spring-boot-test-integration-tests/src/test/java/org/springframework/boot/web/server/test/AutoConfigureWebServerWebMvcIntegrationTests.java")</f>
        <v/>
      </c>
      <c r="D2235" t="inlineStr">
        <is>
          <t>The provided Java code is part of a Spring Boot application that includes tests for REST clients using RestTemplate. It uses JUnit Jupiter annotations for testing and is configured to run as a standalone test context. The `@AutoConfigureRestTestClient` annotation helps in setting up the necessary configurations for making HTTP requests during the tests. The class is designed to be used for integration testing purposes, ensuring that the</t>
        </is>
      </c>
      <c r="E2235" t="n">
        <v>0.0027</v>
      </c>
      <c r="F2235" t="n">
        <v>0.0267</v>
      </c>
      <c r="G2235" t="n">
        <v>0.07190000000000001</v>
      </c>
      <c r="H2235" t="inlineStr">
        <is>
          <t>This repository contains backend software components that implement core algorithms. The complexity of these implementations is O(N), indicating they scale linearly with input size. The README provides information about the project's purpose and structure.</t>
        </is>
      </c>
      <c r="I2235" t="n">
        <v>0.0077</v>
      </c>
      <c r="J2235" t="n">
        <v>0.2273</v>
      </c>
      <c r="K2235" t="n">
        <v>0.2358</v>
      </c>
      <c r="L2235" t="inlineStr">
        <is>
          <t>The code is a JUnit test suite that uses Spring Boot's RestTemplate to perform HTTP requests against a RESTful API endpoint. It includes annotations to configure auto-configuration of the RestTemplate and set up the application context in web environment. The `@Autowired` annotation is used to inject dependencies into the test class. The `@Test` method demonstrates how to make GET requests using the RestTemplate</t>
        </is>
      </c>
      <c r="M2235" t="n">
        <v>0.0029</v>
      </c>
      <c r="N2235" t="n">
        <v>0.0274</v>
      </c>
      <c r="O2235" t="n">
        <v>0.0741</v>
      </c>
    </row>
    <row r="2236">
      <c r="A2236" t="inlineStr">
        <is>
          <t>springboot</t>
        </is>
      </c>
      <c r="B2236" t="inlineStr">
        <is>
          <t>integration-test/spring-boot-test-integration-tests/src/test/java/org/springframework/boot/web/server/test/SpringBootTestWebEnvironmentRandomPortCustomPortTests.java</t>
        </is>
      </c>
      <c r="C2236">
        <f>HYPERLINK("https://github.com/spring-projects/spring-boot/blob/master/integration-test/spring-boot-test-integration-tests/src/test/java/org/springframework/boot/web/server/test/SpringBootTestWebEnvironmentRandomPortCustomPortTests.java")</f>
        <v/>
      </c>
      <c r="D2236" t="inlineStr">
        <is>
          <t>The provided Java code snippet appears to be part of a Spring Boot test suite designed to verify the behavior of web servers within a Spring application context. The class `AbstractSpringBootTestWebServerWebEnvir` likely serves as a base class for tests that require setting up a web server environment using Spring Boot's testing utilities.
Key functionalities include:
1. **Annotation**: It uses `@Test` from</t>
        </is>
      </c>
      <c r="E2236" t="n">
        <v>0</v>
      </c>
      <c r="F2236" t="n">
        <v>0.0286</v>
      </c>
      <c r="G2236" t="n">
        <v>0.0376</v>
      </c>
      <c r="H2236" t="inlineStr">
        <is>
          <t>This repository contains backend software components that implement core algorithms. The complexity of the implementation is O(N), indicating it scales linearly with input size. The README provides information about the project's purpose and structure.</t>
        </is>
      </c>
      <c r="I2236" t="n">
        <v>0.0077</v>
      </c>
      <c r="J2236" t="n">
        <v>0.2273</v>
      </c>
      <c r="K2236" t="n">
        <v>0.2358</v>
      </c>
      <c r="L2236" t="inlineStr">
        <is>
          <t>The code provides unit tests for Spring Boot web server configurations using JUnit 5. It includes integration testing with a real web environment, utilizing `@SpringBootTest` and `@WebEnvironment`. The tests verify that various aspects of the web server configuration work as expected, such as context loading, port binding, and request handling.</t>
        </is>
      </c>
      <c r="M2236" t="n">
        <v>0.0037</v>
      </c>
      <c r="N2236" t="n">
        <v>0.0345</v>
      </c>
      <c r="O2236" t="n">
        <v>0.082</v>
      </c>
    </row>
    <row r="2237">
      <c r="A2237" t="inlineStr">
        <is>
          <t>springboot</t>
        </is>
      </c>
      <c r="B2237" t="inlineStr">
        <is>
          <t>integration-test/spring-boot-test-integration-tests/src/test/java/org/springframework/boot/web/server/test/SpringBootTestUserDefinedTestRestTemplateTests.java</t>
        </is>
      </c>
      <c r="C2237">
        <f>HYPERLINK("https://github.com/spring-projects/spring-boot/blob/master/integration-test/spring-boot-test-integration-tests/src/test/java/org/springframework/boot/web/server/test/SpringBootTestUserDefinedTestRestTemplateTests.java")</f>
        <v/>
      </c>
      <c r="D2237" t="inlineStr">
        <is>
          <t>The provided Java code snippet is part of a Spring Boot test configuration class that sets up a web environment for testing purposes. It includes:
1. **Copyright Notice**: A comment indicating copyright ownership and licensing information.
2. **Package Declaration**: Declares the package as `org.springframework.boot.web.server.test`.
3. **JUnit Test Annotation**: Indicates that this class contains JUnit tests.
4. **</t>
        </is>
      </c>
      <c r="E2237" t="n">
        <v>0.0032</v>
      </c>
      <c r="F2237" t="n">
        <v>0.029</v>
      </c>
      <c r="G2237" t="n">
        <v>0.1163</v>
      </c>
      <c r="H2237" t="inlineStr">
        <is>
          <t>This repository contains backend software components that implement core algorithms. The complexity of these implementations is O(N), indicating they scale linearly with input size. The README provides information about the project's purpose, license, and structure.</t>
        </is>
      </c>
      <c r="I2237" t="n">
        <v>0.0075</v>
      </c>
      <c r="J2237" t="n">
        <v>0.2222</v>
      </c>
      <c r="K2237" t="n">
        <v>0.2336</v>
      </c>
      <c r="L2237" t="inlineStr">
        <is>
          <t>This Java test suite uses JUnit Jupiter to verify the configuration and context loading of Spring Boot applications during testing. The `@SpringBootTest` annotation sets up a complete application context for integration tests, including web environment setup. It includes a custom configuration class annotated with `@Configuration`, which defines beans necessary for the test environment. The `@Test` methods within the test class perform assertions on various aspects</t>
        </is>
      </c>
      <c r="M2237" t="n">
        <v>0.0033</v>
      </c>
      <c r="N2237" t="n">
        <v>0.0548</v>
      </c>
      <c r="O2237" t="n">
        <v>0.1095</v>
      </c>
    </row>
    <row r="2238">
      <c r="A2238" t="inlineStr">
        <is>
          <t>springboot</t>
        </is>
      </c>
      <c r="B2238" t="inlineStr">
        <is>
          <t>integration-test/spring-boot-test-integration-tests/src/test/java/org/springframework/boot/web/server/test/SpringBootTestWebEnvironmentDefinedPortTests.java</t>
        </is>
      </c>
      <c r="C2238">
        <f>HYPERLINK("https://github.com/spring-projects/spring-boot/blob/master/integration-test/spring-boot-test-integration-tests/src/test/java/org/springframework/boot/web/server/test/SpringBootTestWebEnvironmentDefinedPortTests.java")</f>
        <v/>
      </c>
      <c r="D2238" t="inlineStr">
        <is>
          <t>The provided code defines a Spring Boot test configuration that sets up a web environment for testing REST controllers. It uses `@SpringBootTest` with `WebEnvironment.RANDOM_PORT` to start a local server during tests. The `@Configuration` class allows defining beans needed for the test context. The `@DirtiesContext` annotation ensures that each test runs in its own isolated context, preventing state</t>
        </is>
      </c>
      <c r="E2238" t="n">
        <v>0</v>
      </c>
      <c r="F2238" t="n">
        <v>0</v>
      </c>
      <c r="G2238" t="n">
        <v>0.0388</v>
      </c>
      <c r="H2238" t="inlineStr">
        <is>
          <t>The repository contains backend software components that implement core algorithms. The complexity is O(N), indicating linear time complexity. The README provides information about the project's license, package structure, test configurations, REST controller annotations, and overall architecture. The code size is 1000 lines, suggesting it includes multiple classes and files related to algorithm implementation.</t>
        </is>
      </c>
      <c r="I2238" t="n">
        <v>0.0045</v>
      </c>
      <c r="J2238" t="n">
        <v>0.127</v>
      </c>
      <c r="K2238" t="n">
        <v>0.2525</v>
      </c>
      <c r="L2238" t="inlineStr">
        <is>
          <t>The provided code is part of a Spring Boot test suite designed to verify the configuration and behavior of web server components. It includes a `@SpringBootTest` annotation that sets up a complete application context for testing purposes. The test class uses annotations like `WebEnvironment.RANDOM_PORT`, `DirtiesContext.class`, and `@RestController` to simulate a web environment and ensure that tests run independently without</t>
        </is>
      </c>
      <c r="M2238" t="n">
        <v>0.0031</v>
      </c>
      <c r="N2238" t="n">
        <v>0.0286</v>
      </c>
      <c r="O2238" t="n">
        <v>0.07630000000000001</v>
      </c>
    </row>
    <row r="2239">
      <c r="A2239" t="inlineStr">
        <is>
          <t>springboot</t>
        </is>
      </c>
      <c r="B2239" t="inlineStr">
        <is>
          <t>integration-test/spring-boot-test-integration-tests/src/test/java/org/springframework/boot/web/server/test/SpringBootTestReactiveWebEnvironmentDefinedPortTests.java</t>
        </is>
      </c>
      <c r="C2239">
        <f>HYPERLINK("https://github.com/spring-projects/spring-boot/blob/master/integration-test/spring-boot-test-integration-tests/src/test/java/org/springframework/boot/web/server/test/SpringBootTestReactiveWebEnvironmentDefinedPortTests.java")</f>
        <v/>
      </c>
      <c r="D2239" t="inlineStr">
        <is>
          <t>The provided Java code defines a Spring Boot test configuration that sets up a web application environment using `@SpringBootTest` with `WebEnvironment.RANDOM_PORT`. It includes annotations like `@Configuration`, `@DirtiesContext`, and `@RestController` to define a REST controller. The complexity is O(1) as it involves basic setup configurations without any loops or recursive operations. The comments indicate</t>
        </is>
      </c>
      <c r="E2239" t="n">
        <v>0.0035</v>
      </c>
      <c r="F2239" t="n">
        <v>0.0312</v>
      </c>
      <c r="G2239" t="n">
        <v>0.08</v>
      </c>
      <c r="H2239" t="inlineStr">
        <is>
          <t>The repository contains backend software components implementing core algorithms. The complexity is O(N), indicating linear time complexity, and it includes comments describing the implementation. The README provides information about the project's purpose and structure.</t>
        </is>
      </c>
      <c r="I2239" t="n">
        <v>0.0072</v>
      </c>
      <c r="J2239" t="n">
        <v>0.1818</v>
      </c>
      <c r="K2239" t="n">
        <v>0.2978</v>
      </c>
      <c r="L2239" t="inlineStr">
        <is>
          <t>The code provides test configurations for Spring Boot applications using `@SpringBootTest` annotations. It includes setup for integration testing environments, configuration classes, and controllers annotated with `@RestController`. The tests aim to verify the application's context and controller functionalities without running actual web servers.</t>
        </is>
      </c>
      <c r="M2239" t="n">
        <v>0.0044</v>
      </c>
      <c r="N2239" t="n">
        <v>0.0392</v>
      </c>
      <c r="O2239" t="n">
        <v>0.0877</v>
      </c>
    </row>
    <row r="2240">
      <c r="A2240" t="inlineStr">
        <is>
          <t>springboot</t>
        </is>
      </c>
      <c r="B2240" t="inlineStr">
        <is>
          <t>integration-test/spring-boot-test-integration-tests/src/test/java/org/springframework/boot/web/server/test/SpringBootTestWebEnvironmentRandomPortTests.java</t>
        </is>
      </c>
      <c r="C2240">
        <f>HYPERLINK("https://github.com/spring-projects/spring-boot/blob/master/integration-test/spring-boot-test-integration-tests/src/test/java/org/springframework/boot/web/server/test/SpringBootTestWebEnvironmentRandomPortTests.java")</f>
        <v/>
      </c>
      <c r="D2240" t="inlineStr">
        <is>
          <t>The provided Java code defines a JUnit test class that uses Spring Boot's `RestTemplateBuilder` to create a REST client for testing purposes. The class is annotated with `@SpringBootTest` to enable integration testing within a Spring Boot application context. It includes a single test method named `testRestTemplate`, which demonstrates how to configure and use the `RestTemplateBuilder`. The complexity of the implementation</t>
        </is>
      </c>
      <c r="E2240" t="n">
        <v>0.003</v>
      </c>
      <c r="F2240" t="n">
        <v>0.029</v>
      </c>
      <c r="G2240" t="n">
        <v>0.1136</v>
      </c>
      <c r="H2240" t="inlineStr">
        <is>
          <t>This repository contains backend software components implementing core algorithms. The complexity is O(N), indicating linear time complexity for certain operations. The README provides information about the project's license, package structure, test classes, and context configuration. The code size is 1000 lines, suggesting it includes multiple modules and files.</t>
        </is>
      </c>
      <c r="I2240" t="n">
        <v>0.0054</v>
      </c>
      <c r="J2240" t="n">
        <v>0.1724</v>
      </c>
      <c r="K2240" t="n">
        <v>0.3553</v>
      </c>
      <c r="L2240" t="inlineStr">
        <is>
          <t>The provided Java code defines a test class `RestTemplateTest` within the package `org.springframework.boot.web.server.test`. It uses JUnit Jupiter annotations to perform integration tests against a RESTful service using Spring Boot's RestTemplateBuilder. The class includes a single test method that verifies the functionality of the RestTemplate by making HTTP requests to a specified URL and checking the response status. The test runs in</t>
        </is>
      </c>
      <c r="M2240" t="n">
        <v>0.0036</v>
      </c>
      <c r="N2240" t="n">
        <v>0.0533</v>
      </c>
      <c r="O2240" t="n">
        <v>0.0752</v>
      </c>
    </row>
    <row r="2241">
      <c r="A2241" t="inlineStr">
        <is>
          <t>springboot</t>
        </is>
      </c>
      <c r="B2241" t="inlineStr">
        <is>
          <t>integration-test/spring-boot-test-integration-tests/src/test/java/org/springframework/boot/web/server/test/SpringBootTestReactiveWebEnvironmentUserDefinedTestRestTemplateTests.java</t>
        </is>
      </c>
      <c r="C2241">
        <f>HYPERLINK("https://github.com/spring-projects/spring-boot/blob/master/integration-test/spring-boot-test-integration-tests/src/test/java/org/springframework/boot/web/server/test/SpringBootTestReactiveWebEnvironmentUserDefinedTestRestTemplateTests.java")</f>
        <v/>
      </c>
      <c r="D2241" t="inlineStr">
        <is>
          <t>The provided Java code snippet is part of a Spring Boot test configuration that sets up a web environment for testing purposes. It includes:
- A JUnit Jupiter `@Test` annotation indicating it's a test class.
- The `@SpringBootTest` annotation which initializes a full Spring application context for integration tests.
- The `WebEnvironment.RANDOM_PORT` setting to start a random HTTP server during the</t>
        </is>
      </c>
      <c r="E2241" t="n">
        <v>0</v>
      </c>
      <c r="F2241" t="n">
        <v>0</v>
      </c>
      <c r="G2241" t="n">
        <v>0.0376</v>
      </c>
      <c r="H2241" t="inlineStr">
        <is>
          <t>This repository contains backend software components that implement core algorithms. The complexity of these implementations is O(N), indicating they scale linearly with input size. The README provides information about the project's license, package structure, test configuration, and overall purpose. The code base has grown significantly since its initial commit, reaching a total size of 1000 lines.</t>
        </is>
      </c>
      <c r="I2241" t="n">
        <v>0.0046</v>
      </c>
      <c r="J2241" t="n">
        <v>0.1515</v>
      </c>
      <c r="K2241" t="n">
        <v>0.1953</v>
      </c>
      <c r="L2241" t="inlineStr">
        <is>
          <t>This Java test suite uses JUnit Jupiter to verify the configuration of Spring Boot web servers. It includes tests that check if the application context can be loaded correctly and if the server environment is set up as expected. The `@SpringBootTest` annotation is used to run the tests within a full Spring Boot application context, allowing access to all beans defined in the application. The `WebEnvironment.RANDOM_PORT</t>
        </is>
      </c>
      <c r="M2241" t="n">
        <v>0.0033</v>
      </c>
      <c r="N2241" t="n">
        <v>0.0526</v>
      </c>
      <c r="O2241" t="n">
        <v>0.1087</v>
      </c>
    </row>
    <row r="2242">
      <c r="A2242" t="inlineStr">
        <is>
          <t>springboot</t>
        </is>
      </c>
      <c r="B2242" t="inlineStr">
        <is>
          <t>integration-test/spring-boot-test-integration-tests/src/test/java/org/springframework/boot/web/server/test/SpringBootTestWebEnvironmentContextHierarchyTests.java</t>
        </is>
      </c>
      <c r="C2242">
        <f>HYPERLINK("https://github.com/spring-projects/spring-boot/blob/master/integration-test/spring-boot-test-integration-tests/src/test/java/org/springframework/boot/web/server/test/SpringBootTestWebEnvironmentContextHierarchyTests.java")</f>
        <v/>
      </c>
      <c r="D2242" t="inlineStr">
        <is>
          <t>The provided Java code is part of a Spring Boot test suite that tests web server configurations using JUnit Jupiter. It includes annotations such as `@SpringBootTest` and `@Test`, which indicate that it's a Spring Boot application context test running in a web environment (`@WebEnvironment`). The class extends `AbstractSpringBootTestWebServerWebEnvir`, suggesting it uses a base class for testing web</t>
        </is>
      </c>
      <c r="E2242" t="n">
        <v>0.0032</v>
      </c>
      <c r="F2242" t="n">
        <v>0.0303</v>
      </c>
      <c r="G2242" t="n">
        <v>0.0775</v>
      </c>
      <c r="H2242" t="inlineStr">
        <is>
          <t>This repository contains backend software components that implement core algorithms. The complexity of the implementation is O(N), indicating linear time complexity. The README provides information about the project's license, package structure, test setup, and initial codebase commit. The total size of the codebase is 1000 lines.</t>
        </is>
      </c>
      <c r="I2242" t="n">
        <v>0.0057</v>
      </c>
      <c r="J2242" t="n">
        <v>0.1786</v>
      </c>
      <c r="K2242" t="n">
        <v>0.2119</v>
      </c>
      <c r="L2242" t="inlineStr">
        <is>
          <t>The provided code is part of a Spring Boot test suite that tests web server configurations using JUnit Jupiter. It uses `@SpringBootTest` with `WebEnvironment.RANDOM_PORT` to start a local embedded Tomcat server during testing. The class extends `AbstractSpringBootTestWebServerWebEnvir`, which likely provides additional setup for web server testing. The `Test` methods within this class are annotated</t>
        </is>
      </c>
      <c r="M2242" t="n">
        <v>0</v>
      </c>
      <c r="N2242" t="n">
        <v>0.0312</v>
      </c>
      <c r="O2242" t="n">
        <v>0.0794</v>
      </c>
    </row>
    <row r="2243">
      <c r="A2243" t="inlineStr">
        <is>
          <t>springboot</t>
        </is>
      </c>
      <c r="B2243" t="inlineStr">
        <is>
          <t>integration-test/spring-boot-configuration-processor-integration-tests/src/main/java/sample/package-info.java</t>
        </is>
      </c>
      <c r="C2243">
        <f>HYPERLINK("https://github.com/spring-projects/spring-boot/blob/master/integration-test/spring-boot-configuration-processor-integration-tests/src/main/java/sample/package-info.java")</f>
        <v/>
      </c>
      <c r="D2243" t="inlineStr">
        <is>
          <t>The code snippet is part of a Java package named `sample` that includes a class annotated with `@NullMarked`. The package is described as containing backend software components, and it implements core algorithms. The complexity of the implementation is O(N), indicating linear time complexity. There are no comments provided in the code itself, but the README indicates that there have been initial commits to the repository. The</t>
        </is>
      </c>
      <c r="E2243" t="n">
        <v>0.0069</v>
      </c>
      <c r="F2243" t="n">
        <v>0.08</v>
      </c>
      <c r="G2243" t="n">
        <v>0.2696</v>
      </c>
      <c r="H2243" t="inlineStr">
        <is>
          <t>Contains backend software components implementing core algorithms.</t>
        </is>
      </c>
      <c r="I2243" t="n">
        <v>0.0341</v>
      </c>
      <c r="J2243" t="n">
        <v>0.4</v>
      </c>
      <c r="K2243" t="n">
        <v>0.3235</v>
      </c>
      <c r="L2243" t="inlineStr">
        <is>
          <t>This Java package contains a simple test sample that utilizes JSPECIFY annotations to mark null values as marked, which helps prevent potential runtime errors related to null dereferencing. The class within this package serves as a basic unit of testing, demonstrating how to structure tests using these annotations.</t>
        </is>
      </c>
      <c r="M2243" t="n">
        <v>0.0038</v>
      </c>
      <c r="N2243" t="n">
        <v>0.0357</v>
      </c>
      <c r="O2243" t="n">
        <v>0.0833</v>
      </c>
    </row>
    <row r="2244">
      <c r="A2244" t="inlineStr">
        <is>
          <t>springboot</t>
        </is>
      </c>
      <c r="B2244" t="inlineStr">
        <is>
          <t>integration-test/spring-boot-configuration-processor-integration-tests/src/main/java/sample/AnnotatedSample.java</t>
        </is>
      </c>
      <c r="C2244">
        <f>HYPERLINK("https://github.com/spring-projects/spring-boot/blob/master/integration-test/spring-boot-configuration-processor-integration-tests/src/main/java/sample/AnnotatedSample.java")</f>
        <v/>
      </c>
      <c r="D2244" t="inlineStr">
        <is>
          <t>The provided Java code defines a Spring Boot configuration properties class named `AnnotatedSample`. It includes a single field annotated with `@Valid` from JSPECIFY annotations, which indicates that the value should be validated according to any constraints defined elsewhere in the application. The class uses `@ConfigurationProperties` to bind its fields to properties prefixed with "annotated." This setup allows for easy management of configuration</t>
        </is>
      </c>
      <c r="E2244" t="n">
        <v>0.0029</v>
      </c>
      <c r="F2244" t="n">
        <v>0.0286</v>
      </c>
      <c r="G2244" t="n">
        <v>0.0746</v>
      </c>
      <c r="H2244" t="inlineStr">
        <is>
          <t>The repository contains backend software components implementing core algorithms. Complexity is O(N), comments describe implementation details, commits include initial codebase creation, and code size is 1000 lines.</t>
        </is>
      </c>
      <c r="I2244" t="n">
        <v>0.0092</v>
      </c>
      <c r="J2244" t="n">
        <v>0.2222</v>
      </c>
      <c r="K2244" t="n">
        <v>0.202</v>
      </c>
      <c r="L2244" t="inlineStr">
        <is>
          <t>The `AnnotatedSample` class is a Spring Boot configuration properties class annotated with `@ConfigurationProperties`. It defines a property named `annotated`, which can be used to configure settings related to annotations. The class includes validation using JSR-380 annotations, ensuring that only valid types are accepted when setting the `annotated` property.</t>
        </is>
      </c>
      <c r="M2244" t="n">
        <v>0</v>
      </c>
      <c r="N2244" t="n">
        <v>0</v>
      </c>
      <c r="O2244" t="n">
        <v>0.0417</v>
      </c>
    </row>
    <row r="2245">
      <c r="A2245" t="inlineStr">
        <is>
          <t>springboot</t>
        </is>
      </c>
      <c r="B2245" t="inlineStr">
        <is>
          <t>integration-test/spring-boot-configuration-processor-integration-tests/src/test/java/org/springframework/boot/configurationprocessor/tests/ConfigurationProcessorIntegrationTests.java</t>
        </is>
      </c>
      <c r="C2245">
        <f>HYPERLINK("https://github.com/spring-projects/spring-boot/blob/master/integration-test/spring-boot-configuration-processor-integration-tests/src/test/java/org/springframework/boot/configurationprocessor/tests/ConfigurationProcessorIntegrationTests.java")</f>
        <v/>
      </c>
      <c r="D2245" t="inlineStr">
        <is>
          <t>The provided Java code defines a JUnit test class `ConfigurationProcessorTests` within the package `org.springframework.boot.configurationprocessor.tests`. This class appears to be part of a Spring Boot configuration processor project, likely used to validate metadata about configuration properties.
### Key Features:
1. **Package Declaration**: The code starts with a comment indicating copyright information and licensing details. It then declares that the code belongs to</t>
        </is>
      </c>
      <c r="E2245" t="n">
        <v>0.0036</v>
      </c>
      <c r="F2245" t="n">
        <v>0.0556</v>
      </c>
      <c r="G2245" t="n">
        <v>0.1128</v>
      </c>
      <c r="H2245" t="inlineStr">
        <is>
          <t>The repository contains backend software components that implement core algorithms. The complexity of the implementation is O(N), indicating linear time complexity.</t>
        </is>
      </c>
      <c r="I2245" t="n">
        <v>0.0109</v>
      </c>
      <c r="J2245" t="n">
        <v>0.2</v>
      </c>
      <c r="K2245" t="n">
        <v>0.1613</v>
      </c>
      <c r="L2245" t="inlineStr">
        <is>
          <t>The code provides unit tests for Spring Boot's configuration metadata processing using JUnit 5. It includes methods to load configuration properties from URLs and verify their correctness against expected values. The tests cover various aspects such as property names, types, descriptions, and default values.</t>
        </is>
      </c>
      <c r="M2245" t="n">
        <v>0.0042</v>
      </c>
      <c r="N2245" t="n">
        <v>0.0377</v>
      </c>
      <c r="O2245" t="n">
        <v>0.0862</v>
      </c>
    </row>
    <row r="2246">
      <c r="A2246" t="inlineStr">
        <is>
          <t>springboot</t>
        </is>
      </c>
      <c r="B2246" t="inlineStr">
        <is>
          <t>cli/spring-boot-cli/src/intTest/java/org/springframework/boot/cli/CommandLineIT.java</t>
        </is>
      </c>
      <c r="C2246">
        <f>HYPERLINK("https://github.com/spring-projects/spring-boot/blob/master/cli/spring-boot-cli/src/intTest/java/org/springframework/boot/cli/CommandLineIT.java")</f>
        <v/>
      </c>
      <c r="D2246" t="inlineStr">
        <is>
          <t>The provided Java code defines a test class `CommandLineInvokerTest` that uses JUnit Jupiter to verify the functionality of the `CommandLineInvoker` class from the Spring Boot CLI infrastructure package. The test sets up a temporary directory using the `@TempDir` annotation and creates an instance of `CommandLineInvoker`. It then tests various methods such as invoking commands, handling command output, and checking return codes.</t>
        </is>
      </c>
      <c r="E2246" t="n">
        <v>0.0036</v>
      </c>
      <c r="F2246" t="n">
        <v>0.058</v>
      </c>
      <c r="G2246" t="n">
        <v>0.0752</v>
      </c>
      <c r="H2246" t="inlineStr">
        <is>
          <t>This repository contains backend software components that implement core algorithms. The complexity of these implementations is O(N), indicating linear time complexity relative to the size of the input data. The comments provide details about the implementation's purpose and structure. The commits include an initial codebase commit. The total code size is 1000 lines.</t>
        </is>
      </c>
      <c r="I2246" t="n">
        <v>0.0049</v>
      </c>
      <c r="J2246" t="n">
        <v>0.1587</v>
      </c>
      <c r="K2246" t="n">
        <v>0.2</v>
      </c>
      <c r="L2246" t="inlineStr">
        <is>
          <t>The provided Java code defines a test class `CommandLineInvokerTests` that uses JUnit Jupiter to verify the functionality of the `CommandLineInvoker` class within the Spring Boot CLI infrastructure package. The tests cover various aspects such as invoking commands with different arguments and handling exceptions related to command execution. The code complexity is moderate, with a size of approximately 1000 lines, and includes comments explaining the</t>
        </is>
      </c>
      <c r="M2246" t="n">
        <v>0.0034</v>
      </c>
      <c r="N2246" t="n">
        <v>0.0556</v>
      </c>
      <c r="O2246" t="n">
        <v>0.0735</v>
      </c>
    </row>
    <row r="2247">
      <c r="A2247" t="inlineStr">
        <is>
          <t>springboot</t>
        </is>
      </c>
      <c r="B2247" t="inlineStr">
        <is>
          <t>cli/spring-boot-cli/src/intTest/java/org/springframework/boot/cli/infrastructure/Versions.java</t>
        </is>
      </c>
      <c r="C2247">
        <f>HYPERLINK("https://github.com/spring-projects/spring-boot/blob/master/cli/spring-boot-cli/src/intTest/java/org/springframework/boot/cli/infrastructure/Versions.java")</f>
        <v/>
      </c>
      <c r="D2247" t="inlineStr">
        <is>
          <t>The `Versions` class provides a method to retrieve the Spring Boot version from the `gradle.properties` file. It uses Java's `FileInputStream` to read the properties file and extract the value associated with the key `"spring-boot.version"`. The class is designed as final to prevent instantiation and includes a private constructor to enforce its immutability. This utility function simplifies accessing the Spring Boot</t>
        </is>
      </c>
      <c r="E2247" t="n">
        <v>0.0036</v>
      </c>
      <c r="F2247" t="n">
        <v>0.0556</v>
      </c>
      <c r="G2247" t="n">
        <v>0.1136</v>
      </c>
      <c r="H2247" t="inlineStr">
        <is>
          <t>The code provides access to the current Spring Boot version using `gradle.properties`. It includes comments explaining its purpose and implementation details. The complexity is O(N) due to potential parsing operations, but it's primarily focused on reading properties files.</t>
        </is>
      </c>
      <c r="I2247" t="n">
        <v>0.0049</v>
      </c>
      <c r="J2247" t="n">
        <v>0.0408</v>
      </c>
      <c r="K2247" t="n">
        <v>0.1364</v>
      </c>
      <c r="L2247" t="inlineStr">
        <is>
          <t>The `Versions` class provides a method `getBootVersion()` that reads the Spring Boot version from a `gradle.properties` file using Java's `FileInputStream`. The method initializes a `Properties` object and loads properties from the specified file, then retrieves the value associated with the key `"version"` to return the current Boot version as a string.</t>
        </is>
      </c>
      <c r="M2247" t="n">
        <v>0.0036</v>
      </c>
      <c r="N2247" t="n">
        <v>0.0328</v>
      </c>
      <c r="O2247" t="n">
        <v>0.0813</v>
      </c>
    </row>
    <row r="2248">
      <c r="A2248" t="inlineStr">
        <is>
          <t>springboot</t>
        </is>
      </c>
      <c r="B2248" t="inlineStr">
        <is>
          <t>cli/spring-boot-cli/src/intTest/java/org/springframework/boot/cli/infrastructure/CommandLineInvoker.java</t>
        </is>
      </c>
      <c r="C2248">
        <f>HYPERLINK("https://github.com/spring-projects/spring-boot/blob/master/cli/spring-boot-cli/src/intTest/java/org/springframework/boot/cli/infrastructure/CommandLineInvoker.java")</f>
        <v/>
      </c>
      <c r="D2248" t="inlineStr">
        <is>
          <t>The provided Java code defines infrastructure classes for Spring Boot CLI operations such as reading from files, writing to files, handling input/output streams, and managing strings. It includes methods for reading from and writing to files using `FileInputStream`, `FileOutputStream`, and related utilities like `BufferedReader` and `PrintWriter`. The complexity of the implementation is O(N), where N represents the size of the data</t>
        </is>
      </c>
      <c r="E2248" t="n">
        <v>0.003</v>
      </c>
      <c r="F2248" t="n">
        <v>0.0282</v>
      </c>
      <c r="G2248" t="n">
        <v>0.1128</v>
      </c>
      <c r="H2248" t="inlineStr">
        <is>
          <t>This repository contains backend software components implementing core algorithms. The complexity of the implementation is O(N), indicating linear time complexity. The README provides information about the project's purpose and structure.</t>
        </is>
      </c>
      <c r="I2248" t="n">
        <v>0.008800000000000001</v>
      </c>
      <c r="J2248" t="n">
        <v>0.25</v>
      </c>
      <c r="K2248" t="n">
        <v>0.2451</v>
      </c>
      <c r="L2248" t="inlineStr">
        <is>
          <t>This Java class provides infrastructure support for Spring Boot CLI applications, including methods for reading from and writing to files, handling input streams, and managing strings. It includes utility functions for common tasks such as copying files, converting between different data formats, and processing command-line arguments. The implementation complexity is O(N), where N represents the size of the input data being processed.</t>
        </is>
      </c>
      <c r="M2248" t="n">
        <v>0.0035</v>
      </c>
      <c r="N2248" t="n">
        <v>0.0833</v>
      </c>
      <c r="O2248" t="n">
        <v>0.1493</v>
      </c>
    </row>
    <row r="2249">
      <c r="A2249" t="inlineStr">
        <is>
          <t>springboot</t>
        </is>
      </c>
      <c r="B2249" t="inlineStr">
        <is>
          <t>cli/spring-boot-cli/src/json-shade/java/org/springframework/boot/cli/json/JSONTokener.java</t>
        </is>
      </c>
      <c r="C2249">
        <f>HYPERLINK("https://github.com/spring-projects/spring-boot/blob/master/cli/spring-boot-cli/src/json-shade/java/org/springframework/boot/cli/json/JSONTokener.java")</f>
        <v/>
      </c>
      <c r="D2249" t="inlineStr">
        <is>
          <t>The provided Java code defines a `JsonParser` class that parses a JSON-encoded string into its corresponding object representation using the `org.json` library. The class includes methods for parsing various types of JSON values such as strings, numbers, booleans, arrays, objects, nulls, and whitespace characters. It also handles exceptions related to malformed JSON input. This implementation is designed to be used within Spring</t>
        </is>
      </c>
      <c r="E2249" t="n">
        <v>0.0035</v>
      </c>
      <c r="F2249" t="n">
        <v>0.0556</v>
      </c>
      <c r="G2249" t="n">
        <v>0.1493</v>
      </c>
      <c r="H2249" t="inlineStr">
        <is>
          <t>This repository contains backend software components that implement core algorithms. The complexity is O(N), indicating linear time performance relative to the input size. The implementation includes comments explaining key functionalities, and it has been committed as part of an initial codebase. The total code size is 1000 lines.</t>
        </is>
      </c>
      <c r="I2249" t="n">
        <v>0.0054</v>
      </c>
      <c r="J2249" t="n">
        <v>0.2105</v>
      </c>
      <c r="K2249" t="n">
        <v>0.25</v>
      </c>
      <c r="L2249" t="inlineStr">
        <is>
          <t>This Java class provides a parser for JSON strings according to RFC 4627, allowing conversion from JSON-encoded text into their respective data structures such as maps, arrays, numbers, booleans, nulls, and strings. The class uses a `JSONTokener` internally to tokenize the input string and then constructs the appropriate objects based on these tokens. It supports parsing both standard JSON and extended</t>
        </is>
      </c>
      <c r="M2249" t="n">
        <v>0.0036</v>
      </c>
      <c r="N2249" t="n">
        <v>0.0571</v>
      </c>
      <c r="O2249" t="n">
        <v>0.1128</v>
      </c>
    </row>
    <row r="2250">
      <c r="A2250" t="inlineStr">
        <is>
          <t>springboot</t>
        </is>
      </c>
      <c r="B2250" t="inlineStr">
        <is>
          <t>cli/spring-boot-cli/src/json-shade/java/org/springframework/boot/cli/json/JSONStringer.java</t>
        </is>
      </c>
      <c r="C2250">
        <f>HYPERLINK("https://github.com/spring-projects/spring-boot/blob/master/cli/spring-boot-cli/src/json-shade/java/org/springframework/boot/cli/json/JSONStringer.java")</f>
        <v/>
      </c>
      <c r="D2250" t="inlineStr">
        <is>
          <t>The provided Java code defines two utility classes, `JSONObject` and `JSONArray`, which implement their respective `toString()` methods using custom logic instead of relying on the standard library's JSON parsing libraries like `org.json`. The code does not include any external dependencies beyond the JDK itself. It focuses on providing string representations of JSON objects and arrays without using third-party libraries, adhering to the specified license terms</t>
        </is>
      </c>
      <c r="E2250" t="n">
        <v>0.0028</v>
      </c>
      <c r="F2250" t="n">
        <v>0.0526</v>
      </c>
      <c r="G2250" t="n">
        <v>0.1095</v>
      </c>
      <c r="H2250" t="inlineStr">
        <is>
          <t>Implements `JSONObject.toString` and `JSONArray.toString`, which convert JSON objects and arrays to strings. This implementation does not rely on external libraries like `org.json`.</t>
        </is>
      </c>
      <c r="I2250" t="n">
        <v>0.0103</v>
      </c>
      <c r="J2250" t="n">
        <v>0.1212</v>
      </c>
      <c r="K2250" t="n">
        <v>0.1596</v>
      </c>
      <c r="L2250" t="inlineStr">
        <is>
          <t>This Java utility class provides implementations for `JSONObject.toString()` and `JSONArray.toString()`, which serialize JSON objects and arrays into string representations. The implementation avoids using the non-free `org.json` library, focusing instead on basic JSON serialization capabilities suitable for most applications. Developers should utilize these methods directly rather than relying on this internal API.</t>
        </is>
      </c>
      <c r="M2250" t="n">
        <v>0.0043</v>
      </c>
      <c r="N2250" t="n">
        <v>0.09520000000000001</v>
      </c>
      <c r="O2250" t="n">
        <v>0.1626</v>
      </c>
    </row>
    <row r="2251">
      <c r="A2251" t="inlineStr">
        <is>
          <t>springboot</t>
        </is>
      </c>
      <c r="B2251" t="inlineStr">
        <is>
          <t>cli/spring-boot-cli/src/json-shade/java/org/springframework/boot/cli/json/JSONException.java</t>
        </is>
      </c>
      <c r="C2251">
        <f>HYPERLINK("https://github.com/spring-projects/spring-boot/blob/master/cli/spring-boot-cli/src/json-shade/java/org/springframework/boot/cli/json/JSONException.java")</f>
        <v/>
      </c>
      <c r="D2251" t="inlineStr">
        <is>
          <t>The provided Java code defines a custom exception class `JsonException` that extends the standard `RuntimeException`. This exception is designed to handle errors related to working with JSON data, including parsing malformed documents, using invalid names, and handling unsupported numeric types. The class includes a detailed list of potential issues it can catch during JSON operations.</t>
        </is>
      </c>
      <c r="E2251" t="n">
        <v>0.004</v>
      </c>
      <c r="F2251" t="n">
        <v>0.0635</v>
      </c>
      <c r="G2251" t="n">
        <v>0.1181</v>
      </c>
      <c r="H2251" t="inlineStr">
        <is>
          <t>The repository contains backend software components that implement core algorithms. The complexity of these implementations is O(N), indicating linear time complexity. The code size is 1000 lines, making it relatively large.</t>
        </is>
      </c>
      <c r="I2251" t="n">
        <v>0.0072</v>
      </c>
      <c r="J2251" t="n">
        <v>0.15</v>
      </c>
      <c r="K2251" t="n">
        <v>0.1456</v>
      </c>
      <c r="L2251" t="inlineStr">
        <is>
          <t>This Java class defines a custom exception `JsonApiException` that extends `RuntimeException`. It includes a constructor that takes a message and a cause, allowing for detailed error reporting when handling issues related to the JSON API used in Spring Boot CLI applications. The exception is designed to be thrown when there are problems parsing or constructing JSON documents, particularly those involving invalid names or unsupported numeric types.</t>
        </is>
      </c>
      <c r="M2251" t="n">
        <v>0.0033</v>
      </c>
      <c r="N2251" t="n">
        <v>0.0541</v>
      </c>
      <c r="O2251" t="n">
        <v>0.1087</v>
      </c>
    </row>
    <row r="2252">
      <c r="A2252" t="inlineStr">
        <is>
          <t>springboot</t>
        </is>
      </c>
      <c r="B2252" t="inlineStr">
        <is>
          <t>cli/spring-boot-cli/src/json-shade/java/org/springframework/boot/cli/json/package-info.java</t>
        </is>
      </c>
      <c r="C2252">
        <f>HYPERLINK("https://github.com/spring-projects/spring-boot/blob/master/cli/spring-boot-cli/src/json-shade/java/org/springframework/boot/cli/json/package-info.java")</f>
        <v/>
      </c>
      <c r="D2252" t="inlineStr">
        <is>
          <t>The provided Java code defines a package `org.springframework.boot.cli.json` that includes classes implementing JSON-related functionalities. The code uses JSpecify annotations to indicate that null values should be marked as unmarked, which helps prevent null pointer exceptions during runtime. The complexity of the implementation is O(N), indicating linear time complexity for certain operations. The comments suggest that the code implements core algorithms related to JSON processing.</t>
        </is>
      </c>
      <c r="E2252" t="n">
        <v>0.006</v>
      </c>
      <c r="F2252" t="n">
        <v>0.0513</v>
      </c>
      <c r="G2252" t="n">
        <v>0.1879</v>
      </c>
      <c r="H2252" t="inlineStr">
        <is>
          <t>The code implements core algorithms for a Spring Boot CLI JSON package. It includes comments explaining its implementation and complexity, as well as details about the license and copyright information. The code size is 730 lines.</t>
        </is>
      </c>
      <c r="I2252" t="n">
        <v>0.0121</v>
      </c>
      <c r="J2252" t="n">
        <v>0.1364</v>
      </c>
      <c r="K2252" t="n">
        <v>0.2366</v>
      </c>
      <c r="L2252" t="inlineStr">
        <is>
          <t>The provided Java code defines a package `org.springframework.boot.cli.json` that includes classes related to JSON handling within Spring Boot CLI applications. The code complexity is O(N), indicating linear time complexity, which suggests efficient processing of data structures like lists or arrays. The existing comments indicate implementation of core algorithms for parsing and manipulating JSON data. The commit messages suggest this as the initial codebase commit, and the</t>
        </is>
      </c>
      <c r="M2252" t="n">
        <v>0.0033</v>
      </c>
      <c r="N2252" t="n">
        <v>0.0759</v>
      </c>
      <c r="O2252" t="n">
        <v>0.1449</v>
      </c>
    </row>
    <row r="2253">
      <c r="A2253" t="inlineStr">
        <is>
          <t>springboot</t>
        </is>
      </c>
      <c r="B2253" t="inlineStr">
        <is>
          <t>cli/spring-boot-cli/src/json-shade/java/org/springframework/boot/cli/json/JSONArray.java</t>
        </is>
      </c>
      <c r="C2253">
        <f>HYPERLINK("https://github.com/spring-projects/spring-boot/blob/master/cli/spring-boot-cli/src/json-shade/java/org/springframework/boot/cli/json/JSONArray.java")</f>
        <v/>
      </c>
      <c r="D2253" t="inlineStr">
        <is>
          <t>The provided Java code defines a `JsonArray` class that represents a dense, zero-based indexable collection of elements, where each element can be another `JSONObject`, `JSONArray`, or primitive data type such as `String`, `Number`, `Boolean`, or `null`. The class provides methods to add elements, retrieve elements by index, iterate over the array, check its size, and convert it</t>
        </is>
      </c>
      <c r="E2253" t="n">
        <v>0.0032</v>
      </c>
      <c r="F2253" t="n">
        <v>0.0303</v>
      </c>
      <c r="G2253" t="n">
        <v>0.0388</v>
      </c>
      <c r="H2253" t="inlineStr">
        <is>
          <t>This repository contains backend software components that implement core algorithms. The complexity of these implementations is O(N), indicating linear time complexity relative to the size of the input data. The code is designed to handle various types of data structures efficiently.</t>
        </is>
      </c>
      <c r="I2253" t="n">
        <v>0.0059</v>
      </c>
      <c r="J2253" t="n">
        <v>0.16</v>
      </c>
      <c r="K2253" t="n">
        <v>0.177</v>
      </c>
      <c r="L2253" t="inlineStr">
        <is>
          <t>This Java class provides a dense indexed sequence of mixed data types, including nested `JSONObject` instances, arrays, strings, numbers, booleans, nulls, and other collections. It supports basic operations such as adding elements, retrieving elements by index, iterating over the collection, and checking if the collection is empty. The class uses reflection to handle different data types dynamically.</t>
        </is>
      </c>
      <c r="M2253" t="n">
        <v>0.0038</v>
      </c>
      <c r="N2253" t="n">
        <v>0.0615</v>
      </c>
      <c r="O2253" t="n">
        <v>0.1163</v>
      </c>
    </row>
    <row r="2254">
      <c r="A2254" t="inlineStr">
        <is>
          <t>springboot</t>
        </is>
      </c>
      <c r="B2254" t="inlineStr">
        <is>
          <t>cli/spring-boot-cli/src/json-shade/java/org/springframework/boot/cli/json/JSONObject.java</t>
        </is>
      </c>
      <c r="C2254">
        <f>HYPERLINK("https://github.com/spring-projects/spring-boot/blob/master/cli/spring-boot-cli/src/json-shade/java/org/springframework/boot/cli/json/JSONObject.java")</f>
        <v/>
      </c>
      <c r="D2254" t="inlineStr">
        <is>
          <t>The provided Java code defines a `JsonMap` class that extends `LinkedHashMap&lt;String, Object&gt;` to create a mutable map where keys must be unique strings and values can be of any type. It includes methods to add, remove, and retrieve entries based on their names. The class also provides utility methods to iterate over its contents and check if it contains a specific key-value pair. This implementation does</t>
        </is>
      </c>
      <c r="E2254" t="n">
        <v>0.0033</v>
      </c>
      <c r="F2254" t="n">
        <v>0.0526</v>
      </c>
      <c r="G2254" t="n">
        <v>0.1449</v>
      </c>
      <c r="H2254" t="inlineStr">
        <is>
          <t>Manages a collection of key-value pairs where keys must be unique strings and values can be of any type. Implements basic operations like adding, removing, and iterating over entries.</t>
        </is>
      </c>
      <c r="I2254" t="n">
        <v>0.0065</v>
      </c>
      <c r="J2254" t="n">
        <v>0.1053</v>
      </c>
      <c r="K2254" t="n">
        <v>0.099</v>
      </c>
      <c r="L2254" t="inlineStr">
        <is>
          <t>This Java class provides a mutable map implementation that allows storing and retrieving name-value pairs where names must be unique and non-null strings. The values can be of any type. It uses a `LinkedHashMap` internally to maintain insertion order while ensuring uniqueness of keys. The class includes methods for adding, removing, and iterating over entries, as well as checking if a value exists for a given key.</t>
        </is>
      </c>
      <c r="M2254" t="n">
        <v>0.0032</v>
      </c>
      <c r="N2254" t="n">
        <v>0.0779</v>
      </c>
      <c r="O2254" t="n">
        <v>0.1439</v>
      </c>
    </row>
    <row r="2255">
      <c r="A2255" t="inlineStr">
        <is>
          <t>springboot</t>
        </is>
      </c>
      <c r="B2255" t="inlineStr">
        <is>
          <t>cli/spring-boot-cli/src/json-shade/java/org/springframework/boot/cli/json/JSON.java</t>
        </is>
      </c>
      <c r="C2255">
        <f>HYPERLINK("https://github.com/spring-projects/spring-boot/blob/master/cli/spring-boot-cli/src/json-shade/java/org/springframework/boot/cli/json/JSON.java")</f>
        <v/>
      </c>
      <c r="D2255" t="inlineStr">
        <is>
          <t>The provided Java class `JSON` includes static methods for handling JSON-related operations such as checking if a double value is valid and converting objects to boolean values. The class uses exception handling to throw a `JSONException` if an infinite or NaN value is encountered during conversion.</t>
        </is>
      </c>
      <c r="E2255" t="n">
        <v>0.004</v>
      </c>
      <c r="F2255" t="n">
        <v>0.0364</v>
      </c>
      <c r="G2255" t="n">
        <v>0.0847</v>
      </c>
      <c r="H2255" t="inlineStr">
        <is>
          <t>This repository contains backend software components that implement core algorithms. The complexity of these implementations is O(N), indicating linear time complexity. The README provides information about the project's purpose, license, package structure, class `JSON` with methods like `checkDouble` and `toBoolean`, and overall size of the codebase as 1000 lines.</t>
        </is>
      </c>
      <c r="I2255" t="n">
        <v>0.0053</v>
      </c>
      <c r="J2255" t="n">
        <v>0.1695</v>
      </c>
      <c r="K2255" t="n">
        <v>0.2066</v>
      </c>
      <c r="L2255" t="inlineStr">
        <is>
          <t>The `JSON` class provides utility methods for handling JSON data, including checking if a double value is valid and converting various types to boolean values. It includes error handling for infinite and NaN values when parsing doubles. The class is part of the Spring Boot CLI project's JSON utilities.</t>
        </is>
      </c>
      <c r="M2255" t="n">
        <v>0.0037</v>
      </c>
      <c r="N2255" t="n">
        <v>0.0345</v>
      </c>
      <c r="O2255" t="n">
        <v>0.08260000000000001</v>
      </c>
    </row>
    <row r="2256">
      <c r="A2256" t="inlineStr">
        <is>
          <t>springboot</t>
        </is>
      </c>
      <c r="B2256" t="inlineStr">
        <is>
          <t>cli/spring-boot-cli/src/main/java/org/springframework/boot/cli/DefaultCommandFactory.java</t>
        </is>
      </c>
      <c r="C2256">
        <f>HYPERLINK("https://github.com/spring-projects/spring-boot/blob/master/cli/spring-boot-cli/src/main/java/org/springframework/boot/cli/DefaultCommandFactory.java")</f>
        <v/>
      </c>
      <c r="D2256" t="inlineStr">
        <is>
          <t>The provided Java code defines a class `CliApplication` that serves as the entry point for a Spring Boot CLI application. It includes methods to register commands, execute them, and manage command factories. The code uses various classes such as `VersionCommand`, which provides version information about the application. The complexity of the implementation is O(N), where N represents the number of registered commands. The comments indicate that</t>
        </is>
      </c>
      <c r="E2256" t="n">
        <v>0.0028</v>
      </c>
      <c r="F2256" t="n">
        <v>0.0267</v>
      </c>
      <c r="G2256" t="n">
        <v>0.1087</v>
      </c>
      <c r="H2256" t="inlineStr">
        <is>
          <t>Manages Spring Boot CLI commands and provides version information. Complexity is O(N) due to handling multiple command factories and versions.</t>
        </is>
      </c>
      <c r="I2256" t="n">
        <v>0.009599999999999999</v>
      </c>
      <c r="J2256" t="n">
        <v>0.06900000000000001</v>
      </c>
      <c r="K2256" t="n">
        <v>0.0543</v>
      </c>
      <c r="L2256" t="inlineStr">
        <is>
          <t>The provided Java code defines a command factory for Spring Boot CLI commands, including a version command. It initializes a list of commands, adds common commands like `VersionCommand`, and provides methods to retrieve all commands. The code uses basic data structures such as lists and collections to manage the collection of commands.</t>
        </is>
      </c>
      <c r="M2256" t="n">
        <v>0.0035</v>
      </c>
      <c r="N2256" t="n">
        <v>0.0333</v>
      </c>
      <c r="O2256" t="n">
        <v>0.0806</v>
      </c>
    </row>
    <row r="2257">
      <c r="A2257" t="inlineStr">
        <is>
          <t>springboot</t>
        </is>
      </c>
      <c r="B2257" t="inlineStr">
        <is>
          <t>cli/spring-boot-cli/src/main/java/org/springframework/boot/cli/package-info.java</t>
        </is>
      </c>
      <c r="C2257">
        <f>HYPERLINK("https://github.com/spring-projects/spring-boot/blob/master/cli/spring-boot-cli/src/main/java/org/springframework/boot/cli/package-info.java")</f>
        <v/>
      </c>
      <c r="D2257" t="inlineStr">
        <is>
          <t>The provided Java code defines a main entry point for a Spring Boot CLI application. It includes package-level comments indicating that it's part of the Spring Boot project and specifies its license. The class `org.springframework.boot.cli.Cli` is annotated with `@NullMarked`, which indicates that null values should be marked as such in the codebase. This annotation helps prevent potential runtime errors related to null</t>
        </is>
      </c>
      <c r="E2257" t="n">
        <v>0.0035</v>
      </c>
      <c r="F2257" t="n">
        <v>0.0263</v>
      </c>
      <c r="G2257" t="n">
        <v>0.1119</v>
      </c>
      <c r="H2257" t="inlineStr">
        <is>
          <t>The code implements core algorithms for a backend software component. It includes comments explaining its implementation and complexity analysis. The README provides information about the repository's purpose and structure.</t>
        </is>
      </c>
      <c r="I2257" t="n">
        <v>0.0163</v>
      </c>
      <c r="J2257" t="n">
        <v>0.1579</v>
      </c>
      <c r="K2257" t="n">
        <v>0.3125</v>
      </c>
      <c r="L2257" t="inlineStr">
        <is>
          <t>The provided Java code defines the main entry point for the Spring Boot Command Line Interface (CLI). It uses the `@NullMarked` annotation from the JSPECIFY library to indicate that null values should be marked explicitly, which helps prevent potential runtime errors related to null dereferencing. The package structure indicates that this class is part of the Spring Boot CLI module, which is responsible for executing Spring</t>
        </is>
      </c>
      <c r="M2257" t="n">
        <v>0</v>
      </c>
      <c r="N2257" t="n">
        <v>0.0541</v>
      </c>
      <c r="O2257" t="n">
        <v>0.0725</v>
      </c>
    </row>
    <row r="2258">
      <c r="A2258" t="inlineStr">
        <is>
          <t>springboot</t>
        </is>
      </c>
      <c r="B2258" t="inlineStr">
        <is>
          <t>cli/spring-boot-cli/src/main/java/org/springframework/boot/cli/SpringCli.java</t>
        </is>
      </c>
      <c r="C2258">
        <f>HYPERLINK("https://github.com/spring-projects/spring-boot/blob/master/cli/spring-boot-cli/src/main/java/org/springframework/boot/cli/SpringCli.java")</f>
        <v/>
      </c>
      <c r="D2258" t="inlineStr">
        <is>
          <t>The provided Java code defines a class `CliApplication` that serves as the entry point for a Spring Boot CLI application. It initializes various services such as command factories and runners using ServiceLoader and URLClassLoader. The code also includes comments explaining its purpose and complexity.</t>
        </is>
      </c>
      <c r="E2258" t="n">
        <v>0.0042</v>
      </c>
      <c r="F2258" t="n">
        <v>0.0385</v>
      </c>
      <c r="G2258" t="n">
        <v>0.0862</v>
      </c>
      <c r="H2258" t="inlineStr">
        <is>
          <t>The repository contains backend software components that implement core algorithms. The complexity is O(N), indicating linear time complexity, which suggests that the performance scales proportionally with the size of the input data. The comments describe the implementation of these algorithms, while the commits indicate the initial creation of the codebase. The total code size is 1000 lines.</t>
        </is>
      </c>
      <c r="I2258" t="n">
        <v>0.0038</v>
      </c>
      <c r="J2258" t="n">
        <v>0.09089999999999999</v>
      </c>
      <c r="K2258" t="n">
        <v>0.1163</v>
      </c>
      <c r="L2258" t="inlineStr">
        <is>
          <t>The provided Java code defines a class `SpringBootCli` within the package `org.springframework.boot.cli`. It appears to be part of a Spring Boot CLI implementation that allows users to execute commands from the command line interface. The class uses various utilities such as `URLClassLoader`, `ServiceLoader`, and `CommandFactory` to load and run different types of commands based on user input. The code handles</t>
        </is>
      </c>
      <c r="M2258" t="n">
        <v>0.003</v>
      </c>
      <c r="N2258" t="n">
        <v>0.0563</v>
      </c>
      <c r="O2258" t="n">
        <v>0.1136</v>
      </c>
    </row>
    <row r="2259">
      <c r="A2259" t="inlineStr">
        <is>
          <t>springboot</t>
        </is>
      </c>
      <c r="B2259" t="inlineStr">
        <is>
          <t>cli/spring-boot-cli/src/main/java/org/springframework/boot/cli/command/CommandFactory.java</t>
        </is>
      </c>
      <c r="C2259">
        <f>HYPERLINK("https://github.com/spring-projects/spring-boot/blob/master/cli/spring-boot-cli/src/main/java/org/springframework/boot/cli/command/CommandFactory.java")</f>
        <v/>
      </c>
      <c r="D2259" t="inlineStr">
        <is>
          <t>The provided code defines a functional interface `CommandFactory` that serves as a factory for creating instances of CLI commands using Java's `ServiceLoader`. The interface includes a single method `getCommands()` which returns a collection of command objects. This allows for easy integration of custom commands into Spring Boot applications through service loading mechanisms.</t>
        </is>
      </c>
      <c r="E2259" t="n">
        <v>0.0035</v>
      </c>
      <c r="F2259" t="n">
        <v>0.0328</v>
      </c>
      <c r="G2259" t="n">
        <v>0.0806</v>
      </c>
      <c r="H2259" t="inlineStr">
        <is>
          <t>This repository contains backend software components that implement core algorithms. The complexity of the implementation is O(N), indicating linear time complexity relative to the input size. The comments provide details about the algorithmic approach taken. The commits include an initial codebase commit. The total code size is 1000 lines.</t>
        </is>
      </c>
      <c r="I2259" t="n">
        <v>0.0049</v>
      </c>
      <c r="J2259" t="n">
        <v>0.1379</v>
      </c>
      <c r="K2259" t="n">
        <v>0.1653</v>
      </c>
      <c r="L2259" t="inlineStr">
        <is>
          <t>The `CommandFactory` interface provides a mechanism to dynamically load and return a collection of command implementations from a service loader. It is designed to be used within Spring Boot's CLI framework, allowing developers to extend the command set without modifying the core application code. The factory method `getCommands()` returns a list of commands that can be executed via the CLI.</t>
        </is>
      </c>
      <c r="M2259" t="n">
        <v>0.0036</v>
      </c>
      <c r="N2259" t="n">
        <v>0.058</v>
      </c>
      <c r="O2259" t="n">
        <v>0.1515</v>
      </c>
    </row>
    <row r="2260">
      <c r="A2260" t="inlineStr">
        <is>
          <t>springboot</t>
        </is>
      </c>
      <c r="B2260" t="inlineStr">
        <is>
          <t>cli/spring-boot-cli/src/main/java/org/springframework/boot/cli/command/package-info.java</t>
        </is>
      </c>
      <c r="C2260">
        <f>HYPERLINK("https://github.com/spring-projects/spring-boot/blob/master/cli/spring-boot-cli/src/main/java/org/springframework/boot/cli/command/package-info.java")</f>
        <v/>
      </c>
      <c r="D2260" t="inlineStr">
        <is>
          <t>The provided code defines command infrastructure for a Spring Boot CLI application. It includes annotations for nullability checking (`@NullMarked`) and is part of a larger project that handles backend software components. The complexity of the implementation is O(N), indicating linear time complexity, which suggests it processes data sequentially. The comments indicate that the code implements core algorithms. There have been no commits yet, so the initial</t>
        </is>
      </c>
      <c r="E2260" t="n">
        <v>0.0069</v>
      </c>
      <c r="F2260" t="n">
        <v>0.08</v>
      </c>
      <c r="G2260" t="n">
        <v>0.2696</v>
      </c>
      <c r="H2260" t="inlineStr">
        <is>
          <t>Manages command infrastructure for Spring Boot CLI applications.</t>
        </is>
      </c>
      <c r="I2260" t="n">
        <v>0</v>
      </c>
      <c r="J2260" t="n">
        <v>0</v>
      </c>
      <c r="K2260" t="n">
        <v>0</v>
      </c>
      <c r="L2260" t="inlineStr">
        <is>
          <t>The code provides command infrastructure for Spring Boot's command-line interface, using JSPECIFY annotations to indicate null safety. It includes classes that handle various commands and options for interacting with the application from the terminal. The package is part of the initial codebase commit and is designed to facilitate easy integration into larger applications.</t>
        </is>
      </c>
      <c r="M2260" t="n">
        <v>0.0035</v>
      </c>
      <c r="N2260" t="n">
        <v>0.0317</v>
      </c>
      <c r="O2260" t="n">
        <v>0.08</v>
      </c>
    </row>
    <row r="2261">
      <c r="A2261" t="inlineStr">
        <is>
          <t>springboot</t>
        </is>
      </c>
      <c r="B2261" t="inlineStr">
        <is>
          <t>cli/spring-boot-cli/src/main/java/org/springframework/boot/cli/command/CommandRunner.java</t>
        </is>
      </c>
      <c r="C2261">
        <f>HYPERLINK("https://github.com/spring-projects/spring-boot/blob/master/cli/spring-boot-cli/src/main/java/org/springframework/boot/cli/command/CommandRunner.java")</f>
        <v/>
      </c>
      <c r="D2261" t="inlineStr">
        <is>
          <t>The provided Java code defines a class `CoreAlgorithms` that implements core algorithms. It includes methods for handling lists, sets, and exit statuses. The code uses JSpecify annotations for nullability checks and Spring Boot CLI utilities. The complexity is O(N) due to operations involving collections like list iteration and set manipulation. The implementation covers basic functionalities such as sorting, filtering, and managing exit statuses.</t>
        </is>
      </c>
      <c r="E2261" t="n">
        <v>0.0068</v>
      </c>
      <c r="F2261" t="n">
        <v>0.1111</v>
      </c>
      <c r="G2261" t="n">
        <v>0.2338</v>
      </c>
      <c r="H2261" t="inlineStr">
        <is>
          <t>Manages backend software components with core algorithm implementations.</t>
        </is>
      </c>
      <c r="I2261" t="n">
        <v>0.033</v>
      </c>
      <c r="J2261" t="n">
        <v>0.25</v>
      </c>
      <c r="K2261" t="n">
        <v>0.125</v>
      </c>
      <c r="L2261" t="inlineStr">
        <is>
          <t>This Java class provides command-line interface capabilities for Spring Boot applications. It includes methods for parsing arguments, handling exit statuses, and managing commands within the application's CLI environment. The class uses enums for representing different types of exit statuses and utilizes lists and sets for storing and iterating over command-related data.</t>
        </is>
      </c>
      <c r="M2261" t="n">
        <v>0.0043</v>
      </c>
      <c r="N2261" t="n">
        <v>0.0645</v>
      </c>
      <c r="O2261" t="n">
        <v>0.122</v>
      </c>
    </row>
    <row r="2262">
      <c r="A2262" t="inlineStr">
        <is>
          <t>springboot</t>
        </is>
      </c>
      <c r="B2262" t="inlineStr">
        <is>
          <t>cli/spring-boot-cli/src/main/java/org/springframework/boot/cli/command/CommandException.java</t>
        </is>
      </c>
      <c r="C2262">
        <f>HYPERLINK("https://github.com/spring-projects/spring-boot/blob/master/cli/spring-boot-cli/src/main/java/org/springframework/boot/cli/command/CommandException.java")</f>
        <v/>
      </c>
      <c r="D2262" t="inlineStr">
        <is>
          <t>The provided Java code defines a custom runtime exception class called `CommandException` within the `org.springframework.boot.cli.command` package. This exception extends the standard `RuntimeException`, allowing it to be thrown when errors occur during command execution. The class includes several static fields representing different options (`Option`) that can be used to customize how the exception is handled or displayed. These options include:
- `NO_EXIT</t>
        </is>
      </c>
      <c r="E2262" t="n">
        <v>0.003</v>
      </c>
      <c r="F2262" t="n">
        <v>0.0274</v>
      </c>
      <c r="G2262" t="n">
        <v>0.0752</v>
      </c>
      <c r="H2262" t="inlineStr">
        <is>
          <t>The code implements core algorithms and provides runtime exception wrappers for command runners. It includes Java packages and classes related to Spring Boot CLI commands. The complexity is high due to its size and the number of operations involved.</t>
        </is>
      </c>
      <c r="I2262" t="n">
        <v>0.0111</v>
      </c>
      <c r="J2262" t="n">
        <v>0.1277</v>
      </c>
      <c r="K2262" t="n">
        <v>0.2302</v>
      </c>
      <c r="L2262" t="inlineStr">
        <is>
          <t>This class extends `RuntimeException` and adds support for command-line options recognized by the `CommandRunner`. It includes methods to retrieve supported options as a set of strings and provides a method to check if a given option is supported. The class is designed to enhance error handling when dealing with unrecognized command-line arguments during execution.</t>
        </is>
      </c>
      <c r="M2262" t="n">
        <v>0.004</v>
      </c>
      <c r="N2262" t="n">
        <v>0.0625</v>
      </c>
      <c r="O2262" t="n">
        <v>0.0794</v>
      </c>
    </row>
    <row r="2263">
      <c r="A2263" t="inlineStr">
        <is>
          <t>springboot</t>
        </is>
      </c>
      <c r="B2263" t="inlineStr">
        <is>
          <t>cli/spring-boot-cli/src/main/java/org/springframework/boot/cli/command/OptionParsingCommand.java</t>
        </is>
      </c>
      <c r="C2263">
        <f>HYPERLINK("https://github.com/spring-projects/spring-boot/blob/master/cli/spring-boot-cli/src/main/java/org/springframework/boot/cli/command/OptionParsingCommand.java")</f>
        <v/>
      </c>
      <c r="D2263" t="inlineStr">
        <is>
          <t>The provided Java code defines a base class `AbstractOptionCommand` within the Spring Boot CLI package. This class extends `BaseCommand` and implements the `Command` interface. It provides functionality for parsing command-line options using an `OptionHandler`. The class includes methods for handling option help (`handleOptionHelp`) and managing exit statuses (`getExitStatus`). The comments indicate that it's part of a</t>
        </is>
      </c>
      <c r="E2263" t="n">
        <v>0.0046</v>
      </c>
      <c r="F2263" t="n">
        <v>0.1212</v>
      </c>
      <c r="G2263" t="n">
        <v>0.1563</v>
      </c>
      <c r="H2263" t="inlineStr">
        <is>
          <t>This repository contains backend software components implementing core algorithms. Complexity is O(N), indicating linear time complexity. The implementation includes comments explaining the purpose and functionality of each part of the code. Initial codebase was committed. Total code size is 1000 lines.</t>
        </is>
      </c>
      <c r="I2263" t="n">
        <v>0.0067</v>
      </c>
      <c r="J2263" t="n">
        <v>0.2</v>
      </c>
      <c r="K2263" t="n">
        <v>0.2655</v>
      </c>
      <c r="L2263" t="inlineStr">
        <is>
          <t>This base class provides a framework for executing commands that process command-line arguments using an `OptionHandler`. It includes methods for handling option parsing, displaying help information, and managing exit statuses. The class supports multiple options and can be extended to implement specific command functionalities.</t>
        </is>
      </c>
      <c r="M2263" t="n">
        <v>0.005</v>
      </c>
      <c r="N2263" t="n">
        <v>0.1132</v>
      </c>
      <c r="O2263" t="n">
        <v>0.1724</v>
      </c>
    </row>
    <row r="2264">
      <c r="A2264" t="inlineStr">
        <is>
          <t>springboot</t>
        </is>
      </c>
      <c r="B2264" t="inlineStr">
        <is>
          <t>cli/spring-boot-cli/src/main/java/org/springframework/boot/cli/command/Command.java</t>
        </is>
      </c>
      <c r="C2264">
        <f>HYPERLINK("https://github.com/spring-projects/spring-boot/blob/master/cli/spring-boot-cli/src/main/java/org/springframework/boot/cli/command/Command.java")</f>
        <v/>
      </c>
      <c r="D2264" t="inlineStr">
        <is>
          <t>The provided Java code defines a `Command` interface within the Spring Boot CLI project. This interface represents a single command that can be executed from the command line. It includes methods for handling options, processing arguments, and returning exit statuses. The class also supports displaying help information using annotations and interfaces related to option handling.</t>
        </is>
      </c>
      <c r="E2264" t="n">
        <v>0.004</v>
      </c>
      <c r="F2264" t="n">
        <v>0.0635</v>
      </c>
      <c r="G2264" t="n">
        <v>0.1181</v>
      </c>
      <c r="H2264" t="inlineStr">
        <is>
          <t>Manages commands for running Spring Boot applications from the command line.</t>
        </is>
      </c>
      <c r="I2264" t="n">
        <v>0</v>
      </c>
      <c r="J2264" t="n">
        <v>0</v>
      </c>
      <c r="K2264" t="n">
        <v>0.0602</v>
      </c>
      <c r="L2264" t="inlineStr">
        <is>
          <t>This Java class defines a `Command` interface representing a command that can be executed from the Spring Boot CLI. It includes methods for handling options, executing commands, and providing help information. The class uses annotations like `@Nullable` to indicate optional parameters and `@OptionHelp` to provide usage instructions. The implementation complexity is O(1), as it primarily involves method calls and basic data manipulation.</t>
        </is>
      </c>
      <c r="M2264" t="n">
        <v>0.0035</v>
      </c>
      <c r="N2264" t="n">
        <v>0.08450000000000001</v>
      </c>
      <c r="O2264" t="n">
        <v>0.1493</v>
      </c>
    </row>
    <row r="2265">
      <c r="A2265" t="inlineStr">
        <is>
          <t>springboot</t>
        </is>
      </c>
      <c r="B2265" t="inlineStr">
        <is>
          <t>cli/spring-boot-cli/src/main/java/org/springframework/boot/cli/command/NoHelpCommandArgumentsException.java</t>
        </is>
      </c>
      <c r="C2265">
        <f>HYPERLINK("https://github.com/spring-projects/spring-boot/blob/master/cli/spring-boot-cli/src/main/java/org/springframework/boot/cli/command/NoHelpCommandArgumentsException.java")</f>
        <v/>
      </c>
      <c r="D2265" t="inlineStr">
        <is>
          <t>The provided Java code defines a custom exception `NoHelpCommandArgumentsException` that extends the base `CommandException`. This exception is specifically designed to be thrown when the help command is invoked without any arguments. The exception includes a serial version UID for serialization purposes and provides a constructor that accepts no parameters. It inherits from `CommandException`, which suggests it might be part of a larger application framework dealing with</t>
        </is>
      </c>
      <c r="E2265" t="n">
        <v>0.0033</v>
      </c>
      <c r="F2265" t="n">
        <v>0.0541</v>
      </c>
      <c r="G2265" t="n">
        <v>0.1087</v>
      </c>
      <c r="H2265" t="inlineStr">
        <is>
          <t>This repository contains backend software components that implement core algorithms. The complexity of these implementations is O(N), indicating linear time complexity relative to input size. The comments provide detailed explanations of the implementation's purpose and logic. The commits include an initial codebase commit. The total code size is 1000 lines.</t>
        </is>
      </c>
      <c r="I2265" t="n">
        <v>0.0098</v>
      </c>
      <c r="J2265" t="n">
        <v>0.2</v>
      </c>
      <c r="K2265" t="n">
        <v>0.3495</v>
      </c>
      <c r="L2265" t="inlineStr">
        <is>
          <t>The `NoHelpCommandArgumentsException` exception is thrown when the help command is invoked without any additional arguments, providing usage instructions if available. It inherits from the `CommandException`, which suggests that it is part of a Spring Boot CLI application designed to handle command-line commands efficiently. The exception encapsulates the error message related to missing help command arguments, ensuring clarity and consistency across different parts of the system</t>
        </is>
      </c>
      <c r="M2265" t="n">
        <v>0.0028</v>
      </c>
      <c r="N2265" t="n">
        <v>0.027</v>
      </c>
      <c r="O2265" t="n">
        <v>0.073</v>
      </c>
    </row>
    <row r="2266">
      <c r="A2266" t="inlineStr">
        <is>
          <t>springboot</t>
        </is>
      </c>
      <c r="B2266" t="inlineStr">
        <is>
          <t>cli/spring-boot-cli/src/main/java/org/springframework/boot/cli/command/NoArgumentsException.java</t>
        </is>
      </c>
      <c r="C2266">
        <f>HYPERLINK("https://github.com/spring-projects/spring-boot/blob/master/cli/spring-boot-cli/src/main/java/org/springframework/boot/cli/command/NoArgumentsException.java")</f>
        <v/>
      </c>
      <c r="D2266" t="inlineStr">
        <is>
          <t>The provided Java code defines a custom exception class `NoArgumentsException` within the package `org.springframework.boot.cli.command`. This exception is specifically designed to be thrown when no command-line arguments are provided during execution. The class inherits from another exception class named `CommandException`, which suggests it might be part of a larger framework or library related to Spring Boot CLI commands. The purpose of this exception is to</t>
        </is>
      </c>
      <c r="E2266" t="n">
        <v>0.0028</v>
      </c>
      <c r="F2266" t="n">
        <v>0.026</v>
      </c>
      <c r="G2266" t="n">
        <v>0.0735</v>
      </c>
      <c r="H2266" t="inlineStr">
        <is>
          <t>This repository contains backend software components implementing core algorithms. The complexity is O(N), indicating linear time complexity, which means it scales proportionally with the size of the input data.</t>
        </is>
      </c>
      <c r="I2266" t="n">
        <v>0.008500000000000001</v>
      </c>
      <c r="J2266" t="n">
        <v>0.2105</v>
      </c>
      <c r="K2266" t="n">
        <v>0.3125</v>
      </c>
      <c r="L2266" t="inlineStr">
        <is>
          <t>The `NoArgumentsException` class extends `CommandException`, providing a custom exception specifically designed to handle cases where no command-line arguments are supplied when executing Spring Boot CLI commands. This ensures that appropriate error handling can be implemented in response to missing input parameters.</t>
        </is>
      </c>
      <c r="M2266" t="n">
        <v>0.0045</v>
      </c>
      <c r="N2266" t="n">
        <v>0.08</v>
      </c>
      <c r="O2266" t="n">
        <v>0.0885</v>
      </c>
    </row>
    <row r="2267">
      <c r="A2267" t="inlineStr">
        <is>
          <t>springboot</t>
        </is>
      </c>
      <c r="B2267" t="inlineStr">
        <is>
          <t>cli/spring-boot-cli/src/main/java/org/springframework/boot/cli/command/NoSuchCommandException.java</t>
        </is>
      </c>
      <c r="C2267">
        <f>HYPERLINK("https://github.com/spring-projects/spring-boot/blob/master/cli/spring-boot-cli/src/main/java/org/springframework/boot/cli/command/NoSuchCommandException.java")</f>
        <v/>
      </c>
      <c r="D2267" t="inlineStr">
        <is>
          <t>The provided Java code defines a custom exception `NoSuchCommandException` that extends `CommandException`. This exception is thrown when a specified command is not recognized within a Spring Boot CLI application. The constructor takes a string parameter representing the invalid command name and formats it into an error message indicating that the command is not valid. The exception includes a serial version UID for serialization purposes.</t>
        </is>
      </c>
      <c r="E2267" t="n">
        <v>0.0034</v>
      </c>
      <c r="F2267" t="n">
        <v>0.0556</v>
      </c>
      <c r="G2267" t="n">
        <v>0.0735</v>
      </c>
      <c r="H2267" t="inlineStr">
        <is>
          <t>This repository contains backend software components that implement core algorithms. The complexity of the implementation is O(N), indicating linear time complexity, which means it scales proportionally with the size of the input data. The comments provide details about the implementation process, while the commits indicate the initial creation of the codebase. The total code size is 1000 lines.</t>
        </is>
      </c>
      <c r="I2267" t="n">
        <v>0.0041</v>
      </c>
      <c r="J2267" t="n">
        <v>0.1194</v>
      </c>
      <c r="K2267" t="n">
        <v>0.1538</v>
      </c>
      <c r="L2267" t="inlineStr">
        <is>
          <t>The `NoSuchCommandException` class extends `CommandException` and is thrown when a specified command is not recognized within the Spring Boot CLI framework. It provides a formatted error message indicating that the given command name is invalid, suggesting users check available commands using the help option.</t>
        </is>
      </c>
      <c r="M2267" t="n">
        <v>0.0042</v>
      </c>
      <c r="N2267" t="n">
        <v>0.0385</v>
      </c>
      <c r="O2267" t="n">
        <v>0.0862</v>
      </c>
    </row>
    <row r="2268">
      <c r="A2268" t="inlineStr">
        <is>
          <t>springboot</t>
        </is>
      </c>
      <c r="B2268" t="inlineStr">
        <is>
          <t>cli/spring-boot-cli/src/main/java/org/springframework/boot/cli/command/HelpExample.java</t>
        </is>
      </c>
      <c r="C2268">
        <f>HYPERLINK("https://github.com/spring-projects/spring-boot/blob/master/cli/spring-boot-cli/src/main/java/org/springframework/boot/cli/command/HelpExample.java")</f>
        <v/>
      </c>
      <c r="D2268" t="inlineStr">
        <is>
          <t>The provided Java code defines a simple `HelpExample` class within the `org.springframework.boot.cli.command` package. This class serves as an example that can be displayed in the help documentation. It includes two fields: `description` and `example`, which store the description and usage example respectively. The class provides a constructor to initialize these fields and is annotated with Javadoc comments explaining its purpose and usage</t>
        </is>
      </c>
      <c r="E2268" t="n">
        <v>0.0035</v>
      </c>
      <c r="F2268" t="n">
        <v>0.0541</v>
      </c>
      <c r="G2268" t="n">
        <v>0.0746</v>
      </c>
      <c r="H2268" t="inlineStr">
        <is>
          <t>This repository contains backend software components implementing core algorithms. Complexity is O(N), indicating linear time complexity. The implementation includes comments explaining the logic behind each part of the code. The commits indicate the initial creation of the codebase. The total size of the codebase is 1000 lines.</t>
        </is>
      </c>
      <c r="I2268" t="n">
        <v>0.0051</v>
      </c>
      <c r="J2268" t="n">
        <v>0.1786</v>
      </c>
      <c r="K2268" t="n">
        <v>0.2101</v>
      </c>
      <c r="L2268" t="inlineStr">
        <is>
          <t>The `HelpExample` class provides examples that can be displayed in the help documentation. It includes a description and an example string, allowing developers to understand how to use certain commands effectively. The class is part of Spring Boot's CLI command package and serves as a simple utility for displaying usage instructions.</t>
        </is>
      </c>
      <c r="M2268" t="n">
        <v>0.0036</v>
      </c>
      <c r="N2268" t="n">
        <v>0.0333</v>
      </c>
      <c r="O2268" t="n">
        <v>0.0813</v>
      </c>
    </row>
    <row r="2269">
      <c r="A2269" t="inlineStr">
        <is>
          <t>springboot</t>
        </is>
      </c>
      <c r="B2269" t="inlineStr">
        <is>
          <t>cli/spring-boot-cli/src/main/java/org/springframework/boot/cli/command/AbstractCommand.java</t>
        </is>
      </c>
      <c r="C2269">
        <f>HYPERLINK("https://github.com/spring-projects/spring-boot/blob/master/cli/spring-boot-cli/src/main/java/org/springframework/boot/cli/command/AbstractCommand.java")</f>
        <v/>
      </c>
      <c r="D2269" t="inlineStr">
        <is>
          <t>The provided Java code defines an abstract base class `AbstractCommand` within the `org.springframework.boot.cli.command` package. This class serves as a foundation for implementing various command-line commands used in Spring Boot CLI applications. It includes methods for handling options help and managing collections of strings. The class is designed to be extended by concrete command implementations, allowing them to inherit common functionalities such as option parsing and collection</t>
        </is>
      </c>
      <c r="E2269" t="n">
        <v>0.0033</v>
      </c>
      <c r="F2269" t="n">
        <v>0.1013</v>
      </c>
      <c r="G2269" t="n">
        <v>0.1449</v>
      </c>
      <c r="H2269" t="inlineStr">
        <is>
          <t>This repository contains backend software components that implement core algorithms. The complexity of these implementations is O(N), indicating linear time complexity. The code size is 1000 lines, making it relatively large but manageable.</t>
        </is>
      </c>
      <c r="I2269" t="n">
        <v>0.0074</v>
      </c>
      <c r="J2269" t="n">
        <v>0.1905</v>
      </c>
      <c r="K2269" t="n">
        <v>0.1905</v>
      </c>
      <c r="L2269" t="inlineStr">
        <is>
          <t>This abstract `AbstractCommand` class serves as a base implementation for command-line interface commands in Spring Boot CLI applications. It provides common functionalities such as handling options and providing help text. The class includes methods for retrieving option descriptions and managing command arguments.</t>
        </is>
      </c>
      <c r="M2269" t="n">
        <v>0.0052</v>
      </c>
      <c r="N2269" t="n">
        <v>0.1569</v>
      </c>
      <c r="O2269" t="n">
        <v>0.1754</v>
      </c>
    </row>
    <row r="2270">
      <c r="A2270" t="inlineStr">
        <is>
          <t>springboot</t>
        </is>
      </c>
      <c r="B2270" t="inlineStr">
        <is>
          <t>cli/spring-boot-cli/src/main/java/org/springframework/boot/cli/command/encodepassword/EncodePasswordCommand.java</t>
        </is>
      </c>
      <c r="C2270">
        <f>HYPERLINK("https://github.com/spring-projects/spring-boot/blob/master/cli/spring-boot-cli/src/main/java/org/springframework/boot/cli/command/encodepassword/EncodePasswordCommand.java")</f>
        <v/>
      </c>
      <c r="D2270" t="inlineStr">
        <is>
          <t>The provided Java code defines a class `EncodePasswordCommand` within the package `org.springframework.boot.cli.command.encodepassword`. This class appears to be part of a command-line tool that handles password encoding functionalities using JOpt Simple library for parsing command line options. The main purpose of this class seems to be to provide a way to encode passwords according to specified rules or standards, possibly integrating with Spring Boot CLI</t>
        </is>
      </c>
      <c r="E2270" t="n">
        <v>0.0028</v>
      </c>
      <c r="F2270" t="n">
        <v>0.0513</v>
      </c>
      <c r="G2270" t="n">
        <v>0.0735</v>
      </c>
      <c r="H2270" t="inlineStr">
        <is>
          <t>The repository contains backend software components that implement core algorithms. The complexity is O(N), indicating linear time complexity, which suggests efficient processing of data structures where N represents the number of elements involved.</t>
        </is>
      </c>
      <c r="I2270" t="n">
        <v>0.0067</v>
      </c>
      <c r="J2270" t="n">
        <v>0.1429</v>
      </c>
      <c r="K2270" t="n">
        <v>0.2434</v>
      </c>
      <c r="L2270" t="inlineStr">
        <is>
          <t>The code provides a command-line utility for encoding passwords using Spring Boot CLI. It supports various password hashing algorithms such as BCrypt, Argon2, PBKDF2, and SHA-256. The utility parses command-line arguments to specify the algorithm and input password, then generates the encoded hash. It uses JOpt Simple for parsing options and handles different hashing strategies based on user selection.</t>
        </is>
      </c>
      <c r="M2270" t="n">
        <v>0.0031</v>
      </c>
      <c r="N2270" t="n">
        <v>0.0286</v>
      </c>
      <c r="O2270" t="n">
        <v>0.07630000000000001</v>
      </c>
    </row>
    <row r="2271">
      <c r="A2271" t="inlineStr">
        <is>
          <t>springboot</t>
        </is>
      </c>
      <c r="B2271" t="inlineStr">
        <is>
          <t>cli/spring-boot-cli/src/main/java/org/springframework/boot/cli/command/encodepassword/package-info.java</t>
        </is>
      </c>
      <c r="C2271">
        <f>HYPERLINK("https://github.com/spring-projects/spring-boot/blob/master/cli/spring-boot-cli/src/main/java/org/springframework/boot/cli/command/encodepassword/package-info.java")</f>
        <v/>
      </c>
      <c r="D2271" t="inlineStr">
        <is>
          <t>The provided code defines a CLI command for password encoding within the `org.springframework.boot.cli.command.encodepassword` package. It uses the `@NullMarked` annotation from the `jspecify` library to indicate that certain methods can return null values. The complexity of the implementation is O(N), where N represents the number of operations performed during execution. The comments describe the purpose of the code as</t>
        </is>
      </c>
      <c r="E2271" t="n">
        <v>0</v>
      </c>
      <c r="F2271" t="n">
        <v>0.0278</v>
      </c>
      <c r="G2271" t="n">
        <v>0.0769</v>
      </c>
      <c r="H2271" t="inlineStr">
        <is>
          <t>This repository contains backend software components that implement core algorithms. The complexity of these implementations is O(N), indicating they scale linearly with input size.</t>
        </is>
      </c>
      <c r="I2271" t="n">
        <v>0.0104</v>
      </c>
      <c r="J2271" t="n">
        <v>0.2424</v>
      </c>
      <c r="K2271" t="n">
        <v>0.2083</v>
      </c>
      <c r="L2271" t="inlineStr">
        <is>
          <t>The code provides a CLI command for encoding passwords using Spring Boot's CLI tooling. It includes basic package annotations and comments indicating that it implements core algorithms for password encoding. The implementation complexity is O(N), as indicated by the comment in the README context.</t>
        </is>
      </c>
      <c r="M2271" t="n">
        <v>0.0098</v>
      </c>
      <c r="N2271" t="n">
        <v>0.0741</v>
      </c>
      <c r="O2271" t="n">
        <v>0.2721</v>
      </c>
    </row>
    <row r="2272">
      <c r="A2272" t="inlineStr">
        <is>
          <t>springboot</t>
        </is>
      </c>
      <c r="B2272" t="inlineStr">
        <is>
          <t>cli/spring-boot-cli/src/main/java/org/springframework/boot/cli/command/core/package-info.java</t>
        </is>
      </c>
      <c r="C2272">
        <f>HYPERLINK("https://github.com/spring-projects/spring-boot/blob/master/cli/spring-boot-cli/src/main/java/org/springframework/boot/cli/command/core/package-info.java")</f>
        <v/>
      </c>
      <c r="D2272" t="inlineStr">
        <is>
          <t>The provided Java code defines a package named `org.springframework.boot.cli.command.core` which contains classes related to core command-line interface (CLI) functionalities within the Spring Boot framework. The package includes annotations such as `@NullMarked`, indicating that it uses nullability checking features from JSPECIFY. The complexity of the implementation is O(N), suggesting linear time complexity operations, and comments indicate that the</t>
        </is>
      </c>
      <c r="E2272" t="n">
        <v>0.0038</v>
      </c>
      <c r="F2272" t="n">
        <v>0.0833</v>
      </c>
      <c r="G2272" t="n">
        <v>0.155</v>
      </c>
      <c r="H2272" t="inlineStr">
        <is>
          <t>This repository contains backend software components that implement core algorithms. The complexity is O(N), indicating linear time complexity, which means the performance increases proportionally with the size of the input data.</t>
        </is>
      </c>
      <c r="I2272" t="n">
        <v>0.007900000000000001</v>
      </c>
      <c r="J2272" t="n">
        <v>0.2</v>
      </c>
      <c r="K2272" t="n">
        <v>0.3064</v>
      </c>
      <c r="L2272" t="inlineStr">
        <is>
          <t>This package contains core command-line interface (CLI) commands for Spring Boot applications. It includes essential functionalities such as application startup, configuration management, and deployment options. The implementation relies on JavaScript specification annotations (`@NullMarked`) to ensure type safety and null handling.</t>
        </is>
      </c>
      <c r="M2272" t="n">
        <v>0.0061</v>
      </c>
      <c r="N2272" t="n">
        <v>0.1633</v>
      </c>
      <c r="O2272" t="n">
        <v>0.2232</v>
      </c>
    </row>
    <row r="2273">
      <c r="A2273" t="inlineStr">
        <is>
          <t>springboot</t>
        </is>
      </c>
      <c r="B2273" t="inlineStr">
        <is>
          <t>cli/spring-boot-cli/src/main/java/org/springframework/boot/cli/command/core/HintCommand.java</t>
        </is>
      </c>
      <c r="C2273">
        <f>HYPERLINK("https://github.com/spring-projects/spring-boot/blob/master/cli/spring-boot-cli/src/main/java/org/springframework/boot/cli/command/core/HintCommand.java")</f>
        <v/>
      </c>
      <c r="D2273" t="inlineStr">
        <is>
          <t>The provided Java code defines a class `CoreAlgorithms` that implements core algorithms using Spring Boot CLI command framework. It includes methods for handling commands, options, and help information. The complexity is O(N), indicating linear time operations based on input size N. The implementation focuses on providing basic functionalities such as executing commands and displaying option help.</t>
        </is>
      </c>
      <c r="E2273" t="n">
        <v>0.0076</v>
      </c>
      <c r="F2273" t="n">
        <v>0.1231</v>
      </c>
      <c r="G2273" t="n">
        <v>0.2466</v>
      </c>
      <c r="H2273" t="inlineStr">
        <is>
          <t>This repository contains backend software components that implement core algorithms. The complexity of these implementations is O(N), indicating linear time complexity relative to the input size. The codebase includes various classes and methods designed to perform essential operations efficiently.</t>
        </is>
      </c>
      <c r="I2273" t="n">
        <v>0.0067</v>
      </c>
      <c r="J2273" t="n">
        <v>0.2083</v>
      </c>
      <c r="K2273" t="n">
        <v>0.2252</v>
      </c>
      <c r="L2273" t="inlineStr">
        <is>
          <t>The provided Java code defines a command-line interface (CLI) tool using Spring Boot CLI framework. It includes a class `AbstractCommand` that serves as a base for other commands. The class implements various interfaces such as `Command`, `CommandRunner`, and `OptionHelp`. The main functionality involves handling command execution, option parsing, and providing help options. The code uses basic data structures like lists and</t>
        </is>
      </c>
      <c r="M2273" t="n">
        <v>0.0039</v>
      </c>
      <c r="N2273" t="n">
        <v>0.0857</v>
      </c>
      <c r="O2273" t="n">
        <v>0.1128</v>
      </c>
    </row>
    <row r="2274">
      <c r="A2274" t="inlineStr">
        <is>
          <t>springboot</t>
        </is>
      </c>
      <c r="B2274" t="inlineStr">
        <is>
          <t>cli/spring-boot-cli/src/main/java/org/springframework/boot/cli/command/core/VersionCommand.java</t>
        </is>
      </c>
      <c r="C2274">
        <f>HYPERLINK("https://github.com/spring-projects/spring-boot/blob/master/cli/spring-boot-cli/src/main/java/org/springframework/boot/cli/command/core/VersionCommand.java")</f>
        <v/>
      </c>
      <c r="D2274" t="inlineStr">
        <is>
          <t>The provided Java code defines a command-line utility that displays the version number of a Spring Boot CLI application. It extends `AbstractCommand` from the `org.springframework.boot.cli.command` package and implements the `Command` interface. The class includes methods to execute the command, handle exit statuses, and log messages using the `Log` utility class. This utility is useful for developers to quickly check the version</t>
        </is>
      </c>
      <c r="E2274" t="n">
        <v>0.0039</v>
      </c>
      <c r="F2274" t="n">
        <v>0.0541</v>
      </c>
      <c r="G2274" t="n">
        <v>0.1504</v>
      </c>
      <c r="H2274" t="inlineStr">
        <is>
          <t>The code provides a command-line tool that displays the version number using Spring Boot CLI framework. It includes comments explaining its purpose and implementation details. The complexity is rated as O(N) due to potential processing of input data. The code size is 1000 lines.</t>
        </is>
      </c>
      <c r="I2274" t="n">
        <v>0.0042</v>
      </c>
      <c r="J2274" t="n">
        <v>0.037</v>
      </c>
      <c r="K2274" t="n">
        <v>0.1293</v>
      </c>
      <c r="L2274" t="inlineStr">
        <is>
          <t>This Spring Boot CLI command displays the version number of the application when executed. It extends `AbstractCommand` and provides a simple interface to retrieve and print the current version using logging utilities from the Spring Boot CLI utility package. The command is designed to be straightforward and efficient, leveraging existing comments and implementation details to provide context and clarity about its functionality.</t>
        </is>
      </c>
      <c r="M2274" t="n">
        <v>0.0035</v>
      </c>
      <c r="N2274" t="n">
        <v>0.0857</v>
      </c>
      <c r="O2274" t="n">
        <v>0.1493</v>
      </c>
    </row>
    <row r="2275">
      <c r="A2275" t="inlineStr">
        <is>
          <t>springboot</t>
        </is>
      </c>
      <c r="B2275" t="inlineStr">
        <is>
          <t>cli/spring-boot-cli/src/main/java/org/springframework/boot/cli/command/core/HelpCommand.java</t>
        </is>
      </c>
      <c r="C2275">
        <f>HYPERLINK("https://github.com/spring-projects/spring-boot/blob/master/cli/spring-boot-cli/src/main/java/org/springframework/boot/cli/command/core/HelpCommand.java")</f>
        <v/>
      </c>
      <c r="D2275" t="inlineStr">
        <is>
          <t>The provided Java code defines a class `CoreAlgorithms` that implements core algorithmic functionalities. It includes methods for handling collections, such as converting them to lists, checking if they contain elements, and sorting them. The class uses generics and annotations like `@Nullable` to ensure type safety and flexibility. This implementation is part of a larger project focused on providing command-line tools for Spring Boot applications.</t>
        </is>
      </c>
      <c r="E2275" t="n">
        <v>0.0072</v>
      </c>
      <c r="F2275" t="n">
        <v>0.1096</v>
      </c>
      <c r="G2275" t="n">
        <v>0.2735</v>
      </c>
      <c r="H2275" t="inlineStr">
        <is>
          <t>The repository contains backend software components implementing core algorithms. Complexity is O(N), indicating linear time complexity. The README provides information about the project's purpose and structure.</t>
        </is>
      </c>
      <c r="I2275" t="n">
        <v>0.009599999999999999</v>
      </c>
      <c r="J2275" t="n">
        <v>0.2222</v>
      </c>
      <c r="K2275" t="n">
        <v>0.3221</v>
      </c>
      <c r="L2275" t="inlineStr">
        <is>
          <t>The code defines a command-line interface (CLI) tool that processes input arguments and performs various operations based on those arguments. It includes methods for parsing options, handling errors, and executing commands within the Spring Boot CLI framework. The implementation uses Java generics and annotations for type safety and clarity.</t>
        </is>
      </c>
      <c r="M2275" t="n">
        <v>0.0037</v>
      </c>
      <c r="N2275" t="n">
        <v>0.06900000000000001</v>
      </c>
      <c r="O2275" t="n">
        <v>0.124</v>
      </c>
    </row>
    <row r="2276">
      <c r="A2276" t="inlineStr">
        <is>
          <t>springboot</t>
        </is>
      </c>
      <c r="B2276" t="inlineStr">
        <is>
          <t>cli/spring-boot-cli/src/main/java/org/springframework/boot/cli/command/options/package-info.java</t>
        </is>
      </c>
      <c r="C2276">
        <f>HYPERLINK("https://github.com/spring-projects/spring-boot/blob/master/cli/spring-boot-cli/src/main/java/org/springframework/boot/cli/command/options/package-info.java")</f>
        <v/>
      </c>
      <c r="D2276" t="inlineStr">
        <is>
          <t>The provided Java code defines support classes for handling command-line options using annotations from the `org.jspecify` package. The code is part of a larger project that includes backend software components and implements core algorithms. It uses the Apache License version 2.0 for licensing.</t>
        </is>
      </c>
      <c r="E2276" t="n">
        <v>0.0108</v>
      </c>
      <c r="F2276" t="n">
        <v>0.1111</v>
      </c>
      <c r="G2276" t="n">
        <v>0.3235</v>
      </c>
      <c r="H2276" t="inlineStr">
        <is>
          <t>Manages command-line option support classes.</t>
        </is>
      </c>
      <c r="I2276" t="n">
        <v>0</v>
      </c>
      <c r="J2276" t="n">
        <v>0</v>
      </c>
      <c r="K2276" t="n">
        <v>0</v>
      </c>
      <c r="L2276" t="inlineStr">
        <is>
          <t>This package provides support classes for parsing and handling command-line options in Spring Boot CLI applications. It includes utilities for defining and validating command-line arguments based on predefined specifications. The code complexity is moderate, with comments indicating implementation of core algorithmic features, and the total size is approximately 800 lines.</t>
        </is>
      </c>
      <c r="M2276" t="n">
        <v>0.0048</v>
      </c>
      <c r="N2276" t="n">
        <v>0.1333</v>
      </c>
      <c r="O2276" t="n">
        <v>0.1639</v>
      </c>
    </row>
    <row r="2277">
      <c r="A2277" t="inlineStr">
        <is>
          <t>springboot</t>
        </is>
      </c>
      <c r="B2277" t="inlineStr">
        <is>
          <t>cli/spring-boot-cli/src/main/java/org/springframework/boot/cli/command/options/OptionHelp.java</t>
        </is>
      </c>
      <c r="C2277">
        <f>HYPERLINK("https://github.com/spring-projects/spring-boot/blob/master/cli/spring-boot-cli/src/main/java/org/springframework/boot/cli/command/options/OptionHelp.java")</f>
        <v/>
      </c>
      <c r="D2277" t="inlineStr">
        <is>
          <t>The provided Java code defines an `OptionHelp` interface within the Spring Boot CLI command options package. This interface represents help information for a specific command-line option. It includes two methods:
1. **getOptions()**: This method returns a set of strings representing the names of options that are considered synonyms for each other. Synonymous options allow users to specify the same behavior using different names.
2.</t>
        </is>
      </c>
      <c r="E2277" t="n">
        <v>0.0028</v>
      </c>
      <c r="F2277" t="n">
        <v>0.0274</v>
      </c>
      <c r="G2277" t="n">
        <v>0.0735</v>
      </c>
      <c r="H2277" t="inlineStr">
        <is>
          <t>The repository contains backend software components implementing core algorithms. Complexity is O(N), indicating linear time complexity. The implementation includes comments explaining the purpose and functionality of each part. Initial codebase commit was made. The total size of the codebase is 1000 lines.</t>
        </is>
      </c>
      <c r="I2277" t="n">
        <v>0.0062</v>
      </c>
      <c r="J2277" t="n">
        <v>0.1569</v>
      </c>
      <c r="K2277" t="n">
        <v>0.2193</v>
      </c>
      <c r="L2277" t="inlineStr">
        <is>
          <t>The `OptionHelp` interface provides documentation for command-line options used in Spring Boot CLI applications. It includes methods to retrieve sets of synonymous options and their usage instructions. The implementation focuses on providing comprehensive help for each option, aiding developers in using the CLI effectively.</t>
        </is>
      </c>
      <c r="M2277" t="n">
        <v>0.0042</v>
      </c>
      <c r="N2277" t="n">
        <v>0.0377</v>
      </c>
      <c r="O2277" t="n">
        <v>0.1293</v>
      </c>
    </row>
    <row r="2278">
      <c r="A2278" t="inlineStr">
        <is>
          <t>springboot</t>
        </is>
      </c>
      <c r="B2278" t="inlineStr">
        <is>
          <t>cli/spring-boot-cli/src/main/java/org/springframework/boot/cli/command/options/OptionHandler.java</t>
        </is>
      </c>
      <c r="C2278">
        <f>HYPERLINK("https://github.com/spring-projects/spring-boot/blob/master/cli/spring-boot-cli/src/main/java/org/springframework/boot/cli/command/options/OptionHandler.java")</f>
        <v/>
      </c>
      <c r="D2278" t="inlineStr">
        <is>
          <t>The provided Java code defines a class `OptionsParser` within the package `org.springframework.boot.cli.command.options`. This class appears to be part of a command-line interface tool used to parse options from user input. The code includes methods for parsing various types of command-line arguments, such as flags, parameters, and subcommands. It also manages option validation and provides utilities for handling output streams. The complexity</t>
        </is>
      </c>
      <c r="E2278" t="n">
        <v>0.0036</v>
      </c>
      <c r="F2278" t="n">
        <v>0.0526</v>
      </c>
      <c r="G2278" t="n">
        <v>0.1128</v>
      </c>
      <c r="H2278" t="inlineStr">
        <is>
          <t>The code implements core algorithms for a backend software component. It includes classes such as `ByteArrayOutputStream`, `Collection`, `Comparator`, `LinkedHashSet`, `List`, `Map`, and `Set`. The complexity is O(N), indicating linear time operations.</t>
        </is>
      </c>
      <c r="I2278" t="n">
        <v>0.0152</v>
      </c>
      <c r="J2278" t="n">
        <v>0.15</v>
      </c>
      <c r="K2278" t="n">
        <v>0.3064</v>
      </c>
      <c r="L2278" t="inlineStr">
        <is>
          <t>This Java class provides methods for parsing command-line options into a structured format suitable for Spring Boot applications. It includes utilities for handling option values, sorting them, and managing dependencies between options. The implementation focuses on maintaining clarity and efficiency, leveraging collections like `ArrayList`, `LinkedHashSet`, and `Map` to organize data effectively.</t>
        </is>
      </c>
      <c r="M2278" t="n">
        <v>0.0043</v>
      </c>
      <c r="N2278" t="n">
        <v>0.1</v>
      </c>
      <c r="O2278" t="n">
        <v>0.122</v>
      </c>
    </row>
    <row r="2279">
      <c r="A2279" t="inlineStr">
        <is>
          <t>springboot</t>
        </is>
      </c>
      <c r="B2279" t="inlineStr">
        <is>
          <t>cli/spring-boot-cli/src/main/java/org/springframework/boot/cli/command/init/ProjectGenerationResponse.java</t>
        </is>
      </c>
      <c r="C2279">
        <f>HYPERLINK("https://github.com/spring-projects/spring-boot/blob/master/cli/spring-boot-cli/src/main/java/org/springframework/boot/cli/command/init/ProjectGenerationResponse.java")</f>
        <v/>
      </c>
      <c r="D2279" t="inlineStr">
        <is>
          <t>The `ProjectGenerationResponse` class represents the output from generating a project using Spring Boot CLI. It includes fields for the HTTP content type (`contentType`) and the generated project's content as bytes (`content`). The class also allows for nullable values for both properties. This structure helps manage the response data returned after executing a project generation request.</t>
        </is>
      </c>
      <c r="E2279" t="n">
        <v>0.004</v>
      </c>
      <c r="F2279" t="n">
        <v>0.0312</v>
      </c>
      <c r="G2279" t="n">
        <v>0.1181</v>
      </c>
      <c r="H2279" t="inlineStr">
        <is>
          <t>The provided code defines a class `ProjectGenerationResponse` within the package `org.springframework.boot.cli.command.init`. It represents the response from a project generation request, containing a `ContentType` and optional binary content (`content`). The complexity is O(N) due to potential operations related to handling large amounts of data, and it includes comments describing its implementation as part of core algorithms.</t>
        </is>
      </c>
      <c r="I2279" t="n">
        <v>0.004</v>
      </c>
      <c r="J2279" t="n">
        <v>0.058</v>
      </c>
      <c r="K2279" t="n">
        <v>0.1575</v>
      </c>
      <c r="L2279" t="inlineStr">
        <is>
          <t>The `ProjectGenerationResponse` class encapsulates the result of generating a project using a `ProjectGenerationRequest`. It includes properties for the HTTP content type (`contentType`) and the generated project content (`content`). The class provides methods to access these properties, allowing developers to retrieve the response details after a project generation operation.</t>
        </is>
      </c>
      <c r="M2279" t="n">
        <v>0.0038</v>
      </c>
      <c r="N2279" t="n">
        <v>0.0357</v>
      </c>
      <c r="O2279" t="n">
        <v>0.0833</v>
      </c>
    </row>
    <row r="2280">
      <c r="A2280" t="inlineStr">
        <is>
          <t>springboot</t>
        </is>
      </c>
      <c r="B2280" t="inlineStr">
        <is>
          <t>cli/spring-boot-cli/src/main/java/org/springframework/boot/cli/command/init/ProjectGenerator.java</t>
        </is>
      </c>
      <c r="C2280">
        <f>HYPERLINK("https://github.com/spring-projects/spring-boot/blob/master/cli/spring-boot-cli/src/main/java/org/springframework/boot/cli/command/init/ProjectGenerator.java")</f>
        <v/>
      </c>
      <c r="D2280" t="inlineStr">
        <is>
          <t>The provided Java code defines a class `InitCommand` within the package `org.springframework.boot.cli.command.init`. This class appears to be part of a Spring Boot CLI tool used for initializing new projects. The code handles the extraction of ZIP files containing project templates into specified directories. It uses various utilities such as `ByteArrayInputStream`, `FileOutputStream`, `ZipEntry`, and `ZipInputStream` from the</t>
        </is>
      </c>
      <c r="E2280" t="n">
        <v>0.0039</v>
      </c>
      <c r="F2280" t="n">
        <v>0.058</v>
      </c>
      <c r="G2280" t="n">
        <v>0.1172</v>
      </c>
      <c r="H2280" t="inlineStr">
        <is>
          <t>This repository contains backend software components that implement core algorithms. The complexity of the implementation is O(N), indicating linear time complexity. The comments provide details about the implementation process, while the commits record the initial creation of the codebase. The total size of the codebase is 1000 lines.</t>
        </is>
      </c>
      <c r="I2280" t="n">
        <v>0.005</v>
      </c>
      <c r="J2280" t="n">
        <v>0.1404</v>
      </c>
      <c r="K2280" t="n">
        <v>0.1667</v>
      </c>
      <c r="L2280" t="inlineStr">
        <is>
          <t>The provided Java code defines a utility class `InitCommand` within the Spring Boot CLI package that handles initialization tasks such as extracting ZIP files containing project templates into specified directories. The class uses various utilities like `ByteArrayInputStream`, `FileOutputStream`, `ZipEntry`, and `ZipInputStream` to manage file I/O operations. It also includes methods for logging and validating input parameters using `Log` and `</t>
        </is>
      </c>
      <c r="M2280" t="n">
        <v>0.003</v>
      </c>
      <c r="N2280" t="n">
        <v>0.0294</v>
      </c>
      <c r="O2280" t="n">
        <v>0.07580000000000001</v>
      </c>
    </row>
    <row r="2281">
      <c r="A2281" t="inlineStr">
        <is>
          <t>springboot</t>
        </is>
      </c>
      <c r="B2281" t="inlineStr">
        <is>
          <t>cli/spring-boot-cli/src/main/java/org/springframework/boot/cli/command/init/Dependency.java</t>
        </is>
      </c>
      <c r="C2281">
        <f>HYPERLINK("https://github.com/spring-projects/spring-boot/blob/master/cli/spring-boot-cli/src/main/java/org/springframework/boot/cli/command/init/Dependency.java")</f>
        <v/>
      </c>
      <c r="D2281" t="inlineStr">
        <is>
          <t>The provided Java code defines a `Dependency` class that encapsulates details about a software dependency. It includes fields for the dependency's ID, name, and description, all of which can be null. The class uses JSpecify annotations to indicate nullable parameters and return values. This design allows for flexibility when dealing with dependencies without requiring explicit checks for null values throughout the application.</t>
        </is>
      </c>
      <c r="E2281" t="n">
        <v>0.0039</v>
      </c>
      <c r="F2281" t="n">
        <v>0.0563</v>
      </c>
      <c r="G2281" t="n">
        <v>0.1493</v>
      </c>
      <c r="H2281" t="inlineStr">
        <is>
          <t>The repository contains backend software components that implement core algorithms. The complexity is O(N), indicating linear time complexity, and it includes comments explaining the implementation. The commits were made initially, and the total size of the codebase is 1000 lines.</t>
        </is>
      </c>
      <c r="I2281" t="n">
        <v>0.0061</v>
      </c>
      <c r="J2281" t="n">
        <v>0.1633</v>
      </c>
      <c r="K2281" t="n">
        <v>0.2818</v>
      </c>
      <c r="L2281" t="inlineStr">
        <is>
          <t>The `Dependency` class provides basic information about a dependency, including its ID, name, and description. It uses nullable fields to handle cases where these attributes might be missing. The class is part of a Spring Boot CLI command initialization package and includes comments indicating that it implements core algorithms.</t>
        </is>
      </c>
      <c r="M2281" t="n">
        <v>0.008800000000000001</v>
      </c>
      <c r="N2281" t="n">
        <v>0.0702</v>
      </c>
      <c r="O2281" t="n">
        <v>0.2608</v>
      </c>
    </row>
    <row r="2282">
      <c r="A2282" t="inlineStr">
        <is>
          <t>springboot</t>
        </is>
      </c>
      <c r="B2282" t="inlineStr">
        <is>
          <t>cli/spring-boot-cli/src/main/java/org/springframework/boot/cli/command/init/package-info.java</t>
        </is>
      </c>
      <c r="C2282">
        <f>HYPERLINK("https://github.com/spring-projects/spring-boot/blob/master/cli/spring-boot-cli/src/main/java/org/springframework/boot/cli/command/init/package-info.java")</f>
        <v/>
      </c>
      <c r="D2282" t="inlineStr">
        <is>
          <t>The provided code defines a Java package `org.springframework.boot.cli.command.init` that includes a class annotated with `@NullMarked`. This class likely serves as a command-line interface (CLI) tool for initializing a new application using Spring Initializr. The code is licensed under the Apache License, Version 2.0.</t>
        </is>
      </c>
      <c r="E2282" t="n">
        <v>0.0043</v>
      </c>
      <c r="F2282" t="n">
        <v>0.0345</v>
      </c>
      <c r="G2282" t="n">
        <v>0.08699999999999999</v>
      </c>
      <c r="H2282" t="inlineStr">
        <is>
          <t>Implements core algorithms for backend software components.</t>
        </is>
      </c>
      <c r="I2282" t="n">
        <v>0.0341</v>
      </c>
      <c r="J2282" t="n">
        <v>0.2667</v>
      </c>
      <c r="K2282" t="n">
        <v>0.3235</v>
      </c>
      <c r="L2282" t="inlineStr">
        <is>
          <t>This Java package contains a CLI command (`org.springframework.boot.cli.command.init`) that initializes a new application using Spring Initializr. The package includes annotations from `jspecify` to handle null values more safely.</t>
        </is>
      </c>
      <c r="M2282" t="n">
        <v>0.0067</v>
      </c>
      <c r="N2282" t="n">
        <v>0.0488</v>
      </c>
      <c r="O2282" t="n">
        <v>0.1</v>
      </c>
    </row>
    <row r="2283">
      <c r="A2283" t="inlineStr">
        <is>
          <t>springboot</t>
        </is>
      </c>
      <c r="B2283" t="inlineStr">
        <is>
          <t>cli/spring-boot-cli/src/main/java/org/springframework/boot/cli/command/init/InitializrServiceMetadata.java</t>
        </is>
      </c>
      <c r="C2283">
        <f>HYPERLINK("https://github.com/spring-projects/spring-boot/blob/master/cli/spring-boot-cli/src/main/java/org/springframework/boot/cli/command/init/InitializrServiceMetadata.java")</f>
        <v/>
      </c>
      <c r="D2283" t="inlineStr">
        <is>
          <t>The provided Java code defines a class `InitCommand` within the package `org.springframework.boot.cli.command.init`. This class appears to be part of a Spring Boot CLI tool that initializes projects based on JSON configuration files. The class includes methods for parsing JSON arrays and handling collections, as well as managing maps and iterators. It uses JSPECIFY annotations for type safety checks. The complexity of the implementation is</t>
        </is>
      </c>
      <c r="E2283" t="n">
        <v>0.0034</v>
      </c>
      <c r="F2283" t="n">
        <v>0.0519</v>
      </c>
      <c r="G2283" t="n">
        <v>0.1471</v>
      </c>
      <c r="H2283" t="inlineStr">
        <is>
          <t>Manages Spring Boot CLI initialization logic using Java collections and JSON parsing. Complexity is O(N) due to potential iteration over large datasets.</t>
        </is>
      </c>
      <c r="I2283" t="n">
        <v>0.008699999999999999</v>
      </c>
      <c r="J2283" t="n">
        <v>0.0645</v>
      </c>
      <c r="K2283" t="n">
        <v>0.1064</v>
      </c>
      <c r="L2283" t="inlineStr">
        <is>
          <t>The provided Java code defines a class `InitCommand` within the `org.springframework.boot.cli.command.init` package. It appears to be part of a Spring Boot CLI tool that handles initialization tasks. The class uses various libraries such as JSPECIFY annotations, JSON parsing from `org.springframework.boot.cli.json`, and collections like HashMaps and Iterators. The primary function seems to involve processing input data and</t>
        </is>
      </c>
      <c r="M2283" t="n">
        <v>0.0033</v>
      </c>
      <c r="N2283" t="n">
        <v>0.0548</v>
      </c>
      <c r="O2283" t="n">
        <v>0.0781</v>
      </c>
    </row>
    <row r="2284">
      <c r="A2284" t="inlineStr">
        <is>
          <t>springboot</t>
        </is>
      </c>
      <c r="B2284" t="inlineStr">
        <is>
          <t>cli/spring-boot-cli/src/main/java/org/springframework/boot/cli/command/init/InitializrService.java</t>
        </is>
      </c>
      <c r="C2284">
        <f>HYPERLINK("https://github.com/spring-projects/spring-boot/blob/master/cli/spring-boot-cli/src/main/java/org/springframework/boot/cli/command/init/InitializrService.java")</f>
        <v/>
      </c>
      <c r="D2284" t="inlineStr">
        <is>
          <t>The provided Java code defines a class `InitCommand` within the package `org.springframework.boot.cli.command.init`. This class appears to be part of a Spring Boot CLI tool that handles initialization tasks. The code includes methods for making HTTP GET requests using Apache HttpClient version 5.x. It uses UTF-8 encoding for character handling. The complexity of the implementation is O(N), where N represents the number</t>
        </is>
      </c>
      <c r="E2284" t="n">
        <v>0.003</v>
      </c>
      <c r="F2284" t="n">
        <v>0.0519</v>
      </c>
      <c r="G2284" t="n">
        <v>0.1128</v>
      </c>
      <c r="H2284" t="inlineStr">
        <is>
          <t>This repository contains backend software components that implement core algorithms. The complexity is O(N), indicating linear time complexity, which means the execution time grows proportionally with the input size. The comments describe the implementation of these algorithms, while the commits indicate the initial creation of the codebase. The total code size is 1000 lines.</t>
        </is>
      </c>
      <c r="I2284" t="n">
        <v>0.0045</v>
      </c>
      <c r="J2284" t="n">
        <v>0.127</v>
      </c>
      <c r="K2284" t="n">
        <v>0.1587</v>
      </c>
      <c r="L2284" t="inlineStr">
        <is>
          <t>The code provides a utility class `InitCommand` within the Spring Boot CLI that initializes projects using HTTP requests. It uses Apache HttpClient to fetch templates from specified URIs and handles responses in UTF-8 encoding. The class includes methods for making GET requests and processing the response content.</t>
        </is>
      </c>
      <c r="M2284" t="n">
        <v>0.0039</v>
      </c>
      <c r="N2284" t="n">
        <v>0.0357</v>
      </c>
      <c r="O2284" t="n">
        <v>0.08400000000000001</v>
      </c>
    </row>
    <row r="2285">
      <c r="A2285" t="inlineStr">
        <is>
          <t>springboot</t>
        </is>
      </c>
      <c r="B2285" t="inlineStr">
        <is>
          <t>cli/spring-boot-cli/src/main/java/org/springframework/boot/cli/command/init/ServiceCapabilitiesReportGenerator.java</t>
        </is>
      </c>
      <c r="C2285">
        <f>HYPERLINK("https://github.com/spring-projects/spring-boot/blob/master/cli/spring-boot-cli/src/main/java/org/springframework/boot/cli/command/init/ServiceCapabilitiesReportGenerator.java")</f>
        <v/>
      </c>
      <c r="D2285" t="inlineStr">
        <is>
          <t>The provided Java code defines a utility class `ReportGenerator` within the package `org.springframework.boot.cli.command.init`. This class generates reports based on input data. The main functionalities include:
1. **Sorting**: It sorts entries in a map using natural order or custom comparators.
2. **Filtering**: It filters out unwanted elements from a list.
3. **Concatenation**: It concaten</t>
        </is>
      </c>
      <c r="E2285" t="n">
        <v>0.0035</v>
      </c>
      <c r="F2285" t="n">
        <v>0.0606</v>
      </c>
      <c r="G2285" t="n">
        <v>0.08</v>
      </c>
      <c r="H2285" t="inlineStr">
        <is>
          <t>Generates reports from Maven project metadata using Java classes. Complexity is O(N), where N is the number of entries in the metadata. Comments describe implementation details of core algorithms. Initial codebase commit. Code size is 1000 lines.</t>
        </is>
      </c>
      <c r="I2285" t="n">
        <v>0.005</v>
      </c>
      <c r="J2285" t="n">
        <v>0.08699999999999999</v>
      </c>
      <c r="K2285" t="n">
        <v>0.1376</v>
      </c>
      <c r="L2285" t="inlineStr">
        <is>
          <t>This Java utility class generates a report from Maven project metadata, providing details such as dependencies, plugins, and properties. It processes Maven POM files to extract relevant information and formats it into a readable report. The class uses Java's collection framework to organize and sort data efficiently, ensuring that the generated report is both comprehensive and easy to understand.</t>
        </is>
      </c>
      <c r="M2285" t="n">
        <v>0.0037</v>
      </c>
      <c r="N2285" t="n">
        <v>0.0588</v>
      </c>
      <c r="O2285" t="n">
        <v>0.1145</v>
      </c>
    </row>
    <row r="2286">
      <c r="A2286" t="inlineStr">
        <is>
          <t>springboot</t>
        </is>
      </c>
      <c r="B2286" t="inlineStr">
        <is>
          <t>cli/spring-boot-cli/src/main/java/org/springframework/boot/cli/command/init/ReportableException.java</t>
        </is>
      </c>
      <c r="C2286">
        <f>HYPERLINK("https://github.com/spring-projects/spring-boot/blob/master/cli/spring-boot-cli/src/main/java/org/springframework/boot/cli/command/init/ReportableException.java")</f>
        <v/>
      </c>
      <c r="D2286" t="inlineStr">
        <is>
          <t>The provided Java code defines a custom exception class called `ReportableException` within the package `org.springframework.boot.cli.command.init`. This exception is designed to handle errors that need to be communicated back to users through reporting mechanisms. It includes two constructors: one that takes only a message as input and another that accepts both a message and a cause throwable. The purpose of this exception is to facilitate error handling</t>
        </is>
      </c>
      <c r="E2286" t="n">
        <v>0.0033</v>
      </c>
      <c r="F2286" t="n">
        <v>0.0506</v>
      </c>
      <c r="G2286" t="n">
        <v>0.0725</v>
      </c>
      <c r="H2286" t="inlineStr">
        <is>
          <t>This repository contains backend software components implementing core algorithms. The complexity of the implementation is O(N), indicating linear time complexity. Comments provide detailed explanations of the algorithmic approach used. The project was initialized with the first commit. The total size of the codebase is 1000 lines.</t>
        </is>
      </c>
      <c r="I2286" t="n">
        <v>0.0053</v>
      </c>
      <c r="J2286" t="n">
        <v>0.1455</v>
      </c>
      <c r="K2286" t="n">
        <v>0.1695</v>
      </c>
      <c r="L2286" t="inlineStr">
        <is>
          <t>This Java class defines `ReportableException`, which extends `RuntimeException`. It includes constructors to initialize exceptions with both a message and a cause, providing a way to report errors to users effectively. The exception is part of Spring Boot's CLI command initialization package.</t>
        </is>
      </c>
      <c r="M2286" t="n">
        <v>0.0054</v>
      </c>
      <c r="N2286" t="n">
        <v>0.08</v>
      </c>
      <c r="O2286" t="n">
        <v>0.1327</v>
      </c>
    </row>
    <row r="2287">
      <c r="A2287" t="inlineStr">
        <is>
          <t>springboot</t>
        </is>
      </c>
      <c r="B2287" t="inlineStr">
        <is>
          <t>cli/spring-boot-cli/src/main/java/org/springframework/boot/cli/command/init/ProjectGenerationRequest.java</t>
        </is>
      </c>
      <c r="C2287">
        <f>HYPERLINK("https://github.com/spring-projects/spring-boot/blob/master/cli/spring-boot-cli/src/main/java/org/springframework/boot/cli/command/init/ProjectGenerationRequest.java")</f>
        <v/>
      </c>
      <c r="D2287" t="inlineStr">
        <is>
          <t>The provided Java code defines a class `InitSettings` within the package `org.springframework.boot.cli.command.init`. This class appears to be used for managing initialization settings related to Spring Boot CLI commands. It includes methods for constructing URIs using `URIBuilder`, handling URI parsing errors, and storing key-value pairs as configuration options. The class uses annotations from the JSPECIFY library to indicate nullable fields</t>
        </is>
      </c>
      <c r="E2287" t="n">
        <v>0.0037</v>
      </c>
      <c r="F2287" t="n">
        <v>0.0548</v>
      </c>
      <c r="G2287" t="n">
        <v>0.1145</v>
      </c>
      <c r="H2287" t="inlineStr">
        <is>
          <t>Manages configuration settings for Spring Boot CLI commands.</t>
        </is>
      </c>
      <c r="I2287" t="n">
        <v>0</v>
      </c>
      <c r="J2287" t="n">
        <v>0</v>
      </c>
      <c r="K2287" t="n">
        <v>0</v>
      </c>
      <c r="L2287" t="inlineStr">
        <is>
          <t>The code defines a class `InitSettings` that represents configuration settings used during project initialization. It includes methods to parse command-line arguments into properties, handle URI construction, and manage default values. The class uses Java's built-in libraries such as URIBuilder from Apache HttpClient and StringUtils from Spring Util to facilitate these tasks.</t>
        </is>
      </c>
      <c r="M2287" t="n">
        <v>0.0036</v>
      </c>
      <c r="N2287" t="n">
        <v>0.0323</v>
      </c>
      <c r="O2287" t="n">
        <v>0.0813</v>
      </c>
    </row>
    <row r="2288">
      <c r="A2288" t="inlineStr">
        <is>
          <t>springboot</t>
        </is>
      </c>
      <c r="B2288" t="inlineStr">
        <is>
          <t>cli/spring-boot-cli/src/main/java/org/springframework/boot/cli/command/init/ProjectType.java</t>
        </is>
      </c>
      <c r="C2288">
        <f>HYPERLINK("https://github.com/spring-projects/spring-boot/blob/master/cli/spring-boot-cli/src/main/java/org/springframework/boot/cli/command/init/ProjectType.java")</f>
        <v/>
      </c>
      <c r="D2288" t="inlineStr">
        <is>
          <t>The `ProjectType` class represents a project type supported by a service, containing properties such as ID, name, and activation command. It uses Java's `HashMap` to store additional attributes associated with each project type. The complexity of the implementation is O(1) due to constant-time operations like adding and retrieving elements from the map.</t>
        </is>
      </c>
      <c r="E2288" t="n">
        <v>0.0035</v>
      </c>
      <c r="F2288" t="n">
        <v>0.0635</v>
      </c>
      <c r="G2288" t="n">
        <v>0.121</v>
      </c>
      <c r="H2288" t="inlineStr">
        <is>
          <t>Manages project types supported by a service.</t>
        </is>
      </c>
      <c r="I2288" t="n">
        <v>0</v>
      </c>
      <c r="J2288" t="n">
        <v>0</v>
      </c>
      <c r="K2288" t="n">
        <v>0</v>
      </c>
      <c r="L2288" t="inlineStr">
        <is>
          <t>The `ProjectType` class represents a project type supported by a service, containing properties such as an ID, name, and activation command. It provides methods to access these attributes and is used within the Spring Boot CLI initialization process.</t>
        </is>
      </c>
      <c r="M2288" t="n">
        <v>0.0049</v>
      </c>
      <c r="N2288" t="n">
        <v>0.0435</v>
      </c>
      <c r="O2288" t="n">
        <v>0.09089999999999999</v>
      </c>
    </row>
    <row r="2289">
      <c r="A2289" t="inlineStr">
        <is>
          <t>springboot</t>
        </is>
      </c>
      <c r="B2289" t="inlineStr">
        <is>
          <t>cli/spring-boot-cli/src/main/java/org/springframework/boot/cli/command/init/InitCommand.java</t>
        </is>
      </c>
      <c r="C2289">
        <f>HYPERLINK("https://github.com/spring-projects/spring-boot/blob/master/cli/spring-boot-cli/src/main/java/org/springframework/boot/cli/command/init/InitCommand.java")</f>
        <v/>
      </c>
      <c r="D2289" t="inlineStr">
        <is>
          <t>The provided Java code defines a class `InitCommand` within the package `org.springframework.boot.cli.command.init`. This class appears to be part of a Spring Boot CLI tool that handles initialization commands. The code includes various imports related to command-line parsing (`joptsimple`) and handling collections (`java.util`). It also references other classes like `OptionSet`, `OptionSpec`, and possibly others from the</t>
        </is>
      </c>
      <c r="E2289" t="n">
        <v>0.004</v>
      </c>
      <c r="F2289" t="n">
        <v>0.0571</v>
      </c>
      <c r="G2289" t="n">
        <v>0.1181</v>
      </c>
      <c r="H2289" t="inlineStr">
        <is>
          <t>Manages backend software components using JOpt Simple library for command-line parsing and implements core algorithms. Complexity is O(N), indicating linear time complexity based on input size N. The repository includes initial codebase commits.</t>
        </is>
      </c>
      <c r="I2289" t="n">
        <v>0.0142</v>
      </c>
      <c r="J2289" t="n">
        <v>0.1395</v>
      </c>
      <c r="K2289" t="n">
        <v>0.3543</v>
      </c>
      <c r="L2289" t="inlineStr">
        <is>
          <t>The provided Java code defines a command-line interface tool for initializing Spring Boot projects using JOpt Simple library. It processes command-line arguments to create project templates based on user input, such as specifying project name, package structure, and dependencies. The code handles various options like creating a new directory, setting up Maven or Gradle build systems, and configuring application properties.</t>
        </is>
      </c>
      <c r="M2289" t="n">
        <v>0.003</v>
      </c>
      <c r="N2289" t="n">
        <v>0.0286</v>
      </c>
      <c r="O2289" t="n">
        <v>0.07580000000000001</v>
      </c>
    </row>
    <row r="2290">
      <c r="A2290" t="inlineStr">
        <is>
          <t>springboot</t>
        </is>
      </c>
      <c r="B2290" t="inlineStr">
        <is>
          <t>cli/spring-boot-cli/src/main/java/org/springframework/boot/cli/command/shell/CommandCompleter.java</t>
        </is>
      </c>
      <c r="C2290">
        <f>HYPERLINK("https://github.com/spring-projects/spring-boot/blob/master/cli/spring-boot-cli/src/main/java/org/springframework/boot/cli/command/shell/CommandCompleter.java")</f>
        <v/>
      </c>
      <c r="D2290" t="inlineStr">
        <is>
          <t>The provided Java code defines a class `ShellCommand` within the package `org.springframework.boot.cli.command.shell`. This class appears to be part of a command-line interface (CLI) tool that uses JLine for console input handling. The main purpose of this class seems to be to handle shell commands and provide completion suggestions based on predefined arguments and options.
Key functionalities include:
1. **Argument Completion**:</t>
        </is>
      </c>
      <c r="E2290" t="n">
        <v>0.0036</v>
      </c>
      <c r="F2290" t="n">
        <v>0.0541</v>
      </c>
      <c r="G2290" t="n">
        <v>0.1136</v>
      </c>
      <c r="H2290" t="inlineStr">
        <is>
          <t>The code implements core algorithms for a backend software component. It includes classes such as `ConsoleReader`, `AggregateCompleter`, and `ArgumentCompleter` which handle input reading and command completion functionalities. The complexity is O(N) due to potential operations involving lists and maps.</t>
        </is>
      </c>
      <c r="I2290" t="n">
        <v>0.0119</v>
      </c>
      <c r="J2290" t="n">
        <v>0.1667</v>
      </c>
      <c r="K2290" t="n">
        <v>0.2843</v>
      </c>
      <c r="L2290" t="inlineStr">
        <is>
          <t>The provided Java code defines a class `ShellCommand` within the Spring Boot CLI command shell package. It uses JLine library for console input/output and provides completion features for commands based on predefined arguments. The class initializes a list of argument completers and aggregates them into an `AggregateCompleter`, which is then used by the `ConsoleReader` for auto-completion during user input. This enhances usability</t>
        </is>
      </c>
      <c r="M2290" t="n">
        <v>0.0035</v>
      </c>
      <c r="N2290" t="n">
        <v>0.0278</v>
      </c>
      <c r="O2290" t="n">
        <v>0.1119</v>
      </c>
    </row>
    <row r="2291">
      <c r="A2291" t="inlineStr">
        <is>
          <t>springboot</t>
        </is>
      </c>
      <c r="B2291" t="inlineStr">
        <is>
          <t>cli/spring-boot-cli/src/main/java/org/springframework/boot/cli/command/shell/Shell.java</t>
        </is>
      </c>
      <c r="C2291">
        <f>HYPERLINK("https://github.com/spring-projects/spring-boot/blob/master/cli/spring-boot-cli/src/main/java/org/springframework/boot/cli/command/shell/Shell.java")</f>
        <v/>
      </c>
      <c r="D2291" t="inlineStr">
        <is>
          <t>The provided Java code defines a class `ShellCommand` within the package `org.springframework.boot.cli.command.shell`. This class appears to be part of a command-line interface tool that utilizes JLine for console input/output operations. The class initializes various data structures such as lists, maps, and sets, which could potentially store information about commands, completers, or other shell-related configurations. It also uses Service</t>
        </is>
      </c>
      <c r="E2291" t="n">
        <v>0.0037</v>
      </c>
      <c r="F2291" t="n">
        <v>0.0541</v>
      </c>
      <c r="G2291" t="n">
        <v>0.1154</v>
      </c>
      <c r="H2291" t="inlineStr">
        <is>
          <t>The provided code implements core algorithms for a backend software component, using Java's JLine library for console input/output operations. It includes classes such as `ConsoleReader`, `CandidateListCompleter`, and others that handle command-line interactions and completer functionalities. The complexity is high due to the extensive implementation of various algorithms and services loaded via ServiceLoader.</t>
        </is>
      </c>
      <c r="I2291" t="n">
        <v>0.0089</v>
      </c>
      <c r="J2291" t="n">
        <v>0.127</v>
      </c>
      <c r="K2291" t="n">
        <v>0.3</v>
      </c>
      <c r="L2291" t="inlineStr">
        <is>
          <t>The provided Java code defines a class `ShellCommand` within the Spring Boot CLI project that handles shell command execution using JLine library. It includes methods for parsing arguments, executing commands, and managing completion suggestions based on available services. The code processes input from a console reader, executes user-defined commands, and provides auto-completion options through service loaders.</t>
        </is>
      </c>
      <c r="M2291" t="n">
        <v>0.0033</v>
      </c>
      <c r="N2291" t="n">
        <v>0.0303</v>
      </c>
      <c r="O2291" t="n">
        <v>0.0781</v>
      </c>
    </row>
    <row r="2292">
      <c r="A2292" t="inlineStr">
        <is>
          <t>springboot</t>
        </is>
      </c>
      <c r="B2292" t="inlineStr">
        <is>
          <t>cli/spring-boot-cli/src/main/java/org/springframework/boot/cli/command/shell/PromptCommand.java</t>
        </is>
      </c>
      <c r="C2292">
        <f>HYPERLINK("https://github.com/spring-projects/spring-boot/blob/master/cli/spring-boot-cli/src/main/java/org/springframework/boot/cli/command/shell/PromptCommand.java")</f>
        <v/>
      </c>
      <c r="D2292" t="inlineStr">
        <is>
          <t>The `PromptCommand` class is a command-line utility within the Spring Boot CLI that allows users to change the shell prompt. It inherits from `AbstractCommand`, which provides basic framework functionalities for commands. The command does not have any additional logic beyond changing the prompt, as it relies on external methods or configurations to update the terminal's prompt style. This class is part of the larger Spring Boot CLI project</t>
        </is>
      </c>
      <c r="E2292" t="n">
        <v>0.0027</v>
      </c>
      <c r="F2292" t="n">
        <v>0.0513</v>
      </c>
      <c r="G2292" t="n">
        <v>0.07140000000000001</v>
      </c>
      <c r="H2292" t="inlineStr">
        <is>
          <t>The code implements a command-line tool that changes the shell prompt based on user input. It uses Spring Boot CLI commands and provides basic algorithmic implementation. The complexity is high due to its size and potential for further development.</t>
        </is>
      </c>
      <c r="I2292" t="n">
        <v>0.0056</v>
      </c>
      <c r="J2292" t="n">
        <v>0.0833</v>
      </c>
      <c r="K2292" t="n">
        <v>0.1351</v>
      </c>
      <c r="L2292" t="inlineStr">
        <is>
          <t>The `PromptCommand` class is a command-line utility within the Spring Boot CLI that allows users to modify the shell's prompt text. It inherits from `AbstractCommand`, providing basic command structure and handling capabilities. The primary function involves updating the current shell prompt based on user input, enhancing the terminal interface for better navigation and feedback during development sessions.</t>
        </is>
      </c>
      <c r="M2292" t="n">
        <v>0.0032</v>
      </c>
      <c r="N2292" t="n">
        <v>0.0597</v>
      </c>
      <c r="O2292" t="n">
        <v>0.0775</v>
      </c>
    </row>
    <row r="2293">
      <c r="A2293" t="inlineStr">
        <is>
          <t>springboot</t>
        </is>
      </c>
      <c r="B2293" t="inlineStr">
        <is>
          <t>cli/spring-boot-cli/src/main/java/org/springframework/boot/cli/command/shell/ForkProcessCommand.java</t>
        </is>
      </c>
      <c r="C2293">
        <f>HYPERLINK("https://github.com/spring-projects/spring-boot/blob/master/cli/spring-boot-cli/src/main/java/org/springframework/boot/cli/command/shell/ForkProcessCommand.java")</f>
        <v/>
      </c>
      <c r="D2293" t="inlineStr">
        <is>
          <t>The provided Java code defines a class `ShellCommand` within the package `org.springframework.boot.cli.command.shell`. This class appears to be part of a command-line interface (CLI) tool used for managing Spring Boot applications. The class implements the `Command` interface and provides methods related to shell commands and options help.
Key functionalities include:
1. **Option Help**: It includes support for displaying option help</t>
        </is>
      </c>
      <c r="E2293" t="n">
        <v>0.0041</v>
      </c>
      <c r="F2293" t="n">
        <v>0.0822</v>
      </c>
      <c r="G2293" t="n">
        <v>0.1527</v>
      </c>
      <c r="H2293" t="inlineStr">
        <is>
          <t>This repository contains backend software components implementing core algorithms. The complexity of these implementations is O(N), indicating linear time complexity relative to input size.</t>
        </is>
      </c>
      <c r="I2293" t="n">
        <v>0.0104</v>
      </c>
      <c r="J2293" t="n">
        <v>0.2424</v>
      </c>
      <c r="K2293" t="n">
        <v>0.2083</v>
      </c>
      <c r="L2293" t="inlineStr">
        <is>
          <t>This Java Spring Boot CLI command shell class provides a list of available commands and their descriptions. It uses JSPECIFY annotations for null safety and includes options for displaying help and exiting the application. The `Command` interface is implemented to handle user input and execute corresponding actions based on the entered command name.</t>
        </is>
      </c>
      <c r="M2293" t="n">
        <v>0.0041</v>
      </c>
      <c r="N2293" t="n">
        <v>0.0984</v>
      </c>
      <c r="O2293" t="n">
        <v>0.16</v>
      </c>
    </row>
    <row r="2294">
      <c r="A2294" t="inlineStr">
        <is>
          <t>springboot</t>
        </is>
      </c>
      <c r="B2294" t="inlineStr">
        <is>
          <t>cli/spring-boot-cli/src/main/java/org/springframework/boot/cli/command/shell/ExitCommand.java</t>
        </is>
      </c>
      <c r="C2294">
        <f>HYPERLINK("https://github.com/spring-projects/spring-boot/blob/master/cli/spring-boot-cli/src/main/java/org/springframework/boot/cli/command/shell/ExitCommand.java")</f>
        <v/>
      </c>
      <c r="D2294" t="inlineStr">
        <is>
          <t>The `ExitCommand` class is a command that allows users to exit the shell interface when executed. It inherits from `AbstractCommand`, which provides common functionality for commands within Spring Boot CLI applications. The `ExitCommand` does not perform any additional logic beyond exiting the shell; it simply calls the superclass's `exit()` method to terminate the application. This command is useful for terminating the interactive session initiated</t>
        </is>
      </c>
      <c r="E2294" t="n">
        <v>0.0034</v>
      </c>
      <c r="F2294" t="n">
        <v>0.0548</v>
      </c>
      <c r="G2294" t="n">
        <v>0.0735</v>
      </c>
      <c r="H2294" t="inlineStr">
        <is>
          <t>This repository contains backend software components that implement core algorithms. The complexity of these implementations is O(N), indicating linear time complexity. The code size is 1000 lines, suggesting it includes multiple modules and functionalities.</t>
        </is>
      </c>
      <c r="I2294" t="n">
        <v>0.0077</v>
      </c>
      <c r="J2294" t="n">
        <v>0.2326</v>
      </c>
      <c r="K2294" t="n">
        <v>0.283</v>
      </c>
      <c r="L2294" t="inlineStr">
        <is>
          <t>The `ExitCommand` class implements a command that allows users to exit the shell interface when executed. It inherits from `AbstractCommand`, which provides common functionalities for handling commands within the Spring Boot CLI environment. The constructor initializes the command, enabling users to terminate their interaction with the shell through this command.</t>
        </is>
      </c>
      <c r="M2294" t="n">
        <v>0.0037</v>
      </c>
      <c r="N2294" t="n">
        <v>0.06900000000000001</v>
      </c>
      <c r="O2294" t="n">
        <v>0.123</v>
      </c>
    </row>
    <row r="2295">
      <c r="A2295" t="inlineStr">
        <is>
          <t>springboot</t>
        </is>
      </c>
      <c r="B2295" t="inlineStr">
        <is>
          <t>cli/spring-boot-cli/src/main/java/org/springframework/boot/cli/command/shell/package-info.java</t>
        </is>
      </c>
      <c r="C2295">
        <f>HYPERLINK("https://github.com/spring-projects/spring-boot/blob/master/cli/spring-boot-cli/src/main/java/org/springframework/boot/cli/command/shell/package-info.java")</f>
        <v/>
      </c>
      <c r="D2295" t="inlineStr">
        <is>
          <t>The code defines package `org.springframework.boot.cli.command.shell` which includes classes for executing nested shells within a command-line interface (CLI). The package uses JSPECIFY annotations to mark nullable fields and methods as null-safe. The complexity of the implementation is O(N), where N represents the number of operations performed during execution.</t>
        </is>
      </c>
      <c r="E2295" t="n">
        <v>0.0039</v>
      </c>
      <c r="F2295" t="n">
        <v>0.0317</v>
      </c>
      <c r="G2295" t="n">
        <v>0.1261</v>
      </c>
      <c r="H2295" t="inlineStr">
        <is>
          <t>The repository contains backend software components that implement core algorithms. The complexity of the implementation is O(N), indicating linear time complexity.</t>
        </is>
      </c>
      <c r="I2295" t="n">
        <v>0.0109</v>
      </c>
      <c r="J2295" t="n">
        <v>0.2</v>
      </c>
      <c r="K2295" t="n">
        <v>0.1613</v>
      </c>
      <c r="L2295" t="inlineStr">
        <is>
          <t>The code provides classes for executing a nested shell within the command-line interface, using JSPECIFY annotations to handle null values gracefully. The package `org.springframework.boot.cli.command.shell` includes necessary imports and annotations to ensure proper handling of potential null references.</t>
        </is>
      </c>
      <c r="M2295" t="n">
        <v>0.005</v>
      </c>
      <c r="N2295" t="n">
        <v>0.0392</v>
      </c>
      <c r="O2295" t="n">
        <v>0.0917</v>
      </c>
    </row>
    <row r="2296">
      <c r="A2296" t="inlineStr">
        <is>
          <t>springboot</t>
        </is>
      </c>
      <c r="B2296" t="inlineStr">
        <is>
          <t>cli/spring-boot-cli/src/main/java/org/springframework/boot/cli/command/shell/EscapeAwareWhiteSpaceArgumentDelimiter.java</t>
        </is>
      </c>
      <c r="C2296">
        <f>HYPERLINK("https://github.com/spring-projects/spring-boot/blob/master/cli/spring-boot-cli/src/main/java/org/springframework/boot/cli/command/shell/EscapeAwareWhiteSpaceArgumentDelimiter.java")</f>
        <v/>
      </c>
      <c r="D2296" t="inlineStr">
        <is>
          <t>The `EscapeAwareWhiteSpaceArgumentDelimiter` class extends `WhitespaceArgumentDelimiter` from the JLine library. It provides an escape-aware version of whitespace-based argument delimiter, which can handle special characters that might be interpreted as delimiters when used directly. This implementation ensures that arguments containing spaces or other special characters are correctly parsed without being split incorrectly. The complexity of this component is O(N), where N represents</t>
        </is>
      </c>
      <c r="E2296" t="n">
        <v>0.003</v>
      </c>
      <c r="F2296" t="n">
        <v>0.0563</v>
      </c>
      <c r="G2296" t="n">
        <v>0.1136</v>
      </c>
      <c r="H2296" t="inlineStr">
        <is>
          <t>This repository contains backend software components that implement core algorithms. The complexity of these implementations is O(N), indicating linear time complexity relative to the input size.</t>
        </is>
      </c>
      <c r="I2296" t="n">
        <v>0.009599999999999999</v>
      </c>
      <c r="J2296" t="n">
        <v>0.2286</v>
      </c>
      <c r="K2296" t="n">
        <v>0.2041</v>
      </c>
      <c r="L2296" t="inlineStr">
        <is>
          <t>This class extends `WhitespaceArgumentDelimiter` from the JLine library to provide escape-aware argument completion for shell commands. It ensures that spaces within quoted arguments are preserved during tab-completion, enhancing user experience when entering complex command lines.</t>
        </is>
      </c>
      <c r="M2296" t="n">
        <v>0.0053</v>
      </c>
      <c r="N2296" t="n">
        <v>0.0444</v>
      </c>
      <c r="O2296" t="n">
        <v>0.0467</v>
      </c>
    </row>
    <row r="2297">
      <c r="A2297" t="inlineStr">
        <is>
          <t>springboot</t>
        </is>
      </c>
      <c r="B2297" t="inlineStr">
        <is>
          <t>cli/spring-boot-cli/src/main/java/org/springframework/boot/cli/command/shell/ShellExitException.java</t>
        </is>
      </c>
      <c r="C2297">
        <f>HYPERLINK("https://github.com/spring-projects/spring-boot/blob/master/cli/spring-boot-cli/src/main/java/org/springframework/boot/cli/command/shell/ShellExitException.java")</f>
        <v/>
      </c>
      <c r="D2297" t="inlineStr">
        <is>
          <t>The provided Java code defines a custom exception `ShellExitException` that extends `CommandException`. This exception is specifically designed to be thrown when exiting a shell command execution within a Spring Boot CLI environment. It includes a default constructor without parameters. The purpose of this exception is to signal that the shell should terminate its current operation gracefully, possibly due to user input or other external conditions requiring immediate termination.</t>
        </is>
      </c>
      <c r="E2297" t="n">
        <v>0.0027</v>
      </c>
      <c r="F2297" t="n">
        <v>0.0263</v>
      </c>
      <c r="G2297" t="n">
        <v>0.0357</v>
      </c>
      <c r="H2297" t="inlineStr">
        <is>
          <t>The repository contains backend software components that implement core algorithms. The complexity of the implementation is O(N), indicating linear time complexity. The code size is 1000 lines, suggesting it includes multiple files and modules.</t>
        </is>
      </c>
      <c r="I2297" t="n">
        <v>0.0072</v>
      </c>
      <c r="J2297" t="n">
        <v>0.186</v>
      </c>
      <c r="K2297" t="n">
        <v>0.1887</v>
      </c>
      <c r="L2297" t="inlineStr">
        <is>
          <t>The `ShellExitException` class is a custom exception designed to be thrown when exiting a shell command execution within the Spring Boot CLI framework. It extends the `CommandException`, which is part of the same package. The exception provides a simple mechanism for terminating the shell session gracefully during command processing, allowing developers to handle exit conditions more effectively within their application's command-line interface.</t>
        </is>
      </c>
      <c r="M2297" t="n">
        <v>0</v>
      </c>
      <c r="N2297" t="n">
        <v>0</v>
      </c>
      <c r="O2297" t="n">
        <v>0.0746</v>
      </c>
    </row>
    <row r="2298">
      <c r="A2298" t="inlineStr">
        <is>
          <t>springboot</t>
        </is>
      </c>
      <c r="B2298" t="inlineStr">
        <is>
          <t>cli/spring-boot-cli/src/main/java/org/springframework/boot/cli/command/shell/ClearCommand.java</t>
        </is>
      </c>
      <c r="C2298">
        <f>HYPERLINK("https://github.com/spring-projects/spring-boot/blob/master/cli/spring-boot-cli/src/main/java/org/springframework/boot/cli/command/shell/ClearCommand.java")</f>
        <v/>
      </c>
      <c r="D2298" t="inlineStr">
        <is>
          <t>The `ClearCommand` class is a command-line utility that clears the terminal screen using the JLine library's `ConsoleReader`. It inherits from `AbstractCommand`, which provides common functionality for Spring Boot CLI commands. The method `execute()` uses the `clearScreen()` method of `ConsoleReader` to display a blank line, effectively clearing the console. This command does not take any arguments and returns</t>
        </is>
      </c>
      <c r="E2298" t="n">
        <v>0.0042</v>
      </c>
      <c r="F2298" t="n">
        <v>0.0597</v>
      </c>
      <c r="G2298" t="n">
        <v>0.155</v>
      </c>
      <c r="H2298" t="inlineStr">
        <is>
          <t>This repository contains backend software components that implement core algorithms. The complexity of these implementations is O(N), indicating linear time complexity. The code size is 1000 lines, which suggests it includes multiple modules and classes.</t>
        </is>
      </c>
      <c r="I2298" t="n">
        <v>0.0075</v>
      </c>
      <c r="J2298" t="n">
        <v>0.2273</v>
      </c>
      <c r="K2298" t="n">
        <v>0.2804</v>
      </c>
      <c r="L2298" t="inlineStr">
        <is>
          <t>The `ClearCommand` class in the Spring Boot CLI provides a simple command to clear the terminal screen when executed. It utilizes the `ConsoleReader` from JLine library to interact with the console and perform the clearing operation. The command inherits from `AbstractCommand`, which suggests that it integrates into the broader framework's command execution mechanism.</t>
        </is>
      </c>
      <c r="M2298" t="n">
        <v>0.0035</v>
      </c>
      <c r="N2298" t="n">
        <v>0.0323</v>
      </c>
      <c r="O2298" t="n">
        <v>0.04</v>
      </c>
    </row>
    <row r="2299">
      <c r="A2299" t="inlineStr">
        <is>
          <t>springboot</t>
        </is>
      </c>
      <c r="B2299" t="inlineStr">
        <is>
          <t>cli/spring-boot-cli/src/main/java/org/springframework/boot/cli/command/shell/AnsiString.java</t>
        </is>
      </c>
      <c r="C2299">
        <f>HYPERLINK("https://github.com/spring-projects/spring-boot/blob/master/cli/spring-boot-cli/src/main/java/org/springframework/boot/cli/command/shell/AnsiString.java")</f>
        <v/>
      </c>
      <c r="D2299" t="inlineStr">
        <is>
          <t>The `AnsiString` class provides utilities for building ANSI strings based on the capabilities of a given terminal. It uses the JLine library to determine if the terminal supports ANSI escape codes and constructs formatted strings accordingly. The class includes methods for appending text with different styles like bold, italic, and color, which can be useful for creating colored output in command-line interfaces.</t>
        </is>
      </c>
      <c r="E2299" t="n">
        <v>0.0029</v>
      </c>
      <c r="F2299" t="n">
        <v>0.0282</v>
      </c>
      <c r="G2299" t="n">
        <v>0.0746</v>
      </c>
      <c r="H2299" t="inlineStr">
        <is>
          <t>Manages ANSI strings based on terminal support. Complexity is O(N) due to potential processing of large input values. Comments describe implementation details of core algorithms. Initial codebase commit. Code size is 1000 lines.</t>
        </is>
      </c>
      <c r="I2299" t="n">
        <v>0.0056</v>
      </c>
      <c r="J2299" t="n">
        <v>0.09520000000000001</v>
      </c>
      <c r="K2299" t="n">
        <v>0.09520000000000001</v>
      </c>
      <c r="L2299" t="inlineStr">
        <is>
          <t>This Java class provides a simple utility to construct ANSI strings based on whether the underlying terminal supports ANSI escape codes. It uses the `jline` library for terminal interaction and the `fusesource/jansi` library to render ANSI codes. The class includes methods to append different types of text styles like bold, italic, underline, etc., and returns the constructed ANSI string if the terminal supports ANSI;</t>
        </is>
      </c>
      <c r="M2299" t="n">
        <v>0.0034</v>
      </c>
      <c r="N2299" t="n">
        <v>0.0548</v>
      </c>
      <c r="O2299" t="n">
        <v>0.1103</v>
      </c>
    </row>
    <row r="2300">
      <c r="A2300" t="inlineStr">
        <is>
          <t>springboot</t>
        </is>
      </c>
      <c r="B2300" t="inlineStr">
        <is>
          <t>cli/spring-boot-cli/src/main/java/org/springframework/boot/cli/command/shell/ShellPrompts.java</t>
        </is>
      </c>
      <c r="C2300">
        <f>HYPERLINK("https://github.com/spring-projects/spring-boot/blob/master/cli/spring-boot-cli/src/main/java/org/springframework/boot/cli/command/shell/ShellPrompts.java")</f>
        <v/>
      </c>
      <c r="D2300" t="inlineStr">
        <is>
          <t>The `ShellPrompts` class manages a stack of shell prompts using a deque data structure. It provides methods to push and pop prompts onto and from the stack, respectively. The default prompt is set to `$ `. This abstraction allows for easy management of multiple prompts during interactive shell sessions.</t>
        </is>
      </c>
      <c r="E2300" t="n">
        <v>0.0045</v>
      </c>
      <c r="F2300" t="n">
        <v>0.0364</v>
      </c>
      <c r="G2300" t="n">
        <v>0.124</v>
      </c>
      <c r="H2300" t="inlineStr">
        <is>
          <t>Manages a stack of shell prompts.</t>
        </is>
      </c>
      <c r="I2300" t="n">
        <v>0</v>
      </c>
      <c r="J2300" t="n">
        <v>0</v>
      </c>
      <c r="K2300" t="n">
        <v>0</v>
      </c>
      <c r="L2300" t="inlineStr">
        <is>
          <t>The `ShellPrompts` class manages a stack of shell prompts, allowing users to push and pop prompts onto and off the stack. It provides methods to retrieve the current top prompt and reset all prompts to their default state. The implementation uses a deque to efficiently handle the stack operations.</t>
        </is>
      </c>
      <c r="M2300" t="n">
        <v>0.0037</v>
      </c>
      <c r="N2300" t="n">
        <v>0.0351</v>
      </c>
      <c r="O2300" t="n">
        <v>0.124</v>
      </c>
    </row>
    <row r="2301">
      <c r="A2301" t="inlineStr">
        <is>
          <t>springboot</t>
        </is>
      </c>
      <c r="B2301" t="inlineStr">
        <is>
          <t>cli/spring-boot-cli/src/main/java/org/springframework/boot/cli/command/shell/RunProcessCommand.java</t>
        </is>
      </c>
      <c r="C2301">
        <f>HYPERLINK("https://github.com/spring-projects/spring-boot/blob/master/cli/spring-boot-cli/src/main/java/org/springframework/boot/cli/command/shell/RunProcessCommand.java")</f>
        <v/>
      </c>
      <c r="D2301" t="inlineStr">
        <is>
          <t>The provided Java code defines a command-line interface (CLI) tool that executes shell commands using Spring Boot CLI. It includes classes such as `AbstractCommand`, `Command`, and `ExitStatus` from the Spring Boot CLI library. The code handles execution of shell commands and manages exit statuses. The complexity is O(N), where N represents the number of operations performed during command execution.</t>
        </is>
      </c>
      <c r="E2301" t="n">
        <v>0.0031</v>
      </c>
      <c r="F2301" t="n">
        <v>0.029</v>
      </c>
      <c r="G2301" t="n">
        <v>0.07630000000000001</v>
      </c>
      <c r="H2301" t="inlineStr">
        <is>
          <t>This repository contains backend software components that implement core algorithms. The complexity of these implementations is O(N), indicating linear time complexity relative to the size of the input data. The README provides information about the project's license, package structure, and initial codebase commit.</t>
        </is>
      </c>
      <c r="I2301" t="n">
        <v>0.0061</v>
      </c>
      <c r="J2301" t="n">
        <v>0.1887</v>
      </c>
      <c r="K2301" t="n">
        <v>0.2174</v>
      </c>
      <c r="L2301" t="inlineStr">
        <is>
          <t>This Java class `ShellCommand` extends `AbstractCommand` from Spring Boot CLI and provides a command-line interface for executing shell scripts within a Spring Boot application environment. It supports running multiple commands sequentially and handles input/output redirection using pipes (`|`). The method `run()` processes user input, executes each command, and manages output streams accordingly. If any command fails, it returns an error status; otherwise</t>
        </is>
      </c>
      <c r="M2301" t="n">
        <v>0.0035</v>
      </c>
      <c r="N2301" t="n">
        <v>0.0563</v>
      </c>
      <c r="O2301" t="n">
        <v>0.1119</v>
      </c>
    </row>
    <row r="2302">
      <c r="A2302" t="inlineStr">
        <is>
          <t>springboot</t>
        </is>
      </c>
      <c r="B2302" t="inlineStr">
        <is>
          <t>cli/spring-boot-cli/src/main/java/org/springframework/boot/cli/command/shell/ShellCommand.java</t>
        </is>
      </c>
      <c r="C2302">
        <f>HYPERLINK("https://github.com/spring-projects/spring-boot/blob/master/cli/spring-boot-cli/src/main/java/org/springframework/boot/cli/command/shell/ShellCommand.java")</f>
        <v/>
      </c>
      <c r="D2302" t="inlineStr">
        <is>
          <t>The `ShellCommand` class extends `AbstractCommand` and implements the `Command` interface from Spring Boot CLI. It provides functionality to start a nested REPL (Read-Eval-Print Loop) shell within the application. The command is designed to be used as part of the Spring Boot CLI environment, allowing users to interactively execute commands and scripts within the same session. This feature enhances productivity by enabling</t>
        </is>
      </c>
      <c r="E2302" t="n">
        <v>0.0042</v>
      </c>
      <c r="F2302" t="n">
        <v>0.08450000000000001</v>
      </c>
      <c r="G2302" t="n">
        <v>0.1504</v>
      </c>
      <c r="H2302" t="inlineStr">
        <is>
          <t>The code provides a command-line interface for starting a nested REPL shell within a Spring Boot CLI environment. It includes comments explaining its purpose and implementation details, as well as metadata about complexity, number of commits, and overall size.</t>
        </is>
      </c>
      <c r="I2302" t="n">
        <v>0.0047</v>
      </c>
      <c r="J2302" t="n">
        <v>0.0833</v>
      </c>
      <c r="K2302" t="n">
        <v>0.0901</v>
      </c>
      <c r="L2302" t="inlineStr">
        <is>
          <t>The `ShellCommand` class extends `AbstractCommand` and implements the `Command` interface. It provides a command-line interface that allows users to interactively execute commands within a Spring Boot application's environment. The command starts a nested REPL shell, enabling developers to run scripts, debug applications, and perform various tasks without leaving the terminal.</t>
        </is>
      </c>
      <c r="M2302" t="n">
        <v>0.0044</v>
      </c>
      <c r="N2302" t="n">
        <v>0.0667</v>
      </c>
      <c r="O2302" t="n">
        <v>0.123</v>
      </c>
    </row>
    <row r="2303">
      <c r="A2303" t="inlineStr">
        <is>
          <t>springboot</t>
        </is>
      </c>
      <c r="B2303" t="inlineStr">
        <is>
          <t>cli/spring-boot-cli/src/main/java/org/springframework/boot/cli/command/status/package-info.java</t>
        </is>
      </c>
      <c r="C2303">
        <f>HYPERLINK("https://github.com/spring-projects/spring-boot/blob/master/cli/spring-boot-cli/src/main/java/org/springframework/boot/cli/command/status/package-info.java")</f>
        <v/>
      </c>
      <c r="D2303" t="inlineStr">
        <is>
          <t>The code defines a package `org.springframework.boot.cli.command.status` that provides classes related to CLI command statuses. The package includes annotations from the JSPECIFY library to handle null values safely. The complexity of the implementation is O(N), indicating linear time complexity, which suggests it processes data sequentially. There are no comments provided in the given code snippet, so the exact functionality cannot be summarized without additional context</t>
        </is>
      </c>
      <c r="E2303" t="n">
        <v>0.0028</v>
      </c>
      <c r="F2303" t="n">
        <v>0.0513</v>
      </c>
      <c r="G2303" t="n">
        <v>0.0735</v>
      </c>
      <c r="H2303" t="inlineStr">
        <is>
          <t>This repository contains backend software components that implement core algorithms. The complexity of the implementation is O(N), indicating linear time complexity.</t>
        </is>
      </c>
      <c r="I2303" t="n">
        <v>0.012</v>
      </c>
      <c r="J2303" t="n">
        <v>0.2667</v>
      </c>
      <c r="K2303" t="n">
        <v>0.2151</v>
      </c>
      <c r="L2303" t="inlineStr">
        <is>
          <t>The code defines a package `org.springframework.boot.cli.command.status` that provides classes for representing the status of commands executed through Spring Boot's CLI tool. The package includes annotations for handling null values (`@NullMarked`) and serves as part of the larger framework responsible for managing application startup and execution from the command line.</t>
        </is>
      </c>
      <c r="M2303" t="n">
        <v>0.0037</v>
      </c>
      <c r="N2303" t="n">
        <v>0.0317</v>
      </c>
      <c r="O2303" t="n">
        <v>0.08260000000000001</v>
      </c>
    </row>
    <row r="2304">
      <c r="A2304" t="inlineStr">
        <is>
          <t>springboot</t>
        </is>
      </c>
      <c r="B2304" t="inlineStr">
        <is>
          <t>cli/spring-boot-cli/src/main/java/org/springframework/boot/cli/command/status/ExitStatus.java</t>
        </is>
      </c>
      <c r="C2304">
        <f>HYPERLINK("https://github.com/spring-projects/spring-boot/blob/master/cli/spring-boot-cli/src/main/java/org/springframework/boot/cli/command/status/ExitStatus.java")</f>
        <v/>
      </c>
      <c r="D2304" t="inlineStr">
        <is>
          <t>The `ExitStatus` class encapsulates the result of a command execution, providing constants for different outcomes such as success (`OK`) and error (`ERROR`). It includes fields for the exit code and whether the process was terminated due to a hang-up signal. This class is part of a larger Spring Boot CLI project and is used to manage the status of commands executed within that framework.</t>
        </is>
      </c>
      <c r="E2304" t="n">
        <v>0.0034</v>
      </c>
      <c r="F2304" t="n">
        <v>0.0548</v>
      </c>
      <c r="G2304" t="n">
        <v>0.1103</v>
      </c>
      <c r="H2304" t="inlineStr">
        <is>
          <t>The repository contains backend software components that implement core algorithms. The complexity is O(N), indicating linear time complexity, which means the performance increases proportionally with the size of the input data. Comments describe the implementation of these algorithms. The code base was initialized with the first commit.</t>
        </is>
      </c>
      <c r="I2304" t="n">
        <v>0.0046</v>
      </c>
      <c r="J2304" t="n">
        <v>0.1071</v>
      </c>
      <c r="K2304" t="n">
        <v>0.1261</v>
      </c>
      <c r="L2304" t="inlineStr">
        <is>
          <t>The `ExitStatus` class encapsulates the result of a command execution, providing constants for common outcomes such as success (`OK`) and error (`ERROR`). It includes fields for the exit code and whether the process was terminated due to a hangup signal. The class is designed to be used within Spring Boot CLI commands to indicate the success or failure of various operations.</t>
        </is>
      </c>
      <c r="M2304" t="n">
        <v>0.003</v>
      </c>
      <c r="N2304" t="n">
        <v>0.029</v>
      </c>
      <c r="O2304" t="n">
        <v>0.0752</v>
      </c>
    </row>
    <row r="2305">
      <c r="A2305" t="inlineStr">
        <is>
          <t>springboot</t>
        </is>
      </c>
      <c r="B2305" t="inlineStr">
        <is>
          <t>cli/spring-boot-cli/src/main/java/org/springframework/boot/cli/util/package-info.java</t>
        </is>
      </c>
      <c r="C2305">
        <f>HYPERLINK("https://github.com/spring-projects/spring-boot/blob/master/cli/spring-boot-cli/src/main/java/org/springframework/boot/cli/util/package-info.java")</f>
        <v/>
      </c>
      <c r="D2305" t="inlineStr">
        <is>
          <t>The provided Java package `org.springframework.boot.cli.util` includes utility classes designed for command-line interface (CLI) operations within Spring Boot applications. The code is licensed under the Apache License 2.0 and uses JSPECIFY annotations to handle nullability checks. The complexity of the implementation is O(N), indicating that it involves processing linear data structures. The comments suggest that the code implements core algorithms necessary</t>
        </is>
      </c>
      <c r="E2305" t="n">
        <v>0.0071</v>
      </c>
      <c r="F2305" t="n">
        <v>0.0533</v>
      </c>
      <c r="G2305" t="n">
        <v>0.2391</v>
      </c>
      <c r="H2305" t="inlineStr">
        <is>
          <t>The repository contains backend software components that implement core algorithms. The complexity is O(N), indicating linear time complexity. The comments describe the implementation of these algorithms.</t>
        </is>
      </c>
      <c r="I2305" t="n">
        <v>0.0086</v>
      </c>
      <c r="J2305" t="n">
        <v>0.1714</v>
      </c>
      <c r="K2305" t="n">
        <v>0.1531</v>
      </c>
      <c r="L2305" t="inlineStr">
        <is>
          <t>The utility package `org.springframework.boot.cli.util` contains Java classes designed to support command-line interfaces (CLI). The package includes annotations like `@NullMarked`, which indicates that methods can return null values. The primary focus appears to be on providing utilities for handling input/output operations related to CLI applications.</t>
        </is>
      </c>
      <c r="M2305" t="n">
        <v>0</v>
      </c>
      <c r="N2305" t="n">
        <v>0</v>
      </c>
      <c r="O2305" t="n">
        <v>0</v>
      </c>
    </row>
    <row r="2306">
      <c r="A2306" t="inlineStr">
        <is>
          <t>springboot</t>
        </is>
      </c>
      <c r="B2306" t="inlineStr">
        <is>
          <t>cli/spring-boot-cli/src/main/java/org/springframework/boot/cli/util/LogListener.java</t>
        </is>
      </c>
      <c r="C2306">
        <f>HYPERLINK("https://github.com/spring-projects/spring-boot/blob/master/cli/spring-boot-cli/src/main/java/org/springframework/boot/cli/util/LogListener.java")</f>
        <v/>
      </c>
      <c r="D2306" t="inlineStr">
        <is>
          <t>The provided Java interface `LogListener` defines methods for capturing log messages from a `Log` object. It includes methods for handling informational messages (`info`, `infoPrint`) and error messages (`error`, `error`). The `@Nullable` annotation indicates that some parameters might be null. This interface is part of a larger project focused on backend software components, implementing core algorithms.</t>
        </is>
      </c>
      <c r="E2306" t="n">
        <v>0.0047</v>
      </c>
      <c r="F2306" t="n">
        <v>0.127</v>
      </c>
      <c r="G2306" t="n">
        <v>0.3357</v>
      </c>
      <c r="H2306" t="inlineStr">
        <is>
          <t>Provides a listener interface for capturing log messages from the `Log` class. The interface includes methods for handling informational and error messages, as well as printing information messages. Complexity is O(N) due to potential processing of multiple log entries.</t>
        </is>
      </c>
      <c r="I2306" t="n">
        <v>0.0047</v>
      </c>
      <c r="J2306" t="n">
        <v>0.0417</v>
      </c>
      <c r="K2306" t="n">
        <v>0.045</v>
      </c>
      <c r="L2306" t="inlineStr">
        <is>
          <t>This interface defines a listener for capturing log messages from the `Log` class. It provides methods to handle informational and error logs, including both string messages and exceptions. The implementation complexity is O(1), as each method performs a simple operation based on the input parameters.</t>
        </is>
      </c>
      <c r="M2306" t="n">
        <v>0.0049</v>
      </c>
      <c r="N2306" t="n">
        <v>0.0741</v>
      </c>
      <c r="O2306" t="n">
        <v>0.1282</v>
      </c>
    </row>
    <row r="2307">
      <c r="A2307" t="inlineStr">
        <is>
          <t>springboot</t>
        </is>
      </c>
      <c r="B2307" t="inlineStr">
        <is>
          <t>cli/spring-boot-cli/src/main/java/org/springframework/boot/cli/util/Log.java</t>
        </is>
      </c>
      <c r="C2307">
        <f>HYPERLINK("https://github.com/spring-projects/spring-boot/blob/master/cli/spring-boot-cli/src/main/java/org/springframework/boot/cli/util/Log.java")</f>
        <v/>
      </c>
      <c r="D2307" t="inlineStr">
        <is>
          <t>The provided Java code defines a simple logging utility called `Log` that can output messages to the console. It includes methods for logging information (`info`) and a static field to manage listeners that can be notified when log messages are generated. The code also specifies copyright details and licensing terms.</t>
        </is>
      </c>
      <c r="E2307" t="n">
        <v>0.0037</v>
      </c>
      <c r="F2307" t="n">
        <v>0.0345</v>
      </c>
      <c r="G2307" t="n">
        <v>0.041</v>
      </c>
      <c r="H2307" t="inlineStr">
        <is>
          <t>This repository contains backend software components that implement core algorithms. The complexity of these implementations is O(N), indicating linear time performance relative to input size. The code base has been initialized with the first commit.</t>
        </is>
      </c>
      <c r="I2307" t="n">
        <v>0.007</v>
      </c>
      <c r="J2307" t="n">
        <v>0.1818</v>
      </c>
      <c r="K2307" t="n">
        <v>0.1869</v>
      </c>
      <c r="L2307" t="inlineStr">
        <is>
          <t>The `Log` class provides a simple logging mechanism for the Spring Boot CLI. It includes methods like `info`, which prints messages to the console. The class also supports a listener interface that can be implemented to handle log events. The implementation complexity is O(1), as it involves basic print statements and conditional checks.</t>
        </is>
      </c>
      <c r="M2307" t="n">
        <v>0.0035</v>
      </c>
      <c r="N2307" t="n">
        <v>0.0645</v>
      </c>
      <c r="O2307" t="n">
        <v>0.08</v>
      </c>
    </row>
    <row r="2308">
      <c r="A2308" t="inlineStr">
        <is>
          <t>springboot</t>
        </is>
      </c>
      <c r="B2308" t="inlineStr">
        <is>
          <t>cli/spring-boot-cli/src/test/java/cli/command/CustomCommandFactory.java</t>
        </is>
      </c>
      <c r="C2308">
        <f>HYPERLINK("https://github.com/spring-projects/spring-boot/blob/master/cli/spring-boot-cli/src/test/java/cli/command/CustomCommandFactory.java")</f>
        <v/>
      </c>
      <c r="D2308" t="inlineStr">
        <is>
          <t>The `CustomCommandFactory` class provides a custom implementation of the `CommandFactory` interface from Spring Boot CLI. It returns a collection containing a single command, which can be used to execute various operations within the application. The factory ensures that only one instance of the specified command is available, making it suitable for scenarios where a singleton pattern is needed for managing commands effectively.</t>
        </is>
      </c>
      <c r="E2308" t="n">
        <v>0</v>
      </c>
      <c r="F2308" t="n">
        <v>0.0286</v>
      </c>
      <c r="G2308" t="n">
        <v>0.0746</v>
      </c>
      <c r="H2308" t="inlineStr">
        <is>
          <t>This repository contains backend software components that implement core algorithms. The complexity of these implementations is O(N), indicating linear time complexity relative to the size of the input data. The code base has been initialized with the first commit.</t>
        </is>
      </c>
      <c r="I2308" t="n">
        <v>0.0062</v>
      </c>
      <c r="J2308" t="n">
        <v>0.1667</v>
      </c>
      <c r="K2308" t="n">
        <v>0.1802</v>
      </c>
      <c r="L2308" t="inlineStr">
        <is>
          <t>This custom command factory provides a collection of commands for a Spring Boot CLI application, implementing the `CommandFactory` interface. It returns a single command that can be executed within the context of the Spring Boot CLI environment. The implementation uses Java's `Collections.singleton()` method to create a singleton list containing the command.</t>
        </is>
      </c>
      <c r="M2308" t="n">
        <v>0.0036</v>
      </c>
      <c r="N2308" t="n">
        <v>0.06560000000000001</v>
      </c>
      <c r="O2308" t="n">
        <v>0.122</v>
      </c>
    </row>
    <row r="2309">
      <c r="A2309" t="inlineStr">
        <is>
          <t>springboot</t>
        </is>
      </c>
      <c r="B2309" t="inlineStr">
        <is>
          <t>cli/spring-boot-cli/src/test/java/cli/command/CustomCommand.java</t>
        </is>
      </c>
      <c r="C2309">
        <f>HYPERLINK("https://github.com/spring-projects/spring-boot/blob/master/cli/spring-boot-cli/src/test/java/cli/command/CustomCommand.java")</f>
        <v/>
      </c>
      <c r="D2309" t="inlineStr">
        <is>
          <t>The `CustomCommand` class is a Spring Boot CLI command that provides a custom functionality when executed. It inherits from `AbstractCommand`, which allows it to be registered as a command-line tool within the Spring Boot application context. The constructor initializes the command with the name "custom" and a description "Custom command added in tests". The `run` method is overridden to define the behavior of the command</t>
        </is>
      </c>
      <c r="E2309" t="n">
        <v>0.0033</v>
      </c>
      <c r="F2309" t="n">
        <v>0.0541</v>
      </c>
      <c r="G2309" t="n">
        <v>0.073</v>
      </c>
      <c r="H2309" t="inlineStr">
        <is>
          <t>This repository contains backend software components that implement core algorithms. The complexity of these implementations is O(N), indicating linear time complexity. The comments provide details about the implementation's purpose and functionality. The commits include an initial codebase commit. The total size of the codebase is 1000 lines.</t>
        </is>
      </c>
      <c r="I2309" t="n">
        <v>0.0055</v>
      </c>
      <c r="J2309" t="n">
        <v>0.1754</v>
      </c>
      <c r="K2309" t="n">
        <v>0.2101</v>
      </c>
      <c r="L2309" t="inlineStr">
        <is>
          <t>This Java Spring Boot CLI command, `CustomCommand`, provides a custom implementation that can be executed from the command line. It inherits from `AbstractCommand` and includes a constructor specifying the name as "custom" and a description. The `run` method processes any arguments passed during execution and returns an exit status indicating success or failure.</t>
        </is>
      </c>
      <c r="M2309" t="n">
        <v>0.0041</v>
      </c>
      <c r="N2309" t="n">
        <v>0.0984</v>
      </c>
      <c r="O2309" t="n">
        <v>0.12</v>
      </c>
    </row>
    <row r="2310">
      <c r="A2310" t="inlineStr">
        <is>
          <t>springboot</t>
        </is>
      </c>
      <c r="B2310" t="inlineStr">
        <is>
          <t>cli/spring-boot-cli/src/test/java/org/springframework/boot/cli/command/OptionParsingCommandTests.java</t>
        </is>
      </c>
      <c r="C2310">
        <f>HYPERLINK("https://github.com/spring-projects/spring-boot/blob/master/cli/spring-boot-cli/src/test/java/org/springframework/boot/cli/command/OptionParsingCommandTests.java")</f>
        <v/>
      </c>
      <c r="D2310" t="inlineStr">
        <is>
          <t>The provided Java code snippet appears to be part of a test suite for a command-line interface tool called `Spring Boot CLI`. The class `OptionParsingCommandTests` contains a single JUnit test method named `optionHelp`, which tests the behavior of the `OptionHandler` class within the context of parsing options for a Spring Boot command. This suggests that the code is designed to verify how the application</t>
        </is>
      </c>
      <c r="E2310" t="n">
        <v>0.0028</v>
      </c>
      <c r="F2310" t="n">
        <v>0.0274</v>
      </c>
      <c r="G2310" t="n">
        <v>0.0735</v>
      </c>
      <c r="H2310" t="inlineStr">
        <is>
          <t>The repository contains backend software components that implement core algorithms. The complexity of these implementations is O(N), indicating linear time complexity. The code size is 1000 lines, making it relatively large. The comments provide an overview of the implementation's purpose and functionality.</t>
        </is>
      </c>
      <c r="I2310" t="n">
        <v>0.0058</v>
      </c>
      <c r="J2310" t="n">
        <v>0.1538</v>
      </c>
      <c r="K2310" t="n">
        <v>0.1754</v>
      </c>
      <c r="L2310" t="inlineStr">
        <is>
          <t>The `OptionParsingCommandTests` class contains JUnit tests that verify the functionality of the `OptionParsingCommand`. The test checks if the help message generated by the command includes all available options.</t>
        </is>
      </c>
      <c r="M2310" t="n">
        <v>0.0067</v>
      </c>
      <c r="N2310" t="n">
        <v>0.0556</v>
      </c>
      <c r="O2310" t="n">
        <v>0.05</v>
      </c>
    </row>
    <row r="2311">
      <c r="A2311" t="inlineStr">
        <is>
          <t>springboot</t>
        </is>
      </c>
      <c r="B2311" t="inlineStr">
        <is>
          <t>cli/spring-boot-cli/src/test/java/org/springframework/boot/cli/command/CommandRunnerIntegrationTests.java</t>
        </is>
      </c>
      <c r="C2311">
        <f>HYPERLINK("https://github.com/spring-projects/spring-boot/blob/master/cli/spring-boot-cli/src/test/java/org/springframework/boot/cli/command/CommandRunnerIntegrationTests.java")</f>
        <v/>
      </c>
      <c r="D2311" t="inlineStr">
        <is>
          <t>The provided Java code defines integration tests for the `CommandRunner` class within the Spring Boot CLI project. The tests verify that the command runner correctly handles various exit statuses and commands. They use JUnit Jupiter annotations for testing and assert statements from AssertJ to check expected outcomes. The code is part of a larger system designed to manage and execute shell-like commands using Spring Boot.</t>
        </is>
      </c>
      <c r="E2311" t="n">
        <v>0.0028</v>
      </c>
      <c r="F2311" t="n">
        <v>0.027</v>
      </c>
      <c r="G2311" t="n">
        <v>0.073</v>
      </c>
      <c r="H2311" t="inlineStr">
        <is>
          <t>The provided code is a Java package containing integration tests for a command runner class within the Spring Boot CLI project. The tests verify the behavior of the `CommandRunner` class using JUnit Jupiter annotations. The complexity of the implementation is O(N), indicating that it scales linearly with the number of test cases. The comments describe the purpose of the code as implementing core algorithms for the command runner. The</t>
        </is>
      </c>
      <c r="I2311" t="n">
        <v>0.0026</v>
      </c>
      <c r="J2311" t="n">
        <v>0.0513</v>
      </c>
      <c r="K2311" t="n">
        <v>0.1812</v>
      </c>
      <c r="L2311" t="inlineStr">
        <is>
          <t>This Java test suite integrates `CommandRunner` from Spring Boot CLI, verifying its exit status handling through various commands. It uses JUnit Jupiter annotations and assertions from AssertJ to ensure correct command execution outcomes. The integration tests cover different scenarios such as successful command execution and errors, ensuring robustness and reliability of the command runner's functionality within the Spring Boot CLI environment.</t>
        </is>
      </c>
      <c r="M2311" t="n">
        <v>0.0039</v>
      </c>
      <c r="N2311" t="n">
        <v>0.0571</v>
      </c>
      <c r="O2311" t="n">
        <v>0.1128</v>
      </c>
    </row>
    <row r="2312">
      <c r="A2312" t="inlineStr">
        <is>
          <t>springboot</t>
        </is>
      </c>
      <c r="B2312" t="inlineStr">
        <is>
          <t>cli/spring-boot-cli/src/test/java/org/springframework/boot/cli/command/CommandRunnerTests.java</t>
        </is>
      </c>
      <c r="C2312">
        <f>HYPERLINK("https://github.com/spring-projects/spring-boot/blob/master/cli/spring-boot-cli/src/test/java/org/springframework/boot/cli/command/CommandRunnerTests.java")</f>
        <v/>
      </c>
      <c r="D2312" t="inlineStr">
        <is>
          <t>The provided Java code defines a test class `CoreAlgorithmsTest` that uses JUnit Jupiter and Mockito to verify the correctness of core algorithms implemented elsewhere in the system. The class includes setup and teardown methods using annotations from both JUnit Jupiter and Mockito extensions. It also tests various aspects of these algorithms through assertions.</t>
        </is>
      </c>
      <c r="E2312" t="n">
        <v>0.0041</v>
      </c>
      <c r="F2312" t="n">
        <v>0.06560000000000001</v>
      </c>
      <c r="G2312" t="n">
        <v>0.16</v>
      </c>
      <c r="H2312" t="inlineStr">
        <is>
          <t>This repository contains backend software components that implement core algorithms. The complexity of these implementations is O(N), indicating they scale linearly with input size. The code base has been initialized with the first commit.</t>
        </is>
      </c>
      <c r="I2312" t="n">
        <v>0.0072</v>
      </c>
      <c r="J2312" t="n">
        <v>0.186</v>
      </c>
      <c r="K2312" t="n">
        <v>0.1887</v>
      </c>
      <c r="L2312" t="inlineStr">
        <is>
          <t>The provided Java code defines a test suite for Spring Boot CLI command classes using JUnit Jupiter. It includes setup and teardown methods, as well as tests that verify various functionalities related to command execution and parameter handling. The code uses Mockito for mocking dependencies and JSPECIFY annotations for type safety checks. The overall purpose is to ensure the correctness and robustness of the Spring Boot CLI command implementation.</t>
        </is>
      </c>
      <c r="M2312" t="n">
        <v>0.0026</v>
      </c>
      <c r="N2312" t="n">
        <v>0.0519</v>
      </c>
      <c r="O2312" t="n">
        <v>0.0709</v>
      </c>
    </row>
    <row r="2313">
      <c r="A2313" t="inlineStr">
        <is>
          <t>springboot</t>
        </is>
      </c>
      <c r="B2313" t="inlineStr">
        <is>
          <t>cli/spring-boot-cli/src/test/java/org/springframework/boot/cli/command/encodepassword/EncodePasswordCommandTests.java</t>
        </is>
      </c>
      <c r="C2313">
        <f>HYPERLINK("https://github.com/spring-projects/spring-boot/blob/master/cli/spring-boot-cli/src/test/java/org/springframework/boot/cli/command/encodepassword/EncodePasswordCommandTests.java")</f>
        <v/>
      </c>
      <c r="D2313" t="inlineStr">
        <is>
          <t>The provided Java code snippet defines a JUnit test class `EncodePasswordCommandTests` that tests the functionality of an encoding password command within a Spring Boot CLI application. The class uses Mockito for mocking dependencies and extends `MockitoExtension` for dependency injection support. It includes setup methods (`@BeforeEach`) and teardown methods (`@AfterEach`) to initialize and clean up resources before each test case. The</t>
        </is>
      </c>
      <c r="E2313" t="n">
        <v>0.0036</v>
      </c>
      <c r="F2313" t="n">
        <v>0.0588</v>
      </c>
      <c r="G2313" t="n">
        <v>0.07580000000000001</v>
      </c>
      <c r="H2313" t="inlineStr">
        <is>
          <t>This repository contains backend software components implementing core algorithms. Complexity is O(N), indicating linear time complexity. The README describes it as containing backend software components and provides details about its implementation, complexity, comments, commits, and size.</t>
        </is>
      </c>
      <c r="I2313" t="n">
        <v>0.0073</v>
      </c>
      <c r="J2313" t="n">
        <v>0.2222</v>
      </c>
      <c r="K2313" t="n">
        <v>0.3444</v>
      </c>
      <c r="L2313" t="inlineStr">
        <is>
          <t>This Java test suite uses JUnit Jupiter to verify the correctness of password encoding functionality within the Spring Boot CLI command framework. It includes tests for various scenarios involving different types of passwords and encodings, ensuring that the implementation meets expected standards and behaves as intended. The tests utilize Mockito for mocking dependencies and ensure that all methods are called correctly during execution.</t>
        </is>
      </c>
      <c r="M2313" t="n">
        <v>0.0038</v>
      </c>
      <c r="N2313" t="n">
        <v>0.08450000000000001</v>
      </c>
      <c r="O2313" t="n">
        <v>0.1481</v>
      </c>
    </row>
    <row r="2314">
      <c r="A2314" t="inlineStr">
        <is>
          <t>springboot</t>
        </is>
      </c>
      <c r="B2314" t="inlineStr">
        <is>
          <t>cli/spring-boot-cli/src/test/java/org/springframework/boot/cli/command/init/InitCommandTests.java</t>
        </is>
      </c>
      <c r="C2314">
        <f>HYPERLINK("https://github.com/spring-projects/spring-boot/blob/master/cli/spring-boot-cli/src/test/java/org/springframework/boot/cli/command/init/InitCommandTests.java")</f>
        <v/>
      </c>
      <c r="D2314" t="inlineStr">
        <is>
          <t>The provided Java code defines a class `InitCommand` within the package `org.springframework.boot.cli.command.init`. This class appears to be part of a Spring Boot CLI tool that handles initialization tasks. The code includes methods for creating a ZIP archive containing project files based on user input options. It uses JOpt Simple for parsing command-line arguments and Apache HttpClient for handling HTTP requests if needed. The complexity of</t>
        </is>
      </c>
      <c r="E2314" t="n">
        <v>0.0033</v>
      </c>
      <c r="F2314" t="n">
        <v>0.0506</v>
      </c>
      <c r="G2314" t="n">
        <v>0.1095</v>
      </c>
      <c r="H2314" t="inlineStr">
        <is>
          <t>This repository contains backend software components implementing core algorithms. The complexity of the implementation is O(N), indicating linear time complexity relative to the input size N. The comments describe the purpose of the code as implementing core algorithms. The commits indicate that it was initially created. The total code size is 1000 lines.</t>
        </is>
      </c>
      <c r="I2314" t="n">
        <v>0.0045</v>
      </c>
      <c r="J2314" t="n">
        <v>0.129</v>
      </c>
      <c r="K2314" t="n">
        <v>0.2525</v>
      </c>
      <c r="L2314" t="inlineStr">
        <is>
          <t>This Java class implements a command-line tool that initializes a new Spring Boot project using Maven. It generates a ZIP archive containing the necessary files and directories for a new project based on user-provided options such as project name, group ID, artifact ID, version, and dependencies. The generated ZIP archive can be used to create a new Spring Boot application from scratch.</t>
        </is>
      </c>
      <c r="M2314" t="n">
        <v>0.0039</v>
      </c>
      <c r="N2314" t="n">
        <v>0.0833</v>
      </c>
      <c r="O2314" t="n">
        <v>0.1493</v>
      </c>
    </row>
    <row r="2315">
      <c r="A2315" t="inlineStr">
        <is>
          <t>springboot</t>
        </is>
      </c>
      <c r="B2315" t="inlineStr">
        <is>
          <t>cli/spring-boot-cli/src/test/java/org/springframework/boot/cli/command/init/InitializrServiceTests.java</t>
        </is>
      </c>
      <c r="C2315">
        <f>HYPERLINK("https://github.com/spring-projects/spring-boot/blob/master/cli/spring-boot-cli/src/test/java/org/springframework/boot/cli/command/init/InitializrServiceTests.java")</f>
        <v/>
      </c>
      <c r="D2315" t="inlineStr">
        <is>
          <t>The provided Java code defines a test class `InitCommandTests` within the package `org.springframework.boot.cli.command.init`. This class uses JUnit Jupiter annotations to define a single test method named `testHttpGetRequest`.
### Key Functionality:
1. **Test Method**: 
   - The method `testHttpGetRequest` tests the HTTP GET request functionality using the Apache HttpClient library.
2. **</t>
        </is>
      </c>
      <c r="E2315" t="n">
        <v>0.0044</v>
      </c>
      <c r="F2315" t="n">
        <v>0.0667</v>
      </c>
      <c r="G2315" t="n">
        <v>0.082</v>
      </c>
      <c r="H2315" t="inlineStr">
        <is>
          <t>This repository contains backend software components implementing core algorithms. The complexity is O(N), indicating linear time performance relative to input size.</t>
        </is>
      </c>
      <c r="I2315" t="n">
        <v>0.012</v>
      </c>
      <c r="J2315" t="n">
        <v>0.2667</v>
      </c>
      <c r="K2315" t="n">
        <v>0.3394</v>
      </c>
      <c r="L2315" t="inlineStr">
        <is>
          <t>This Java code snippet tests the `HttpGet` class from the Apache HttpClient library using JUnit Jupiter. It sends an HTTP GET request to a specified URL and asserts that the response status code is 200 OK. The test method uses assertions to verify that the response body matches expected content.</t>
        </is>
      </c>
      <c r="M2315" t="n">
        <v>0.0044</v>
      </c>
      <c r="N2315" t="n">
        <v>0.06900000000000001</v>
      </c>
      <c r="O2315" t="n">
        <v>0.123</v>
      </c>
    </row>
    <row r="2316">
      <c r="A2316" t="inlineStr">
        <is>
          <t>springboot</t>
        </is>
      </c>
      <c r="B2316" t="inlineStr">
        <is>
          <t>cli/spring-boot-cli/src/test/java/org/springframework/boot/cli/command/init/ServiceCapabilitiesReportGeneratorTests.java</t>
        </is>
      </c>
      <c r="C2316">
        <f>HYPERLINK("https://github.com/spring-projects/spring-boot/blob/master/cli/spring-boot-cli/src/test/java/org/springframework/boot/cli/command/init/ServiceCapabilitiesReportGeneratorTests.java")</f>
        <v/>
      </c>
      <c r="D2316" t="inlineStr">
        <is>
          <t>The provided Java code defines tests for `ServiceCapabilitiesReportGenerator`, which generates reports about service capabilities using HTTP client mock tests. The class extends `AbstractHttpClientMockTests` and includes a test method that uses assertions from AssertJ to verify the correctness of the report generation process. The complexity of the implementation is O(N), where N represents the number of operations performed during the testing process. The comments indicate</t>
        </is>
      </c>
      <c r="E2316" t="n">
        <v>0.0028</v>
      </c>
      <c r="F2316" t="n">
        <v>0.0274</v>
      </c>
      <c r="G2316" t="n">
        <v>0.1103</v>
      </c>
      <c r="H2316" t="inlineStr">
        <is>
          <t>The repository contains backend software components that implement core algorithms. The complexity of these implementations is O(N), indicating linear time complexity. The README provides information about the project's license, package structure, and test class `ServiceCapabilitiesReportGeneratorTests`. The code size is 1000 lines, suggesting it includes multiple files and classes.</t>
        </is>
      </c>
      <c r="I2316" t="n">
        <v>0.005</v>
      </c>
      <c r="J2316" t="n">
        <v>0.1379</v>
      </c>
      <c r="K2316" t="n">
        <v>0.1667</v>
      </c>
      <c r="L2316" t="inlineStr">
        <is>
          <t>The `ServiceCapabilitiesReportGeneratorTests` class tests the functionality of the `ServiceCapabilitiesReportGenerator`, which generates reports about service capabilities using HTTP client mocks. The test suite includes assertions to verify that the generated report meets expected criteria.</t>
        </is>
      </c>
      <c r="M2316" t="n">
        <v>0.0056</v>
      </c>
      <c r="N2316" t="n">
        <v>0.0488</v>
      </c>
      <c r="O2316" t="n">
        <v>0.0476</v>
      </c>
    </row>
    <row r="2317">
      <c r="A2317" t="inlineStr">
        <is>
          <t>springboot</t>
        </is>
      </c>
      <c r="B2317" t="inlineStr">
        <is>
          <t>cli/spring-boot-cli/src/test/java/org/springframework/boot/cli/command/init/InitializrServiceMetadataTests.java</t>
        </is>
      </c>
      <c r="C2317">
        <f>HYPERLINK("https://github.com/spring-projects/spring-boot/blob/master/cli/spring-boot-cli/src/test/java/org/springframework/boot/cli/command/init/InitializrServiceMetadataTests.java")</f>
        <v/>
      </c>
      <c r="D2317" t="inlineStr">
        <is>
          <t>The provided Java code snippet appears to be part of a Spring Boot CLI command that initializes projects using JSON configuration files from classpath resources. The code includes:
1. A package declaration: `org.springframework.boot.cli.command.init`
2. JUnit test annotations (`@Test`) indicating it's a unit test.
3. Import statements for various classes such as `InputStream`, `IOException`, `StandardCharsets</t>
        </is>
      </c>
      <c r="E2317" t="n">
        <v>0</v>
      </c>
      <c r="F2317" t="n">
        <v>0</v>
      </c>
      <c r="G2317" t="n">
        <v>0.0397</v>
      </c>
      <c r="H2317" t="inlineStr">
        <is>
          <t>The repository contains backend software components implementing core algorithms. The complexity is O(N), indicating linear time complexity. Comments describe the implementation of these algorithms. Initial codebase commit was made. The total size of the codebase is 1000 lines.</t>
        </is>
      </c>
      <c r="I2317" t="n">
        <v>0.0058</v>
      </c>
      <c r="J2317" t="n">
        <v>0.1277</v>
      </c>
      <c r="K2317" t="n">
        <v>0.1364</v>
      </c>
      <c r="L2317" t="inlineStr">
        <is>
          <t>This Java package contains tests for the `InitCommand` class within the Spring Boot CLI project. The tests verify that the command correctly processes JSON configuration files from the classpath, handling potential exceptions such as missing resources or malformed JSON.</t>
        </is>
      </c>
      <c r="M2317" t="n">
        <v>0.0047</v>
      </c>
      <c r="N2317" t="n">
        <v>0.0426</v>
      </c>
      <c r="O2317" t="n">
        <v>0.045</v>
      </c>
    </row>
    <row r="2318">
      <c r="A2318" t="inlineStr">
        <is>
          <t>springboot</t>
        </is>
      </c>
      <c r="B2318" t="inlineStr">
        <is>
          <t>cli/spring-boot-cli/src/test/java/org/springframework/boot/cli/command/init/AbstractHttpClientMockTests.java</t>
        </is>
      </c>
      <c r="C2318">
        <f>HYPERLINK("https://github.com/spring-projects/spring-boot/blob/master/cli/spring-boot-cli/src/test/java/org/springframework/boot/cli/command/init/AbstractHttpClientMockTests.java")</f>
        <v/>
      </c>
      <c r="D2318" t="inlineStr">
        <is>
          <t>The provided Java code defines a class `InitCommand` within the package `org.springframework.boot.cli.command.init`. This class appears to be part of a Spring Boot CLI tool that handles initialization tasks. The main functionality involves making HTTP GET requests using Apache HttpClient version 5.x to fetch data from specified URLs. Here's a brief summary:
### Key Features:
1. **HTTP Client**: Uses Apache HttpClient</t>
        </is>
      </c>
      <c r="E2318" t="n">
        <v>0.0036</v>
      </c>
      <c r="F2318" t="n">
        <v>0.0541</v>
      </c>
      <c r="G2318" t="n">
        <v>0.07580000000000001</v>
      </c>
      <c r="H2318" t="inlineStr">
        <is>
          <t>The repository contains backend software components implementing core algorithms. The complexity is O(N), indicating linear time complexity, and it includes comments explaining the implementation details. The code size is 1000 lines.</t>
        </is>
      </c>
      <c r="I2318" t="n">
        <v>0.007900000000000001</v>
      </c>
      <c r="J2318" t="n">
        <v>0.2</v>
      </c>
      <c r="K2318" t="n">
        <v>0.1942</v>
      </c>
      <c r="L2318" t="inlineStr">
        <is>
          <t>This Java class provides a method `init` that initializes a Spring Boot application using a specified URL. It sends an HTTP GET request to the given URL, reads the response entity, and prints out any headers present in the response. The method uses Apache HttpClient version 5.x to handle the HTTP communication.</t>
        </is>
      </c>
      <c r="M2318" t="n">
        <v>0.0042</v>
      </c>
      <c r="N2318" t="n">
        <v>0.06560000000000001</v>
      </c>
      <c r="O2318" t="n">
        <v>0.121</v>
      </c>
    </row>
    <row r="2319">
      <c r="A2319" t="inlineStr">
        <is>
          <t>springboot</t>
        </is>
      </c>
      <c r="B2319" t="inlineStr">
        <is>
          <t>cli/spring-boot-cli/src/test/java/org/springframework/boot/cli/command/init/ProjectGenerationRequestTests.java</t>
        </is>
      </c>
      <c r="C2319">
        <f>HYPERLINK("https://github.com/spring-projects/spring-boot/blob/master/cli/spring-boot-cli/src/test/java/org/springframework/boot/cli/command/init/ProjectGenerationRequestTests.java")</f>
        <v/>
      </c>
      <c r="D2319" t="inlineStr">
        <is>
          <t>The provided Java code snippet appears to be part of a Spring Boot CLI command that initializes projects using JSON configuration files. It includes methods for handling URI parsing, reading JSON data from URIs, and managing exceptions related to these operations. The code uses JSpecify annotations for nullability checks and handles potential `JSONException` during JSON parsing. The complexity is O(N) due to potentially processing large JSON configurations.</t>
        </is>
      </c>
      <c r="E2319" t="n">
        <v>0.0027</v>
      </c>
      <c r="F2319" t="n">
        <v>0.0263</v>
      </c>
      <c r="G2319" t="n">
        <v>0.07190000000000001</v>
      </c>
      <c r="H2319" t="inlineStr">
        <is>
          <t>This repository contains backend software components that implement core algorithms. The complexity of these implementations is O(N), indicating linear time complexity relative to the size of the input data.</t>
        </is>
      </c>
      <c r="I2319" t="n">
        <v>0.008500000000000001</v>
      </c>
      <c r="J2319" t="n">
        <v>0.2105</v>
      </c>
      <c r="K2319" t="n">
        <v>0.198</v>
      </c>
      <c r="L2319" t="inlineStr">
        <is>
          <t>The code appears to be part of a Spring Boot CLI command that initializes projects from templates stored as JSON files located at specified URIs. It includes methods for downloading template files, parsing them into JSON objects, and handling potential exceptions such as network errors or invalid JSON syntax. The code uses JUnit Jupiter tests to verify the functionality of these methods.</t>
        </is>
      </c>
      <c r="M2319" t="n">
        <v>0.0035</v>
      </c>
      <c r="N2319" t="n">
        <v>0.0286</v>
      </c>
      <c r="O2319" t="n">
        <v>0.0746</v>
      </c>
    </row>
    <row r="2320">
      <c r="A2320" t="inlineStr">
        <is>
          <t>springboot</t>
        </is>
      </c>
      <c r="B2320" t="inlineStr">
        <is>
          <t>cli/spring-boot-cli/src/test/java/org/springframework/boot/cli/command/shell/EscapeAwareWhiteSpaceArgumentDelimiterTests.java</t>
        </is>
      </c>
      <c r="C2320">
        <f>HYPERLINK("https://github.com/spring-projects/spring-boot/blob/master/cli/spring-boot-cli/src/test/java/org/springframework/boot/cli/command/shell/EscapeAwareWhiteSpaceArgumentDelimiterTests.java")</f>
        <v/>
      </c>
      <c r="D2320" t="inlineStr">
        <is>
          <t>The provided Java code defines a test class `EscapeAwareWhiteSpaceArgumentDelimiterTests` that tests the functionality of the `EscapeAwareWhiteSpaceArgumentDelimiter` class from the Spring Boot CLI command shell package. The test uses JUnit Jupiter annotations and assertions from AssertJ to verify that the delimiter correctly handles whitespace characters while respecting escape sequences. The complexity of the implementation is O(N), where N represents the number of</t>
        </is>
      </c>
      <c r="E2320" t="n">
        <v>0.0036</v>
      </c>
      <c r="F2320" t="n">
        <v>0.0571</v>
      </c>
      <c r="G2320" t="n">
        <v>0.1128</v>
      </c>
      <c r="H2320" t="inlineStr">
        <is>
          <t>The code implements escape-aware whitespace argument delimiters for JLine console completers in Spring Boot CLI commands. It includes tests for the implementation. The complexity is O(N) due to potential processing of input strings.</t>
        </is>
      </c>
      <c r="I2320" t="n">
        <v>0.0056</v>
      </c>
      <c r="J2320" t="n">
        <v>0.0465</v>
      </c>
      <c r="K2320" t="n">
        <v>0.0476</v>
      </c>
      <c r="L2320" t="inlineStr">
        <is>
          <t>This Java test class `EscapeAwareWhiteSpaceArgumentDelimiterTests` focuses on testing the functionality of the `EscapeAwareWhiteSpaceArgumentDelimiter` class within the Spring Boot CLI command shell package. The tests utilize JUnit Jupiter annotations and assert statements from AssertJ to verify that the delimiter correctly handles whitespace characters while respecting escape sequences.</t>
        </is>
      </c>
      <c r="M2320" t="n">
        <v>0.0053</v>
      </c>
      <c r="N2320" t="n">
        <v>0.1111</v>
      </c>
      <c r="O2320" t="n">
        <v>0.1271</v>
      </c>
    </row>
    <row r="2321">
      <c r="A2321" t="inlineStr">
        <is>
          <t>springboot</t>
        </is>
      </c>
      <c r="B2321" t="inlineStr">
        <is>
          <t>cli/spring-boot-cli/src/test/java/org/springframework/boot/cli/util/MockLog.java</t>
        </is>
      </c>
      <c r="C2321">
        <f>HYPERLINK("https://github.com/spring-projects/spring-boot/blob/master/cli/spring-boot-cli/src/test/java/org/springframework/boot/cli/util/MockLog.java")</f>
        <v/>
      </c>
      <c r="D2321" t="inlineStr">
        <is>
          <t>The `MockLog` interface provides a mock implementation of the `LogListener` interface for testing purposes. It includes methods to attach and detach the mock logger from the actual logging system using Mockito's mocking capabilities. The complexity of the code is O(1) as it involves simple method calls and does not involve any loops or recursive operations that would increase its time complexity.</t>
        </is>
      </c>
      <c r="E2321" t="n">
        <v>0.003</v>
      </c>
      <c r="F2321" t="n">
        <v>0.0563</v>
      </c>
      <c r="G2321" t="n">
        <v>0.1128</v>
      </c>
      <c r="H2321" t="inlineStr">
        <is>
          <t>This repository contains backend software components that implement core algorithms using Java interfaces like `MockLog`. The complexity is high due to the implementation of multiple methods within these interfaces.</t>
        </is>
      </c>
      <c r="I2321" t="n">
        <v>0.008500000000000001</v>
      </c>
      <c r="J2321" t="n">
        <v>0.2162</v>
      </c>
      <c r="K2321" t="n">
        <v>0.2475</v>
      </c>
      <c r="L2321" t="inlineStr">
        <is>
          <t>This Java interface `MockLog` provides a mock implementation of the `LogListener` interface for testing purposes. It includes methods to attach a mock instance as the current listener using `attach()` and to clear the listener using `clear()`. The class uses Mockito to create a mock object when attaching, allowing developers to simulate logging behavior during tests without affecting actual logs.</t>
        </is>
      </c>
      <c r="M2321" t="n">
        <v>0.0037</v>
      </c>
      <c r="N2321" t="n">
        <v>0.0896</v>
      </c>
      <c r="O2321" t="n">
        <v>0.1527</v>
      </c>
    </row>
    <row r="2322">
      <c r="A2322" t="inlineStr">
        <is>
          <t>springboot</t>
        </is>
      </c>
      <c r="B2322" t="inlineStr">
        <is>
          <t>buildpack/spring-boot-buildpack-platform/src/main/java/org/springframework/boot/buildpack/platform/io/TarArchive.java</t>
        </is>
      </c>
      <c r="C2322">
        <f>HYPERLINK("https://github.com/spring-projects/spring-boot/blob/master/buildpack/spring-boot-buildpack-platform/src/main/java/org/springframework/boot/buildpack/platform/io/TarArchive.java")</f>
        <v/>
      </c>
      <c r="D2322" t="inlineStr">
        <is>
          <t>The provided Java code defines utility classes for handling files and streams within a Spring Boot build pack platform environment. It includes methods for reading from and writing to files, as well as decompressing GZipped data using `GZIPInputStream`. The code is licensed under the Apache License 2.0 and is part of a larger project focused on building and deploying applications.</t>
        </is>
      </c>
      <c r="E2322" t="n">
        <v>0.003</v>
      </c>
      <c r="F2322" t="n">
        <v>0.029</v>
      </c>
      <c r="G2322" t="n">
        <v>0.07580000000000001</v>
      </c>
      <c r="H2322" t="inlineStr">
        <is>
          <t>The repository contains backend software components implementing core algorithms. The complexity is O(N), indicating linear time complexity, and it includes comments explaining the implementation. The code size is 1000 lines.</t>
        </is>
      </c>
      <c r="I2322" t="n">
        <v>0.008200000000000001</v>
      </c>
      <c r="J2322" t="n">
        <v>0.2051</v>
      </c>
      <c r="K2322" t="n">
        <v>0.3094</v>
      </c>
      <c r="L2322" t="inlineStr">
        <is>
          <t>This Java class provides utility methods for reading from and writing to files and streams, including handling GZIP compression. It includes methods for copying files, reading from input streams, writing to output streams, and decompressing GZipped data. The implementation focuses on efficient I/O operations and supports various data formats, making it suitable for building packager applications.</t>
        </is>
      </c>
      <c r="M2322" t="n">
        <v>0.0039</v>
      </c>
      <c r="N2322" t="n">
        <v>0.09229999999999999</v>
      </c>
      <c r="O2322" t="n">
        <v>0.1172</v>
      </c>
    </row>
    <row r="2323">
      <c r="A2323" t="inlineStr">
        <is>
          <t>springboot</t>
        </is>
      </c>
      <c r="B2323" t="inlineStr">
        <is>
          <t>buildpack/spring-boot-buildpack-platform/src/main/java/org/springframework/boot/buildpack/platform/io/package-info.java</t>
        </is>
      </c>
      <c r="C2323">
        <f>HYPERLINK("https://github.com/spring-projects/spring-boot/blob/master/buildpack/spring-boot-buildpack-platform/src/main/java/org/springframework/boot/buildpack/platform/io/package-info.java")</f>
        <v/>
      </c>
      <c r="D2323" t="inlineStr">
        <is>
          <t>The provided Java package `org.springframework.boot.buildpack.platform.io` includes utility classes and interfaces for handling input/output operations within Spring Boot build pack platform applications. The package uses the `@NullMarked` annotation from the JSPECIFY library to indicate that methods can return null values. The complexity of the implementation is O(N), indicating linear time complexity for certain operations. The README provides information about the</t>
        </is>
      </c>
      <c r="E2323" t="n">
        <v>0.0031</v>
      </c>
      <c r="F2323" t="n">
        <v>0.027</v>
      </c>
      <c r="G2323" t="n">
        <v>0.1145</v>
      </c>
      <c r="H2323" t="inlineStr">
        <is>
          <t>This repository contains backend software components that implement core algorithms. The complexity of these implementations is O(N), indicating linear time complexity relative to the input size.</t>
        </is>
      </c>
      <c r="I2323" t="n">
        <v>0.009599999999999999</v>
      </c>
      <c r="J2323" t="n">
        <v>0.2286</v>
      </c>
      <c r="K2323" t="n">
        <v>0.2041</v>
      </c>
      <c r="L2323" t="inlineStr">
        <is>
          <t>The `org.springframework.boot.buildpack.platform.io` package provides utility classes and interfaces for handling input/output operations within Spring Boot buildpacks. It includes support for reading from and writing to files, directories, and other resources efficiently. The package uses annotations like `@NullMarked` to indicate that certain methods can return null values, which helps in maintaining type safety.</t>
        </is>
      </c>
      <c r="M2323" t="n">
        <v>0.0035</v>
      </c>
      <c r="N2323" t="n">
        <v>0.0303</v>
      </c>
      <c r="O2323" t="n">
        <v>0.0806</v>
      </c>
    </row>
    <row r="2324">
      <c r="A2324" t="inlineStr">
        <is>
          <t>springboot</t>
        </is>
      </c>
      <c r="B2324" t="inlineStr">
        <is>
          <t>buildpack/spring-boot-buildpack-platform/src/main/java/org/springframework/boot/buildpack/platform/io/InspectedContent.java</t>
        </is>
      </c>
      <c r="C2324">
        <f>HYPERLINK("https://github.com/spring-projects/spring-boot/blob/master/buildpack/spring-boot-buildpack-platform/src/main/java/org/springframework/boot/buildpack/platform/io/InspectedContent.java")</f>
        <v/>
      </c>
      <c r="D2324" t="inlineStr">
        <is>
          <t>The provided Java code defines utility classes for reading from and writing to files using streams. It includes methods for copying files, creating directories, and managing input/output operations efficiently. The code uses `ByteArrayOutputStream` for handling byte data and provides basic assertions to ensure method parameters are valid. The complexity of the implementation is O(1) for most operations due to its straightforward nature.</t>
        </is>
      </c>
      <c r="E2324" t="n">
        <v>0.0029</v>
      </c>
      <c r="F2324" t="n">
        <v>0.0278</v>
      </c>
      <c r="G2324" t="n">
        <v>0.1119</v>
      </c>
      <c r="H2324" t="inlineStr">
        <is>
          <t>This repository contains backend software components that implement core algorithms. The complexity of these implementations is O(N), indicating linear time complexity relative to the size of the input data.</t>
        </is>
      </c>
      <c r="I2324" t="n">
        <v>0.008500000000000001</v>
      </c>
      <c r="J2324" t="n">
        <v>0.2105</v>
      </c>
      <c r="K2324" t="n">
        <v>0.198</v>
      </c>
      <c r="L2324" t="inlineStr">
        <is>
          <t>This Java class provides utility methods for reading from and writing to files using streams. It includes methods for copying files, reading entire files into byte arrays, and handling input/output exceptions gracefully. The class uses `ByteArrayOutputStream` for efficient concatenation of data when reading large files into memory.</t>
        </is>
      </c>
      <c r="M2324" t="n">
        <v>0.0046</v>
      </c>
      <c r="N2324" t="n">
        <v>0.07140000000000001</v>
      </c>
      <c r="O2324" t="n">
        <v>0.1261</v>
      </c>
    </row>
    <row r="2325">
      <c r="A2325" t="inlineStr">
        <is>
          <t>springboot</t>
        </is>
      </c>
      <c r="B2325" t="inlineStr">
        <is>
          <t>buildpack/spring-boot-buildpack-platform/src/main/java/org/springframework/boot/buildpack/platform/io/IOSupplier.java</t>
        </is>
      </c>
      <c r="C2325">
        <f>HYPERLINK("https://github.com/spring-projects/spring-boot/blob/master/buildpack/spring-boot-buildpack-platform/src/main/java/org/springframework/boot/buildpack/platform/io/IOSupplier.java")</f>
        <v/>
      </c>
      <c r="D2325" t="inlineStr">
        <is>
          <t>The provided Java code defines a functional interface `IOSupplier` which represents a supplier that can potentially throw an `IOException`. This interface includes a single method `get()` that returns the supplied value, but it throws an `IOException` if something goes wrong during the retrieval process. The purpose of this interface is to encapsulate operations that might fail due to I/O errors, allowing them to be handled gracefully</t>
        </is>
      </c>
      <c r="E2325" t="n">
        <v>0.0028</v>
      </c>
      <c r="F2325" t="n">
        <v>0.0267</v>
      </c>
      <c r="G2325" t="n">
        <v>0.0725</v>
      </c>
      <c r="H2325" t="inlineStr">
        <is>
          <t>This repository contains backend software components implementing core algorithms. The complexity of the implementation is O(N), indicating linear time complexity. Comments describe the implementation as core algorithms. There have been initial commits to set up the codebase. The total size of the code is 1000 lines.</t>
        </is>
      </c>
      <c r="I2325" t="n">
        <v>0.0053</v>
      </c>
      <c r="J2325" t="n">
        <v>0.1455</v>
      </c>
      <c r="K2325" t="n">
        <v>0.1695</v>
      </c>
      <c r="L2325" t="inlineStr">
        <is>
          <t>The `IOSupplier` interface defines a functional interface that provides a method to return a value while potentially throwing an `IOException`. It is used to encapsulate I/O operations that might fail, ensuring that any errors are handled gracefully without crashing the application. The interface is part of the Spring Boot build pack platform's I/O utilities package.</t>
        </is>
      </c>
      <c r="M2325" t="n">
        <v>0</v>
      </c>
      <c r="N2325" t="n">
        <v>0.0303</v>
      </c>
      <c r="O2325" t="n">
        <v>0.0394</v>
      </c>
    </row>
    <row r="2326">
      <c r="A2326" t="inlineStr">
        <is>
          <t>springboot</t>
        </is>
      </c>
      <c r="B2326" t="inlineStr">
        <is>
          <t>buildpack/spring-boot-buildpack-platform/src/main/java/org/springframework/boot/buildpack/platform/io/Owner.java</t>
        </is>
      </c>
      <c r="C2326">
        <f>HYPERLINK("https://github.com/spring-projects/spring-boot/blob/master/buildpack/spring-boot-buildpack-platform/src/main/java/org/springframework/boot/buildpack/platform/io/Owner.java")</f>
        <v/>
      </c>
      <c r="D2326" t="inlineStr">
        <is>
          <t>The provided Java code defines an `Owner` interface representing a user and group ID pair used to specify file ownership. It includes a static constant `ROOT` for indicating root ownership and methods to retrieve the user identifier (`getUid`) and group identifier (`getGid`). The complexity of the implementation is O(1), as it involves simple arithmetic operations.</t>
        </is>
      </c>
      <c r="E2326" t="n">
        <v>0.0033</v>
      </c>
      <c r="F2326" t="n">
        <v>0.0312</v>
      </c>
      <c r="G2326" t="n">
        <v>0.1181</v>
      </c>
      <c r="H2326" t="inlineStr">
        <is>
          <t>The repository contains backend software components implementing core algorithms. The complexity is O(N), indicating linear time complexity. The implementation includes comments explaining the purpose of each part. The code size is 1000 lines.</t>
        </is>
      </c>
      <c r="I2326" t="n">
        <v>0.0067</v>
      </c>
      <c r="J2326" t="n">
        <v>0.1429</v>
      </c>
      <c r="K2326" t="n">
        <v>0.1429</v>
      </c>
      <c r="L2326" t="inlineStr">
        <is>
          <t>This Java interface `Owner` defines a contract for representing file ownership using user and group IDs. It includes a static constant `ROOT` for indicating root ownership and methods to retrieve the user identifier (`getUid`). The class is part of Spring Boot's build pack platform library and is designed to facilitate handling file permissions and ownership management in applications.</t>
        </is>
      </c>
      <c r="M2326" t="n">
        <v>0.0037</v>
      </c>
      <c r="N2326" t="n">
        <v>0.0597</v>
      </c>
      <c r="O2326" t="n">
        <v>0.1154</v>
      </c>
    </row>
    <row r="2327">
      <c r="A2327" t="inlineStr">
        <is>
          <t>springboot</t>
        </is>
      </c>
      <c r="B2327" t="inlineStr">
        <is>
          <t>buildpack/spring-boot-buildpack-platform/src/main/java/org/springframework/boot/buildpack/platform/io/IOBiConsumer.java</t>
        </is>
      </c>
      <c r="C2327">
        <f>HYPERLINK("https://github.com/spring-projects/spring-boot/blob/master/buildpack/spring-boot-buildpack-platform/src/main/java/org/springframework/boot/buildpack/platform/io/IOBiConsumer.java")</f>
        <v/>
      </c>
      <c r="D2327" t="inlineStr">
        <is>
          <t>The provided Java code defines a functional interface `IOBiConsumer` which extends the standard `java.util.function.BiConsumer`. This interface is designed to handle operations that consume two parameters (`T` and `U`) and potentially throw `IOException`, ensuring safe exception handling within consumer logic. The purpose of this interface is to facilitate clean and efficient processing of I/O-related tasks where errors might occur during execution</t>
        </is>
      </c>
      <c r="E2327" t="n">
        <v>0.004</v>
      </c>
      <c r="F2327" t="n">
        <v>0.0822</v>
      </c>
      <c r="G2327" t="n">
        <v>0.1515</v>
      </c>
      <c r="H2327" t="inlineStr">
        <is>
          <t>The repository contains backend software components implementing core algorithms. Complexity is O(N), indicating linear time complexity. Comments describe the implementation details. The repository was initialized with the first commit. The total size of the codebase is 1000 lines.</t>
        </is>
      </c>
      <c r="I2327" t="n">
        <v>0.0058</v>
      </c>
      <c r="J2327" t="n">
        <v>0.1277</v>
      </c>
      <c r="K2327" t="n">
        <v>0.1364</v>
      </c>
      <c r="L2327" t="inlineStr">
        <is>
          <t>This Java functional interface `IOBiConsumer` defines a method to perform an operation on two types (`T` and `U`) while handling potential `IOExceptions`. It's part of Spring Boot's build pack platform library and is designed to be used in scenarios where I/O operations need to be performed safely within exception-handling contexts. The interface is marked as `@FunctionalInterface`, indicating it should</t>
        </is>
      </c>
      <c r="M2327" t="n">
        <v>0.0037</v>
      </c>
      <c r="N2327" t="n">
        <v>0.08450000000000001</v>
      </c>
      <c r="O2327" t="n">
        <v>0.1145</v>
      </c>
    </row>
    <row r="2328">
      <c r="A2328" t="inlineStr">
        <is>
          <t>springboot</t>
        </is>
      </c>
      <c r="B2328" t="inlineStr">
        <is>
          <t>buildpack/spring-boot-buildpack-platform/src/main/java/org/springframework/boot/buildpack/platform/io/FilePermissions.java</t>
        </is>
      </c>
      <c r="C2328">
        <f>HYPERLINK("https://github.com/spring-projects/spring-boot/blob/master/buildpack/spring-boot-buildpack-platform/src/main/java/org/springframework/boot/buildpack/platform/io/FilePermissions.java")</f>
        <v/>
      </c>
      <c r="D2328" t="inlineStr">
        <is>
          <t>The provided Java code defines utility methods for managing file permissions using the `java.nio.file` package. It includes functions to set POSIX file attributes such as read, write, execute permissions, and change ownership. The code also provides assertions to ensure that certain conditions are met before performing operations like setting permissions. This utility class is part of a larger project focused on building platform-specific applications, likely used in container</t>
        </is>
      </c>
      <c r="E2328" t="n">
        <v>0.0032</v>
      </c>
      <c r="F2328" t="n">
        <v>0.0506</v>
      </c>
      <c r="G2328" t="n">
        <v>0.1071</v>
      </c>
      <c r="H2328" t="inlineStr">
        <is>
          <t>This repository contains backend software components that implement core algorithms. The complexity of these implementations is O(N), indicating they scale linearly with input size. The code base has been initialized with the first commit.</t>
        </is>
      </c>
      <c r="I2328" t="n">
        <v>0.0072</v>
      </c>
      <c r="J2328" t="n">
        <v>0.186</v>
      </c>
      <c r="K2328" t="n">
        <v>0.1887</v>
      </c>
      <c r="L2328" t="inlineStr">
        <is>
          <t>This Java class provides utility methods for managing file permissions using POSIX attributes. It includes methods to set read, write, execute permissions, check if files have certain permissions, and handle exceptions related to file I/O operations. The utilities are designed to be used within Spring Boot build pack platform applications to ensure proper file access rights during deployment.</t>
        </is>
      </c>
      <c r="M2328" t="n">
        <v>0.0037</v>
      </c>
      <c r="N2328" t="n">
        <v>0.0597</v>
      </c>
      <c r="O2328" t="n">
        <v>0.1154</v>
      </c>
    </row>
    <row r="2329">
      <c r="A2329" t="inlineStr">
        <is>
          <t>springboot</t>
        </is>
      </c>
      <c r="B2329" t="inlineStr">
        <is>
          <t>buildpack/spring-boot-buildpack-platform/src/main/java/org/springframework/boot/buildpack/platform/io/Content.java</t>
        </is>
      </c>
      <c r="C2329">
        <f>HYPERLINK("https://github.com/spring-projects/spring-boot/blob/master/buildpack/spring-boot-buildpack-platform/src/main/java/org/springframework/boot/buildpack/platform/io/Content.java")</f>
        <v/>
      </c>
      <c r="D2329" t="inlineStr">
        <is>
          <t>The provided Java code defines utility classes for reading from and writing to files using various input/output streams. It includes methods for copying data between different sources and destinations, as well as handling byte arrays and standard character sets. The code is licensed under the Apache License 2.0 and is part of a larger project that manages buildpacks for Spring Boot applications.</t>
        </is>
      </c>
      <c r="E2329" t="n">
        <v>0.0029</v>
      </c>
      <c r="F2329" t="n">
        <v>0.0278</v>
      </c>
      <c r="G2329" t="n">
        <v>0.0746</v>
      </c>
      <c r="H2329" t="inlineStr">
        <is>
          <t>This repository contains backend software components implementing core algorithms. The complexity is O(N), indicating linear time complexity, which means the execution time grows proportionally with the input size. The comments describe the implementation of these algorithms. There have been multiple commits since the initial codebase was created, reflecting ongoing development and updates. The total code size is 1000 lines.</t>
        </is>
      </c>
      <c r="I2329" t="n">
        <v>0.0044</v>
      </c>
      <c r="J2329" t="n">
        <v>0.1471</v>
      </c>
      <c r="K2329" t="n">
        <v>0.1908</v>
      </c>
      <c r="L2329" t="inlineStr">
        <is>
          <t>The provided Java code defines utility methods for reading from and writing to files using various input/output streams. It includes methods for converting byte arrays to InputStreams and OutputStreams, copying data between streams, and handling file I/O operations efficiently. The code is part of a larger project that deals with building platform images, focusing on managing file resources during the build process.</t>
        </is>
      </c>
      <c r="M2329" t="n">
        <v>0.0029</v>
      </c>
      <c r="N2329" t="n">
        <v>0.0278</v>
      </c>
      <c r="O2329" t="n">
        <v>0.0746</v>
      </c>
    </row>
    <row r="2330">
      <c r="A2330" t="inlineStr">
        <is>
          <t>springboot</t>
        </is>
      </c>
      <c r="B2330" t="inlineStr">
        <is>
          <t>buildpack/spring-boot-buildpack-platform/src/main/java/org/springframework/boot/buildpack/platform/io/ZipFileTarArchive.java</t>
        </is>
      </c>
      <c r="C2330">
        <f>HYPERLINK("https://github.com/spring-projects/spring-boot/blob/master/buildpack/spring-boot-buildpack-platform/src/main/java/org/springframework/boot/buildpack/platform/io/ZipFileTarArchive.java")</f>
        <v/>
      </c>
      <c r="D2330" t="inlineStr">
        <is>
          <t>The provided Java code defines a class `TarArchiver` that uses the Apache Commons Compress library to create and manipulate tar archives. It includes methods for adding files to a tar archive, listing entries within it, and extracting files from it. The complexity of the implementation is O(N), where N represents the number of files being processed. The comments indicate that the code implements core algorithms related to handling</t>
        </is>
      </c>
      <c r="E2330" t="n">
        <v>0.0063</v>
      </c>
      <c r="F2330" t="n">
        <v>0.0519</v>
      </c>
      <c r="G2330" t="n">
        <v>0.2254</v>
      </c>
      <c r="H2330" t="inlineStr">
        <is>
          <t>The repository contains backend software components implementing core algorithms. The complexity is O(N), indicating linear time complexity for certain operations.</t>
        </is>
      </c>
      <c r="I2330" t="n">
        <v>0.0115</v>
      </c>
      <c r="J2330" t="n">
        <v>0.2069</v>
      </c>
      <c r="K2330" t="n">
        <v>0.2778</v>
      </c>
      <c r="L2330" t="inlineStr">
        <is>
          <t>The provided Java code defines utilities for reading from and writing to tar archives using the Apache Commons Compress library. It includes methods for creating a new tar archive, adding files to an existing tar archive, listing entries within a tar archive, and extracting individual files from a tar archive. The code supports both input streams and output streams for handling data efficiently.</t>
        </is>
      </c>
      <c r="M2330" t="n">
        <v>0.0029</v>
      </c>
      <c r="N2330" t="n">
        <v>0.0282</v>
      </c>
      <c r="O2330" t="n">
        <v>0.0741</v>
      </c>
    </row>
    <row r="2331">
      <c r="A2331" t="inlineStr">
        <is>
          <t>springboot</t>
        </is>
      </c>
      <c r="B2331" t="inlineStr">
        <is>
          <t>buildpack/spring-boot-buildpack-platform/src/main/java/org/springframework/boot/buildpack/platform/io/IOConsumer.java</t>
        </is>
      </c>
      <c r="C2331">
        <f>HYPERLINK("https://github.com/spring-projects/spring-boot/blob/master/buildpack/spring-boot-buildpack-platform/src/main/java/org/springframework/boot/buildpack/platform/io/IOConsumer.java")</f>
        <v/>
      </c>
      <c r="D2331" t="inlineStr">
        <is>
          <t>The provided Java code defines a functional interface `IOConsumer` which represents a consumer that can handle input of type `T` and potentially throw an `IOException`. The interface includes a single method `accept(T t)` that performs some action on the input object without throwing any checked exceptions. This design allows developers to work with I/O operations in a safe manner, as it abstracts away potential runtime errors</t>
        </is>
      </c>
      <c r="E2331" t="n">
        <v>0.0033</v>
      </c>
      <c r="F2331" t="n">
        <v>0.0526</v>
      </c>
      <c r="G2331" t="n">
        <v>0.1087</v>
      </c>
      <c r="H2331" t="inlineStr">
        <is>
          <t>The code defines a functional interface `IOConsumer` that represents an action that can be performed on an object without throwing checked exceptions. It includes comments explaining its purpose and usage, as well as metadata about its complexity, size, and license information. The README provides details about the project's content and structure.</t>
        </is>
      </c>
      <c r="I2331" t="n">
        <v>0.0036</v>
      </c>
      <c r="J2331" t="n">
        <v>0.0667</v>
      </c>
      <c r="K2331" t="n">
        <v>0.0813</v>
      </c>
      <c r="L2331" t="inlineStr">
        <is>
          <t>The `IOConsumer` functional interface defines a method `accept(T t)` that takes an object of type `T` as input and performs some action without throwing checked `IOException`. It is designed to be used in scenarios where I/O operations might fail, allowing consumers to handle such exceptions gracefully. The interface is part of Spring Boot's platform buildpacks package and is intended for safe handling of I</t>
        </is>
      </c>
      <c r="M2331" t="n">
        <v>0.0028</v>
      </c>
      <c r="N2331" t="n">
        <v>0.0533</v>
      </c>
      <c r="O2331" t="n">
        <v>0.0735</v>
      </c>
    </row>
    <row r="2332">
      <c r="A2332" t="inlineStr">
        <is>
          <t>springboot</t>
        </is>
      </c>
      <c r="B2332" t="inlineStr">
        <is>
          <t>buildpack/spring-boot-buildpack-platform/src/main/java/org/springframework/boot/buildpack/platform/io/Layout.java</t>
        </is>
      </c>
      <c r="C2332">
        <f>HYPERLINK("https://github.com/spring-projects/spring-boot/blob/master/buildpack/spring-boot-buildpack-platform/src/main/java/org/springframework/boot/buildpack/platform/io/Layout.java")</f>
        <v/>
      </c>
      <c r="D2332" t="inlineStr">
        <is>
          <t>The provided Java code defines an `Interface` named `Layout`. This interface is designed to represent a mechanism for writing a file or directory structure. It includes a method `addDirectory` which takes two parameters: `name`, representing the full path of the directory to be added, and `owner`, indicating the ownership details of the directory. The purpose of this interface is to allow developers to define how</t>
        </is>
      </c>
      <c r="E2332" t="n">
        <v>0.0033</v>
      </c>
      <c r="F2332" t="n">
        <v>0.0548</v>
      </c>
      <c r="G2332" t="n">
        <v>0.073</v>
      </c>
      <c r="H2332" t="inlineStr">
        <is>
          <t>The repository contains backend software components implementing core algorithms. The complexity is O(N), indicating linear time complexity, and it includes comments explaining the implementation details. The commits indicate the initial creation of the codebase. The total size of the code is 1000 lines.</t>
        </is>
      </c>
      <c r="I2332" t="n">
        <v>0.0056</v>
      </c>
      <c r="J2332" t="n">
        <v>0.1538</v>
      </c>
      <c r="K2332" t="n">
        <v>0.1739</v>
      </c>
      <c r="L2332" t="inlineStr">
        <is>
          <t>The `Layout` interface provides methods to write a file or directory structure, allowing developers to define how files should be organized within a build pack context. It includes methods for adding directories and handling exceptions related to I/O operations. The implementation complexity is O(N), where N represents the number of operations performed.</t>
        </is>
      </c>
      <c r="M2332" t="n">
        <v>0.0035</v>
      </c>
      <c r="N2332" t="n">
        <v>0.0323</v>
      </c>
      <c r="O2332" t="n">
        <v>0.0806</v>
      </c>
    </row>
    <row r="2333">
      <c r="A2333" t="inlineStr">
        <is>
          <t>springboot</t>
        </is>
      </c>
      <c r="B2333" t="inlineStr">
        <is>
          <t>buildpack/spring-boot-buildpack-platform/src/main/java/org/springframework/boot/buildpack/platform/io/TarLayoutWriter.java</t>
        </is>
      </c>
      <c r="C2333">
        <f>HYPERLINK("https://github.com/spring-projects/spring-boot/blob/master/buildpack/spring-boot-buildpack-platform/src/main/java/org/springframework/boot/buildpack/platform/io/TarLayoutWriter.java")</f>
        <v/>
      </c>
      <c r="D2333" t="inlineStr">
        <is>
          <t>The provided Java code defines a class `TarWriter` that extends `Closeable`. It uses the Apache Commons Compress library to create a tar archive. The class provides methods to add files to the archive, close it properly, and handle exceptions during operations. The complexity of the implementation is O(N), where N represents the number of files being added to the archive.</t>
        </is>
      </c>
      <c r="E2333" t="n">
        <v>0.003</v>
      </c>
      <c r="F2333" t="n">
        <v>0.029</v>
      </c>
      <c r="G2333" t="n">
        <v>0.1136</v>
      </c>
      <c r="H2333" t="inlineStr">
        <is>
          <t>This repository contains backend software components that implement core algorithms. The complexity of the implementation is O(N), indicating linear time complexity. The comments provide details about the implementation process, while the commits document the initial creation of the codebase. The total size of the codebase is 1000 lines.</t>
        </is>
      </c>
      <c r="I2333" t="n">
        <v>0.005</v>
      </c>
      <c r="J2333" t="n">
        <v>0.1404</v>
      </c>
      <c r="K2333" t="n">
        <v>0.1667</v>
      </c>
      <c r="L2333" t="inlineStr">
        <is>
          <t>The provided Java code defines a class `TarArchiver` within the `org.springframework.boot.buildpack.platform.io` package that encapsulates functionality for creating tar archives using the Apache Commons Compress library. The class provides methods to add files to a tar archive, close the stream, and handle exceptions related to I/O operations. It uses `TarArchiveOutputStream` to write entries to a tar archive,</t>
        </is>
      </c>
      <c r="M2333" t="n">
        <v>0.0039</v>
      </c>
      <c r="N2333" t="n">
        <v>0.0571</v>
      </c>
      <c r="O2333" t="n">
        <v>0.0781</v>
      </c>
    </row>
    <row r="2334">
      <c r="A2334" t="inlineStr">
        <is>
          <t>springboot</t>
        </is>
      </c>
      <c r="B2334" t="inlineStr">
        <is>
          <t>buildpack/spring-boot-buildpack-platform/src/main/java/org/springframework/boot/buildpack/platform/io/DefaultOwner.java</t>
        </is>
      </c>
      <c r="C2334">
        <f>HYPERLINK("https://github.com/spring-projects/spring-boot/blob/master/buildpack/spring-boot-buildpack-platform/src/main/java/org/springframework/boot/buildpack/platform/io/DefaultOwner.java")</f>
        <v/>
      </c>
      <c r="D2334" t="inlineStr">
        <is>
          <t>The provided Java class `DefaultOwner` implements the `Owner` interface from the Spring Boot build pack platform library. It represents an owner with user ID (`uid`) and group ID (`gid`). The constructor initializes these values, and the `getUid()` method returns the user ID. This class is part of the platform's internal utilities for handling file ownership information.</t>
        </is>
      </c>
      <c r="E2334" t="n">
        <v>0.0043</v>
      </c>
      <c r="F2334" t="n">
        <v>0.0615</v>
      </c>
      <c r="G2334" t="n">
        <v>0.1563</v>
      </c>
      <c r="H2334" t="inlineStr">
        <is>
          <t>This repository contains backend software components implementing core algorithms. The complexity is O(N), indicating linear time complexity. The README provides information about the project's purpose and structure.</t>
        </is>
      </c>
      <c r="I2334" t="n">
        <v>0.009900000000000001</v>
      </c>
      <c r="J2334" t="n">
        <v>0.2703</v>
      </c>
      <c r="K2334" t="n">
        <v>0.3758</v>
      </c>
      <c r="L2334" t="inlineStr">
        <is>
          <t>The `DefaultOwner` class provides a default implementation of the `Owner` interface, which represents ownership details such as user ID (`uid`) and group ID (`gid`). The constructor initializes these values, and the `getUid()` method returns the user ID. This class is part of a larger system designed to handle platform-specific I/O operations using Spring Boot build pack conventions.</t>
        </is>
      </c>
      <c r="M2334" t="n">
        <v>0.0038</v>
      </c>
      <c r="N2334" t="n">
        <v>0.0597</v>
      </c>
      <c r="O2334" t="n">
        <v>0.155</v>
      </c>
    </row>
    <row r="2335">
      <c r="A2335" t="inlineStr">
        <is>
          <t>springboot</t>
        </is>
      </c>
      <c r="B2335" t="inlineStr">
        <is>
          <t>buildpack/spring-boot-buildpack-platform/src/main/java/org/springframework/boot/buildpack/platform/system/package-info.java</t>
        </is>
      </c>
      <c r="C2335">
        <f>HYPERLINK("https://github.com/spring-projects/spring-boot/blob/master/buildpack/spring-boot-buildpack-platform/src/main/java/org/springframework/boot/buildpack/platform/system/package-info.java")</f>
        <v/>
      </c>
      <c r="D2335" t="inlineStr">
        <is>
          <t>The provided Java code defines a package named `org.springframework.boot.buildpack.platform.system` that includes system abstraction classes. The package uses the `@NullMarked` annotation from the `jspecify` library to indicate that certain methods can return null values. The complexity of the implementation is O(N), indicating linear time complexity based on input size N. The comments describe the purpose of the package as</t>
        </is>
      </c>
      <c r="E2335" t="n">
        <v>0</v>
      </c>
      <c r="F2335" t="n">
        <v>0.0278</v>
      </c>
      <c r="G2335" t="n">
        <v>0.0769</v>
      </c>
      <c r="H2335" t="inlineStr">
        <is>
          <t>This repository contains backend software components that implement core algorithms. The complexity of the implementation is O(N), indicating linear time complexity relative to the input size.</t>
        </is>
      </c>
      <c r="I2335" t="n">
        <v>0.009599999999999999</v>
      </c>
      <c r="J2335" t="n">
        <v>0.2286</v>
      </c>
      <c r="K2335" t="n">
        <v>0.2041</v>
      </c>
      <c r="L2335" t="inlineStr">
        <is>
          <t>This Java package provides system abstraction classes that help manage platform-specific details such as environment variables, operating system processes, and filesystem paths. The `@NullMarked` annotation indicates that methods can return null values, which helps prevent NullPointerExceptions when dealing with potentially empty data structures.</t>
        </is>
      </c>
      <c r="M2335" t="n">
        <v>0.0051</v>
      </c>
      <c r="N2335" t="n">
        <v>0.0769</v>
      </c>
      <c r="O2335" t="n">
        <v>0.08699999999999999</v>
      </c>
    </row>
    <row r="2336">
      <c r="A2336" t="inlineStr">
        <is>
          <t>springboot</t>
        </is>
      </c>
      <c r="B2336" t="inlineStr">
        <is>
          <t>buildpack/spring-boot-buildpack-platform/src/main/java/org/springframework/boot/buildpack/platform/system/Environment.java</t>
        </is>
      </c>
      <c r="C2336">
        <f>HYPERLINK("https://github.com/spring-projects/spring-boot/blob/master/buildpack/spring-boot-buildpack-platform/src/main/java/org/springframework/boot/buildpack/platform/system/Environment.java")</f>
        <v/>
      </c>
      <c r="D2336" t="inlineStr">
        <is>
          <t>The provided Java code defines an `Environment` interface that provides methods to retrieve environment variables using their keys. The interface includes a method `get(String key)` which returns the value associated with the specified key as a string. If the key does not exist, it returns null. This interface is annotated with `@Nullable`, indicating that the return type can be null. It also uses JSpecify annotations to</t>
        </is>
      </c>
      <c r="E2336" t="n">
        <v>0.0028</v>
      </c>
      <c r="F2336" t="n">
        <v>0.0267</v>
      </c>
      <c r="G2336" t="n">
        <v>0.0725</v>
      </c>
      <c r="H2336" t="inlineStr">
        <is>
          <t>This repository contains backend software components that implement core algorithms. The complexity of these implementations is O(N), indicating they scale linearly with input size. The comments provide detailed explanations of each algorithm's purpose and functionality. The commits include an initial codebase commit, marking the beginning of development. The total code size is 1000 lines, reflecting the comprehensive nature of the project.</t>
        </is>
      </c>
      <c r="I2336" t="n">
        <v>0.0042</v>
      </c>
      <c r="J2336" t="n">
        <v>0.1408</v>
      </c>
      <c r="K2336" t="n">
        <v>0.188</v>
      </c>
      <c r="L2336" t="inlineStr">
        <is>
          <t>The `Environment` interface provides access to system environment variables using Java's built-in `System.getenv()` method. It includes a functional interface annotation (`@FunctionalInterface`) indicating that it can be implemented as a lambda expression or method reference. The class is part of Spring Boot's build pack platform and is designed to simplify interaction with environment variables within application environments.</t>
        </is>
      </c>
      <c r="M2336" t="n">
        <v>0.0033</v>
      </c>
      <c r="N2336" t="n">
        <v>0.0588</v>
      </c>
      <c r="O2336" t="n">
        <v>0.1172</v>
      </c>
    </row>
    <row r="2337">
      <c r="A2337" t="inlineStr">
        <is>
          <t>springboot</t>
        </is>
      </c>
      <c r="B2337" t="inlineStr">
        <is>
          <t>buildpack/spring-boot-buildpack-platform/src/main/java/org/springframework/boot/buildpack/platform/build/BuildpackResolver.java</t>
        </is>
      </c>
      <c r="C2337">
        <f>HYPERLINK("https://github.com/spring-projects/spring-boot/blob/master/buildpack/spring-boot-buildpack-platform/src/main/java/org/springframework/boot/buildpack/platform/build/BuildpackResolver.java")</f>
        <v/>
      </c>
      <c r="D2337" t="inlineStr">
        <is>
          <t>The provided Java code defines an `Interface` named `BuildpackResolver`. This interface is part of a larger system designed to manage buildpacks during the bootstrapping process of Spring Boot applications. The primary responsibility of `BuildpackResolver` is to take a `BuildpackReference` as input and attempt to resolve it into a corresponding `Buildpack`.
Key points about the code:
1.</t>
        </is>
      </c>
      <c r="E2337" t="n">
        <v>0.0039</v>
      </c>
      <c r="F2337" t="n">
        <v>0.0625</v>
      </c>
      <c r="G2337" t="n">
        <v>0.1172</v>
      </c>
      <c r="H2337" t="inlineStr">
        <is>
          <t>This repository contains backend software components that implement core algorithms. The complexity of these implementations is O(N), indicating linear time complexity relative to the size of the input data. The code has been committed initially and includes comments explaining its implementation details. The total size of the codebase is 1000 lines.</t>
        </is>
      </c>
      <c r="I2337" t="n">
        <v>0.0051</v>
      </c>
      <c r="J2337" t="n">
        <v>0.1667</v>
      </c>
      <c r="K2337" t="n">
        <v>0.2033</v>
      </c>
      <c r="L2337" t="inlineStr">
        <is>
          <t>The `BuildpackResolver` interface defines a strategy for resolving a `BuildpackReference` to a `Buildpack`. It provides a method `resolve(BuildpackReference reference)` that attempts to find and return the corresponding buildpack based on the reference provided. The implementation details are abstracted within the interface, allowing different strategies to be implemented as needed.</t>
        </is>
      </c>
      <c r="M2337" t="n">
        <v>0.0037</v>
      </c>
      <c r="N2337" t="n">
        <v>0.0345</v>
      </c>
      <c r="O2337" t="n">
        <v>0.08260000000000001</v>
      </c>
    </row>
    <row r="2338">
      <c r="A2338" t="inlineStr">
        <is>
          <t>springboot</t>
        </is>
      </c>
      <c r="B2338" t="inlineStr">
        <is>
          <t>buildpack/spring-boot-buildpack-platform/src/main/java/org/springframework/boot/buildpack/platform/build/BuildLog.java</t>
        </is>
      </c>
      <c r="C2338">
        <f>HYPERLINK("https://github.com/spring-projects/spring-boot/blob/master/buildpack/spring-boot-buildpack-platform/src/main/java/org/springframework/boot/buildpack/platform/build/BuildLog.java")</f>
        <v/>
      </c>
      <c r="D2338" t="inlineStr">
        <is>
          <t>The provided Java code defines a class `BuildService` within the package `org.springframework.boot.buildpack.platform.build`. This class appears to be responsible for managing build processes using Docker images. It includes methods for logging updates during the build process and interacting with image platforms. The code uses annotations from the JSPECIFY library to indicate nullable parameters. The complexity of the implementation is O(N), suggesting it involves</t>
        </is>
      </c>
      <c r="E2338" t="n">
        <v>0.0035</v>
      </c>
      <c r="F2338" t="n">
        <v>0.0526</v>
      </c>
      <c r="G2338" t="n">
        <v>0.1493</v>
      </c>
      <c r="H2338" t="inlineStr">
        <is>
          <t>This repository contains backend software components that implement core algorithms. The complexity of the implementation is O(N), indicating linear time complexity.</t>
        </is>
      </c>
      <c r="I2338" t="n">
        <v>0.012</v>
      </c>
      <c r="J2338" t="n">
        <v>0.2667</v>
      </c>
      <c r="K2338" t="n">
        <v>0.2151</v>
      </c>
      <c r="L2338" t="inlineStr">
        <is>
          <t>This Java class provides a method `build` that takes a `PrintStream`, an `ImagePlatform`, and a consumer function as parameters. It builds Docker images using the specified platform and logs updates through the given print stream. The method handles log events from the build process and applies any necessary transformations before printing them.</t>
        </is>
      </c>
      <c r="M2338" t="n">
        <v>0.0042</v>
      </c>
      <c r="N2338" t="n">
        <v>0.1</v>
      </c>
      <c r="O2338" t="n">
        <v>0.121</v>
      </c>
    </row>
    <row r="2339">
      <c r="A2339" t="inlineStr">
        <is>
          <t>springboot</t>
        </is>
      </c>
      <c r="B2339" t="inlineStr">
        <is>
          <t>buildpack/spring-boot-buildpack-platform/src/main/java/org/springframework/boot/buildpack/platform/build/BuildpackReference.java</t>
        </is>
      </c>
      <c r="C2339">
        <f>HYPERLINK("https://github.com/spring-projects/spring-boot/blob/master/buildpack/spring-boot-buildpack-platform/src/main/java/org/springframework/boot/buildpack/platform/build/BuildpackReference.java")</f>
        <v/>
      </c>
      <c r="D2339" t="inlineStr">
        <is>
          <t>The provided Java code defines a class `BuildpackReference` that represents an opaque reference to a buildpack. It includes methods to construct a URL from a path and validate the format of the buildpack's name. The class uses annotations like `@Nullable` to indicate optional parameters and `@Deprecated` to mark certain methods as deprecated. The code also imports necessary classes such as `URL`, `</t>
        </is>
      </c>
      <c r="E2339" t="n">
        <v>0.0029</v>
      </c>
      <c r="F2339" t="n">
        <v>0.0286</v>
      </c>
      <c r="G2339" t="n">
        <v>0.0746</v>
      </c>
      <c r="H2339" t="inlineStr">
        <is>
          <t>This repository contains backend software components that implement core algorithms. The complexity is O(N), indicating linear time complexity in relation to input size. The implementation includes various classes and methods designed to perform complex operations efficiently.</t>
        </is>
      </c>
      <c r="I2339" t="n">
        <v>0.0073</v>
      </c>
      <c r="J2339" t="n">
        <v>0.2222</v>
      </c>
      <c r="K2339" t="n">
        <v>0.2315</v>
      </c>
      <c r="L2339" t="inlineStr">
        <is>
          <t>This class represents an opaque reference to a buildpack, providing methods to construct and manipulate URLs related to buildpacks. It includes validation checks to ensure that the URL is well-formed before being used. The class uses Java's `URL` class and handles potential exceptions such as malformed URIs.</t>
        </is>
      </c>
      <c r="M2339" t="n">
        <v>0.0046</v>
      </c>
      <c r="N2339" t="n">
        <v>0.0702</v>
      </c>
      <c r="O2339" t="n">
        <v>0.1261</v>
      </c>
    </row>
    <row r="2340">
      <c r="A2340" t="inlineStr">
        <is>
          <t>springboot</t>
        </is>
      </c>
      <c r="B2340" t="inlineStr">
        <is>
          <t>buildpack/spring-boot-buildpack-platform/src/main/java/org/springframework/boot/buildpack/platform/build/BuildpackResolverContext.java</t>
        </is>
      </c>
      <c r="C2340">
        <f>HYPERLINK("https://github.com/spring-projects/spring-boot/blob/master/buildpack/spring-boot-buildpack-platform/src/main/java/org/springframework/boot/buildpack/platform/build/BuildpackResolverContext.java")</f>
        <v/>
      </c>
      <c r="D2340" t="inlineStr">
        <is>
          <t>The provided Java code defines a class `BuildService` within the package `org.springframework.boot.buildpack.platform.build`. This service is responsible for building Docker images based on specified configurations. The class includes methods such as `buildImage`, which takes an image reference and a list of build steps, and executes these steps to create the final image. It also handles input/output operations using an `IOBiConsumer</t>
        </is>
      </c>
      <c r="E2340" t="n">
        <v>0.0037</v>
      </c>
      <c r="F2340" t="n">
        <v>0.0548</v>
      </c>
      <c r="G2340" t="n">
        <v>0.1145</v>
      </c>
      <c r="H2340" t="inlineStr">
        <is>
          <t>The repository contains backend software components implementing core algorithms. Complexity is O(N), indicating linear time complexity. The README provides information about the project's purpose and structure.</t>
        </is>
      </c>
      <c r="I2340" t="n">
        <v>0.009599999999999999</v>
      </c>
      <c r="J2340" t="n">
        <v>0.2222</v>
      </c>
      <c r="K2340" t="n">
        <v>0.3221</v>
      </c>
      <c r="L2340" t="inlineStr">
        <is>
          <t>The provided code defines a class `BuildService` within the `org.springframework.boot.buildpack.platform.build` package that handles the building process for Spring Boot applications using Docker images. The service processes input configurations, builds Docker images based on these configurations, and manages image references and dependencies. It includes methods for creating and managing build contexts, as well as handling output streams during the build process. The code complexity</t>
        </is>
      </c>
      <c r="M2340" t="n">
        <v>0.0029</v>
      </c>
      <c r="N2340" t="n">
        <v>0.0263</v>
      </c>
      <c r="O2340" t="n">
        <v>0.0741</v>
      </c>
    </row>
    <row r="2341">
      <c r="A2341" t="inlineStr">
        <is>
          <t>springboot</t>
        </is>
      </c>
      <c r="B2341" t="inlineStr">
        <is>
          <t>buildpack/spring-boot-buildpack-platform/src/main/java/org/springframework/boot/buildpack/platform/build/Buildpack.java</t>
        </is>
      </c>
      <c r="C2341">
        <f>HYPERLINK("https://github.com/spring-projects/spring-boot/blob/master/buildpack/spring-boot-buildpack-platform/src/main/java/org/springframework/boot/buildpack/platform/build/Buildpack.java")</f>
        <v/>
      </c>
      <c r="D2341" t="inlineStr">
        <is>
          <t>The provided Java interface `Buildpack` defines the contract for buildpacks that can be executed during the image-building process using Spring Boot's build pack platform. It includes methods for resolving dependencies and executing layers within the Docker container. The interface extends `IOConsumer&lt;Layer&gt;`, allowing it to consume layer objects as input. This setup facilitates the integration of various buildpack functionalities into the overall build pipeline</t>
        </is>
      </c>
      <c r="E2341" t="n">
        <v>0.0034</v>
      </c>
      <c r="F2341" t="n">
        <v>0.0541</v>
      </c>
      <c r="G2341" t="n">
        <v>0.1111</v>
      </c>
      <c r="H2341" t="inlineStr">
        <is>
          <t>The code defines an interface `Buildpack` that represents a buildpack used during Docker image building. It includes methods for resolving dependencies and processing layers. The README describes the project as containing backend software components and provides details about its complexity, comments, commits, and size.</t>
        </is>
      </c>
      <c r="I2341" t="n">
        <v>0.005</v>
      </c>
      <c r="J2341" t="n">
        <v>0.0769</v>
      </c>
      <c r="K2341" t="n">
        <v>0.1293</v>
      </c>
      <c r="L2341" t="inlineStr">
        <is>
          <t>This Java interface defines a contract for buildpacks that can be executed by the Spring Boot Buildpack Platform during the image-building process. It includes methods for resolving dependencies and applying layers to the Docker image. The interface is part of the platform's infrastructure and is used to integrate various buildpack functionalities into the overall build pipeline.</t>
        </is>
      </c>
      <c r="M2341" t="n">
        <v>0.0039</v>
      </c>
      <c r="N2341" t="n">
        <v>0.0606</v>
      </c>
      <c r="O2341" t="n">
        <v>0.1172</v>
      </c>
    </row>
    <row r="2342">
      <c r="A2342" t="inlineStr">
        <is>
          <t>springboot</t>
        </is>
      </c>
      <c r="B2342" t="inlineStr">
        <is>
          <t>buildpack/spring-boot-buildpack-platform/src/main/java/org/springframework/boot/buildpack/platform/build/ImageType.java</t>
        </is>
      </c>
      <c r="C2342">
        <f>HYPERLINK("https://github.com/spring-projects/spring-boot/blob/master/buildpack/spring-boot-buildpack-platform/src/main/java/org/springframework/boot/buildpack/platform/build/ImageType.java")</f>
        <v/>
      </c>
      <c r="D2342" t="inlineStr">
        <is>
          <t>The provided Java code defines an enumeration `ImageType` that represents different types of images used in Spring Boot buildpacks. The enum includes three constants: BUILDER, RUNNER, and BUILDPACK, each associated with a descriptive string indicating its purpose. This enumeration is likely part of a larger system designed to manage and interact with various types of Docker images during the build process of Spring Boot applications using</t>
        </is>
      </c>
      <c r="E2342" t="n">
        <v>0.0033</v>
      </c>
      <c r="F2342" t="n">
        <v>0.0541</v>
      </c>
      <c r="G2342" t="n">
        <v>0.1087</v>
      </c>
      <c r="H2342" t="inlineStr">
        <is>
          <t>The repository contains backend software components that implement core algorithms. The complexity of the implementation is O(N), indicating linear time complexity.</t>
        </is>
      </c>
      <c r="I2342" t="n">
        <v>0.0109</v>
      </c>
      <c r="J2342" t="n">
        <v>0.2</v>
      </c>
      <c r="K2342" t="n">
        <v>0.1613</v>
      </c>
      <c r="L2342" t="inlineStr">
        <is>
          <t>The `ImageType` enum defines three types of images used in Spring Boot buildpacks: builder, runner, and buildpack itself. Each type has a descriptive string that explains its role in the build process.</t>
        </is>
      </c>
      <c r="M2342" t="n">
        <v>0.0058</v>
      </c>
      <c r="N2342" t="n">
        <v>0.05</v>
      </c>
      <c r="O2342" t="n">
        <v>0.09619999999999999</v>
      </c>
    </row>
    <row r="2343">
      <c r="A2343" t="inlineStr">
        <is>
          <t>springboot</t>
        </is>
      </c>
      <c r="B2343" t="inlineStr">
        <is>
          <t>buildpack/spring-boot-buildpack-platform/src/main/java/org/springframework/boot/buildpack/platform/build/PrintStreamBuildLog.java</t>
        </is>
      </c>
      <c r="C2343">
        <f>HYPERLINK("https://github.com/spring-projects/spring-boot/blob/master/buildpack/spring-boot-buildpack-platform/src/main/java/org/springframework/boot/buildpack/platform/build/PrintStreamBuildLog.java")</f>
        <v/>
      </c>
      <c r="D2343" t="inlineStr">
        <is>
          <t>The provided Java code defines a class `BuildLog` that implements the `Consumer&lt;TotalProgressEvent&gt;` interface. This class is designed to print build logs to a specified `PrintStream`. It uses a `TotalProgressBar` to track progress events and updates the log accordingly. The class provides methods to handle different types of progress events such as start, update, and completion. Overall, it serves as</t>
        </is>
      </c>
      <c r="E2343" t="n">
        <v>0.0041</v>
      </c>
      <c r="F2343" t="n">
        <v>0.0588</v>
      </c>
      <c r="G2343" t="n">
        <v>0.1527</v>
      </c>
      <c r="H2343" t="inlineStr">
        <is>
          <t>Implements a `BuildLog` class that outputs build logs to a specified `PrintStream`. Uses a total progress bar from Docker to track progress events. Complexity is O(N) due to potential processing of multiple log entries.</t>
        </is>
      </c>
      <c r="I2343" t="n">
        <v>0</v>
      </c>
      <c r="J2343" t="n">
        <v>0.0465</v>
      </c>
      <c r="K2343" t="n">
        <v>0.09429999999999999</v>
      </c>
      <c r="L2343" t="inlineStr">
        <is>
          <t>This Java class implements a `BuildLog` interface that prints build logs to a specified `PrintStream`. It uses a `TotalProgressBar` to track progress events and updates the print stream accordingly. The class handles various types of log messages such as informational, warning, error, and total progress updates.</t>
        </is>
      </c>
      <c r="M2343" t="n">
        <v>0.0053</v>
      </c>
      <c r="N2343" t="n">
        <v>0.1111</v>
      </c>
      <c r="O2343" t="n">
        <v>0.1695</v>
      </c>
    </row>
    <row r="2344">
      <c r="A2344" t="inlineStr">
        <is>
          <t>springboot</t>
        </is>
      </c>
      <c r="B2344" t="inlineStr">
        <is>
          <t>buildpack/spring-boot-buildpack-platform/src/main/java/org/springframework/boot/buildpack/platform/build/package-info.java</t>
        </is>
      </c>
      <c r="C2344">
        <f>HYPERLINK("https://github.com/spring-projects/spring-boot/blob/master/buildpack/spring-boot-buildpack-platform/src/main/java/org/springframework/boot/buildpack/platform/build/package-info.java")</f>
        <v/>
      </c>
      <c r="D2344" t="inlineStr">
        <is>
          <t>The provided Java code defines a package `org.springframework.boot.buildpack.platform.build` that serves as the central API for executing a buildpack-based build process. The package includes annotations from the JSPECIFY library to indicate nullability. The complexity of the implementation is O(N), where N represents the number of elements involved in the build process. The comments within the code describe its purpose and provide context about</t>
        </is>
      </c>
      <c r="E2344" t="n">
        <v>0.0029</v>
      </c>
      <c r="F2344" t="n">
        <v>0.0519</v>
      </c>
      <c r="G2344" t="n">
        <v>0.0746</v>
      </c>
      <c r="H2344" t="inlineStr">
        <is>
          <t>This repository contains backend software components implementing core algorithms. The complexity of the implementation is O(N).</t>
        </is>
      </c>
      <c r="I2344" t="n">
        <v>0.0162</v>
      </c>
      <c r="J2344" t="n">
        <v>0.32</v>
      </c>
      <c r="K2344" t="n">
        <v>0.2273</v>
      </c>
      <c r="L2344" t="inlineStr">
        <is>
          <t>This package provides a central API for executing buildpack builds using Spring Boot's platform capabilities. It includes classes that handle various aspects of building applications from source code into runnable artifacts. The `Build` class manages the entire process, including downloading necessary dependencies, running buildpacks, and packaging the application.</t>
        </is>
      </c>
      <c r="M2344" t="n">
        <v>0.0045</v>
      </c>
      <c r="N2344" t="n">
        <v>0.0702</v>
      </c>
      <c r="O2344" t="n">
        <v>0.125</v>
      </c>
    </row>
    <row r="2345">
      <c r="A2345" t="inlineStr">
        <is>
          <t>springboot</t>
        </is>
      </c>
      <c r="B2345" t="inlineStr">
        <is>
          <t>buildpack/spring-boot-buildpack-platform/src/main/java/org/springframework/boot/buildpack/platform/build/BuilderException.java</t>
        </is>
      </c>
      <c r="C2345">
        <f>HYPERLINK("https://github.com/spring-projects/spring-boot/blob/master/buildpack/spring-boot-buildpack-platform/src/main/java/org/springframework/boot/buildpack/platform/build/BuilderException.java")</f>
        <v/>
      </c>
      <c r="D2345" t="inlineStr">
        <is>
          <t>The provided Java code defines a custom exception called `BuilderException` that extends `RuntimeException`. This exception is used to handle errors related to building processes within Spring Boot build platforms. It includes fields for storing an optional operation description (`operation`) and a status code (`s`). The exception provides a constructor that allows specifying both parameters, as well as default constructors without any arguments. The comments in the code describe</t>
        </is>
      </c>
      <c r="E2345" t="n">
        <v>0.0032</v>
      </c>
      <c r="F2345" t="n">
        <v>0.0526</v>
      </c>
      <c r="G2345" t="n">
        <v>0.1071</v>
      </c>
      <c r="H2345" t="inlineStr">
        <is>
          <t>This repository contains backend software components that implement core algorithms. The complexity of these implementations is O(N), indicating linear time performance relative to input size. The code base has been initialized with basic structure and comments explaining its purpose and implementation details.</t>
        </is>
      </c>
      <c r="I2345" t="n">
        <v>0.0062</v>
      </c>
      <c r="J2345" t="n">
        <v>0.1961</v>
      </c>
      <c r="K2345" t="n">
        <v>0.2193</v>
      </c>
      <c r="L2345" t="inlineStr">
        <is>
          <t>This Java class `BuilderException` extends `RuntimeException`, providing a way to handle errors during the build process using Spring Boot Build Pack platform. It includes a field `operation` to store the name of the operation that failed, which can help in debugging. The exception is designed to be used when there's an issue with building artifacts or configurations within the context of the Spring Boot environment.</t>
        </is>
      </c>
      <c r="M2345" t="n">
        <v>0.0028</v>
      </c>
      <c r="N2345" t="n">
        <v>0.027</v>
      </c>
      <c r="O2345" t="n">
        <v>0.073</v>
      </c>
    </row>
    <row r="2346">
      <c r="A2346" t="inlineStr">
        <is>
          <t>springboot</t>
        </is>
      </c>
      <c r="B2346" t="inlineStr">
        <is>
          <t>buildpack/spring-boot-buildpack-platform/src/main/java/org/springframework/boot/buildpack/platform/build/Lifecycle.java</t>
        </is>
      </c>
      <c r="C2346">
        <f>HYPERLINK("https://github.com/spring-projects/spring-boot/blob/master/buildpack/spring-boot-buildpack-platform/src/main/java/org/springframework/boot/buildpack/platform/build/Lifecycle.java")</f>
        <v/>
      </c>
      <c r="D2346" t="inlineStr">
        <is>
          <t>The provided Java code defines a class `BuildService` within the package `org.springframework.boot.buildpack.platform.build`. This class appears to be part of a build system that handles building applications using Spring Boot Build Pack technology. The class includes methods for managing files, directories, and executing commands related to the build process. It uses JNA (Java Native Access) for platform-specific operations and JSPECIFY</t>
        </is>
      </c>
      <c r="E2346" t="n">
        <v>0.0037</v>
      </c>
      <c r="F2346" t="n">
        <v>0.0548</v>
      </c>
      <c r="G2346" t="n">
        <v>0.1145</v>
      </c>
      <c r="H2346" t="inlineStr">
        <is>
          <t>This repository contains backend software components that implement core algorithms. The complexity is O(N), indicating linear time complexity, which means it scales with the size of the input data. The comments describe the implementation of these algorithms.</t>
        </is>
      </c>
      <c r="I2346" t="n">
        <v>0.0066</v>
      </c>
      <c r="J2346" t="n">
        <v>0.1739</v>
      </c>
      <c r="K2346" t="n">
        <v>0.1835</v>
      </c>
      <c r="L2346" t="inlineStr">
        <is>
          <t>The code implements a build process for Spring Boot applications using Java Native Access (JNA). It processes files and directories according to platform-specific requirements, ensuring compatibility across different operating systems. The `Build` class manages the entire build lifecycle, including reading configuration files, compiling source code, packaging dependencies, and deploying artifacts. Key functionalities include handling file paths, managing resources efficiently, and adapting to various platforms through</t>
        </is>
      </c>
      <c r="M2346" t="n">
        <v>0.0033</v>
      </c>
      <c r="N2346" t="n">
        <v>0.08110000000000001</v>
      </c>
      <c r="O2346" t="n">
        <v>0.1095</v>
      </c>
    </row>
    <row r="2347">
      <c r="A2347" t="inlineStr">
        <is>
          <t>springboot</t>
        </is>
      </c>
      <c r="B2347" t="inlineStr">
        <is>
          <t>buildpack/spring-boot-buildpack-platform/src/main/java/org/springframework/boot/buildpack/platform/build/ImageBuildpack.java</t>
        </is>
      </c>
      <c r="C2347">
        <f>HYPERLINK("https://github.com/spring-projects/spring-boot/blob/master/buildpack/spring-boot-buildpack-platform/src/main/java/org/springframework/boot/buildpack/platform/build/ImageBuildpack.java")</f>
        <v/>
      </c>
      <c r="D2347" t="inlineStr">
        <is>
          <t>The provided Java code defines a class `TarArchiver` within the package `org.springframework.boot.buildpack.platform.build`. This class implements methods for creating and extracting tar archives using the Apache Commons Compress library. The main functionalities include:
1. **Creating Tar Archives**: It provides a method `createTarArchive` that takes a list of entries and writes them into a specified output stream as a tar</t>
        </is>
      </c>
      <c r="E2347" t="n">
        <v>0.0041</v>
      </c>
      <c r="F2347" t="n">
        <v>0.1127</v>
      </c>
      <c r="G2347" t="n">
        <v>0.1538</v>
      </c>
      <c r="H2347" t="inlineStr">
        <is>
          <t>This repository contains backend software components that implement core algorithms. The complexity of the implementation is O(N), indicating linear time complexity relative to the size of the input data. The comments provide details about the implementation's purpose and structure. The code base has been initialized with the first commit.</t>
        </is>
      </c>
      <c r="I2347" t="n">
        <v>0.0053</v>
      </c>
      <c r="J2347" t="n">
        <v>0.1695</v>
      </c>
      <c r="K2347" t="n">
        <v>0.2066</v>
      </c>
      <c r="L2347" t="inlineStr">
        <is>
          <t>This Java class provides methods for building applications using Spring Boot build packs. It includes functionalities such as creating tar archives from input streams, copying files between paths, and managing lists of entries. The implementation uses Apache Commons Compress for handling tar archiving.</t>
        </is>
      </c>
      <c r="M2347" t="n">
        <v>0.0051</v>
      </c>
      <c r="N2347" t="n">
        <v>0.1176</v>
      </c>
      <c r="O2347" t="n">
        <v>0.1739</v>
      </c>
    </row>
    <row r="2348">
      <c r="A2348" t="inlineStr">
        <is>
          <t>springboot</t>
        </is>
      </c>
      <c r="B2348" t="inlineStr">
        <is>
          <t>buildpack/spring-boot-buildpack-platform/src/main/java/org/springframework/boot/buildpack/platform/build/LifecycleVersion.java</t>
        </is>
      </c>
      <c r="C2348">
        <f>HYPERLINK("https://github.com/spring-projects/spring-boot/blob/master/buildpack/spring-boot-buildpack-platform/src/main/java/org/springframework/boot/buildpack/platform/build/LifecycleVersion.java")</f>
        <v/>
      </c>
      <c r="D2348" t="inlineStr">
        <is>
          <t>The provided Java class `LifecycleVersion` represents a version number consisting of three parts: major, minor, and patch. It includes methods for comparing versions using the `Comparable` interface and provides assertions to validate input values. The class uses the JSPECIFY annotations to specify nullable types. This implementation is used within the Spring Boot build platform to manage lifecycle versioning.</t>
        </is>
      </c>
      <c r="E2348" t="n">
        <v>0.0037</v>
      </c>
      <c r="F2348" t="n">
        <v>0.0606</v>
      </c>
      <c r="G2348" t="n">
        <v>0.1538</v>
      </c>
      <c r="H2348" t="inlineStr">
        <is>
          <t>This repository contains backend software components that implement core algorithms. The complexity of these implementations is O(N), indicating linear time complexity. The code size is 1000 lines, suggesting it includes multiple modules and classes.</t>
        </is>
      </c>
      <c r="I2348" t="n">
        <v>0.0077</v>
      </c>
      <c r="J2348" t="n">
        <v>0.2326</v>
      </c>
      <c r="K2348" t="n">
        <v>0.283</v>
      </c>
      <c r="L2348" t="inlineStr">
        <is>
          <t>This class represents a lifecycle version number consisting of major, minor, and patch values. It provides methods to compare versions using the `Comparable` interface and includes assertions to validate input data. The implementation complexity is O(1), as it involves basic arithmetic comparisons.</t>
        </is>
      </c>
      <c r="M2348" t="n">
        <v>0.0052</v>
      </c>
      <c r="N2348" t="n">
        <v>0.0784</v>
      </c>
      <c r="O2348" t="n">
        <v>0.1754</v>
      </c>
    </row>
    <row r="2349">
      <c r="A2349" t="inlineStr">
        <is>
          <t>springboot</t>
        </is>
      </c>
      <c r="B2349" t="inlineStr">
        <is>
          <t>buildpack/spring-boot-buildpack-platform/src/main/java/org/springframework/boot/buildpack/platform/build/BuildpackResolvers.java</t>
        </is>
      </c>
      <c r="C2349">
        <f>HYPERLINK("https://github.com/spring-projects/spring-boot/blob/master/buildpack/spring-boot-buildpack-platform/src/main/java/org/springframework/boot/buildpack/platform/build/BuildpackResolvers.java")</f>
        <v/>
      </c>
      <c r="D2349" t="inlineStr">
        <is>
          <t>The provided Java code defines a class `BuildpackResolvers` within the package `org.springframework.boot.buildpack.platform.build`. This class serves as a collection of `BuildpackResolver` instances, which are responsible for resolving buildpack references during the bootstrapping process of Spring Boot applications using buildpacks. The class provides methods to add resolvers, retrieve all resolvers, and check if any</t>
        </is>
      </c>
      <c r="E2349" t="n">
        <v>0.0042</v>
      </c>
      <c r="F2349" t="n">
        <v>0.0615</v>
      </c>
      <c r="G2349" t="n">
        <v>0.121</v>
      </c>
      <c r="H2349" t="inlineStr">
        <is>
          <t>This repository contains backend software components implementing core algorithms. Complexity is O(N), indicating linear time complexity, and comments describe the implementation details. The README provides information about the project's purpose and structure.</t>
        </is>
      </c>
      <c r="I2349" t="n">
        <v>0.0083</v>
      </c>
      <c r="J2349" t="n">
        <v>0.2381</v>
      </c>
      <c r="K2349" t="n">
        <v>0.2404</v>
      </c>
      <c r="L2349" t="inlineStr">
        <is>
          <t>The code defines a class `BuildpackResolvers` that manages a collection of buildpack resolvers. It provides methods to add, retrieve, and remove resolvers from the list, ensuring no duplicates are added. The class also includes assertions to validate input parameters and uses utility classes like `CollectionUtils` for checking collections.</t>
        </is>
      </c>
      <c r="M2349" t="n">
        <v>0.0038</v>
      </c>
      <c r="N2349" t="n">
        <v>0.0357</v>
      </c>
      <c r="O2349" t="n">
        <v>0.0833</v>
      </c>
    </row>
    <row r="2350">
      <c r="A2350" t="inlineStr">
        <is>
          <t>springboot</t>
        </is>
      </c>
      <c r="B2350" t="inlineStr">
        <is>
          <t>buildpack/spring-boot-buildpack-platform/src/main/java/org/springframework/boot/buildpack/platform/build/EphemeralBuilder.java</t>
        </is>
      </c>
      <c r="C2350">
        <f>HYPERLINK("https://github.com/spring-projects/spring-boot/blob/master/buildpack/spring-boot-buildpack-platform/src/main/java/org/springframework/boot/buildpack/platform/build/EphemeralBuilder.java")</f>
        <v/>
      </c>
      <c r="D2350" t="inlineStr">
        <is>
          <t>The provided Java code defines a class `BuildService` within the package `org.springframework.boot.buildpack.platform.build`. This class appears to be responsible for orchestrating the build process using Docker images. The method `buildImage` takes several parameters including an image archive (`imageArchive`) and optional configuration settings (`config`). It returns an instance of `Image`, which represents the built Docker image. The implementation</t>
        </is>
      </c>
      <c r="E2350" t="n">
        <v>0.0039</v>
      </c>
      <c r="F2350" t="n">
        <v>0.058</v>
      </c>
      <c r="G2350" t="n">
        <v>0.1563</v>
      </c>
      <c r="H2350" t="inlineStr">
        <is>
          <t>This repository contains backend software components implementing core algorithms. Complexity is O(N), indicating linear time complexity. The README provides information about the project's purpose and structure.</t>
        </is>
      </c>
      <c r="I2350" t="n">
        <v>0.0103</v>
      </c>
      <c r="J2350" t="n">
        <v>0.2778</v>
      </c>
      <c r="K2350" t="n">
        <v>0.3796</v>
      </c>
      <c r="L2350" t="inlineStr">
        <is>
          <t>The provided Java code defines a class within the `org.springframework.boot.buildpack.platform.build` package that handles building Docker images using Spring Boot Build Pack technology. It includes methods for creating image archives from specified directories and managing image metadata. The code uses annotations like `@Nullable` to handle potential null values gracefully. The complexity of the implementation is O(N), where N represents the number of files being processed</t>
        </is>
      </c>
      <c r="M2350" t="n">
        <v>0.0028</v>
      </c>
      <c r="N2350" t="n">
        <v>0.0256</v>
      </c>
      <c r="O2350" t="n">
        <v>0.1103</v>
      </c>
    </row>
    <row r="2351">
      <c r="A2351" t="inlineStr">
        <is>
          <t>springboot</t>
        </is>
      </c>
      <c r="B2351" t="inlineStr">
        <is>
          <t>buildpack/spring-boot-buildpack-platform/src/main/java/org/springframework/boot/buildpack/platform/build/Cache.java</t>
        </is>
      </c>
      <c r="C2351">
        <f>HYPERLINK("https://github.com/spring-projects/spring-boot/blob/master/buildpack/spring-boot-buildpack-platform/src/main/java/org/springframework/boot/buildpack/platform/build/Cache.java")</f>
        <v/>
      </c>
      <c r="D2351" t="inlineStr">
        <is>
          <t>The provided Java class `CacheDetails` represents details about a cache used by a Cloud Native Buildpacks (CNB) builder. It includes properties such as the volume name and whether it should be shared across builds. The class uses annotations like `@Nullable` from the JSPECIFY library to handle nullable fields and ensures that certain conditions are met during object creation using assertions from Spring's utility classes</t>
        </is>
      </c>
      <c r="E2351" t="n">
        <v>0.0028</v>
      </c>
      <c r="F2351" t="n">
        <v>0.0274</v>
      </c>
      <c r="G2351" t="n">
        <v>0.0735</v>
      </c>
      <c r="H2351" t="inlineStr">
        <is>
          <t>This Java class represents details about a cache used by a Cloud Native Buildpacks (CNB) builder. It includes fields for the volume name and whether it should be shared across builds. The class uses annotations from JSPECIFY to specify nullable types and ensures that certain conditions are met using assertions.</t>
        </is>
      </c>
      <c r="I2351" t="n">
        <v>0.0044</v>
      </c>
      <c r="J2351" t="n">
        <v>0.06900000000000001</v>
      </c>
      <c r="K2351" t="n">
        <v>0.123</v>
      </c>
      <c r="L2351" t="inlineStr">
        <is>
          <t>This class provides details about a cache used by the Cloud Native Buildpacks (CNB) builder. It includes methods to retrieve the name of the volume associated with the cache and validate that the object is properly initialized. The class uses Java's `Objects.requireNonNull` method to ensure that all necessary fields are set before using them.</t>
        </is>
      </c>
      <c r="M2351" t="n">
        <v>0.004</v>
      </c>
      <c r="N2351" t="n">
        <v>0.0625</v>
      </c>
      <c r="O2351" t="n">
        <v>0.119</v>
      </c>
    </row>
    <row r="2352">
      <c r="A2352" t="inlineStr">
        <is>
          <t>springboot</t>
        </is>
      </c>
      <c r="B2352" t="inlineStr">
        <is>
          <t>buildpack/spring-boot-buildpack-platform/src/main/java/org/springframework/boot/buildpack/platform/build/Phase.java</t>
        </is>
      </c>
      <c r="C2352">
        <f>HYPERLINK("https://github.com/spring-projects/spring-boot/blob/master/buildpack/spring-boot-buildpack-platform/src/main/java/org/springframework/boot/buildpack/platform/build/Phase.java")</f>
        <v/>
      </c>
      <c r="D2352" t="inlineStr">
        <is>
          <t>The provided Java code defines a class `BuildPlan` that represents a build plan for a Spring Boot application using Docker containers. It includes methods to add bindings, retrieve binding names, and manage environment variables. The class uses a `LinkedHashMap` to store bindings and their associated values, ensuring order preservation. The complexity of the implementation is O(1) for adding and retrieving elements from the map,</t>
        </is>
      </c>
      <c r="E2352" t="n">
        <v>0.0028</v>
      </c>
      <c r="F2352" t="n">
        <v>0.0548</v>
      </c>
      <c r="G2352" t="n">
        <v>0.1103</v>
      </c>
      <c r="H2352" t="inlineStr">
        <is>
          <t>This repository contains backend software components implementing core algorithms. The complexity of the implementation is O(N), indicating that it scales linearly with input size. The README provides information about the project's license, package structure, and initial commits.</t>
        </is>
      </c>
      <c r="I2352" t="n">
        <v>0.0071</v>
      </c>
      <c r="J2352" t="n">
        <v>0.2128</v>
      </c>
      <c r="K2352" t="n">
        <v>0.2294</v>
      </c>
      <c r="L2352" t="inlineStr">
        <is>
          <t>The code implements a build process for Spring Boot applications using Docker containers. It processes input bindings and container configurations to create a complete build environment that can be used to deploy the application. The implementation uses Java's `ArrayList`, `Arrays`, `LinkedHashMap`, and `List` classes to manage data structures efficiently.</t>
        </is>
      </c>
      <c r="M2352" t="n">
        <v>0.0045</v>
      </c>
      <c r="N2352" t="n">
        <v>0.06900000000000001</v>
      </c>
      <c r="O2352" t="n">
        <v>0.124</v>
      </c>
    </row>
    <row r="2353">
      <c r="A2353" t="inlineStr">
        <is>
          <t>springboot</t>
        </is>
      </c>
      <c r="B2353" t="inlineStr">
        <is>
          <t>buildpack/spring-boot-buildpack-platform/src/main/java/org/springframework/boot/buildpack/platform/build/BuildRequest.java</t>
        </is>
      </c>
      <c r="C2353">
        <f>HYPERLINK("https://github.com/spring-projects/spring-boot/blob/master/buildpack/spring-boot-buildpack-platform/src/main/java/org/springframework/boot/buildpack/platform/build/BuildRequest.java")</f>
        <v/>
      </c>
      <c r="D2353" t="inlineStr">
        <is>
          <t>The provided Java code defines a class `Build` within the package `org.springframework.boot.buildpack.platform.build`. This class appears to be part of a build system that processes and manages build configurations. The key functionalities include:
1. **File Handling**: It uses `java.io.File` objects to handle files related to builds, such as configuration files or output directories.
2. **Date Parsing**: It</t>
        </is>
      </c>
      <c r="E2353" t="n">
        <v>0.0039</v>
      </c>
      <c r="F2353" t="n">
        <v>0.0563</v>
      </c>
      <c r="G2353" t="n">
        <v>0.1172</v>
      </c>
      <c r="H2353" t="inlineStr">
        <is>
          <t>The provided code is part of a Spring Boot build pack platform that implements core algorithms for building applications. It includes classes such as `File`, `Instant`, and `DateTimeParseException` from Java's standard library, along with utility methods like `Arrays`, `Collections`, and `LinkedHashMap`. The complexity of the implementation is O(N), indicating it scales linearly with input size. The comments describe its</t>
        </is>
      </c>
      <c r="I2353" t="n">
        <v>0.0072</v>
      </c>
      <c r="J2353" t="n">
        <v>0.08699999999999999</v>
      </c>
      <c r="K2353" t="n">
        <v>0.2409</v>
      </c>
      <c r="L2353" t="inlineStr">
        <is>
          <t>The provided Java code defines a class `BuildPlan` within the Spring Boot Build Pack platform that manages build plans for applications. It includes methods to parse and manipulate build plan configurations, such as setting up environment variables, specifying dependencies, and handling timestamps. The class uses various data structures like maps and lists to store configuration details and provides utility functions for parsing dates and managing dependencies. The code also includes comments</t>
        </is>
      </c>
      <c r="M2353" t="n">
        <v>0.0026</v>
      </c>
      <c r="N2353" t="n">
        <v>0.0506</v>
      </c>
      <c r="O2353" t="n">
        <v>0.0699</v>
      </c>
    </row>
    <row r="2354">
      <c r="A2354" t="inlineStr">
        <is>
          <t>springboot</t>
        </is>
      </c>
      <c r="B2354" t="inlineStr">
        <is>
          <t>buildpack/spring-boot-buildpack-platform/src/main/java/org/springframework/boot/buildpack/platform/build/BuilderBuildpack.java</t>
        </is>
      </c>
      <c r="C2354">
        <f>HYPERLINK("https://github.com/spring-projects/spring-boot/blob/master/buildpack/spring-boot-buildpack-platform/src/main/java/org/springframework/boot/buildpack/platform/build/BuilderBuildpack.java")</f>
        <v/>
      </c>
      <c r="D2354" t="inlineStr">
        <is>
          <t>The provided Java code defines a `Buildpack` interface within the Spring Boot Buildpack Platform project. It includes methods for building layers from source files and handling dependencies. The class uses annotations like `@Nullable` to indicate optional parameters and `Assert` for validation checks. The comments describe the purpose and usage of each method, while the README provides general information about the repository's content, complexity, comments</t>
        </is>
      </c>
      <c r="E2354" t="n">
        <v>0.0028</v>
      </c>
      <c r="F2354" t="n">
        <v>0.0274</v>
      </c>
      <c r="G2354" t="n">
        <v>0.0735</v>
      </c>
      <c r="H2354" t="inlineStr">
        <is>
          <t>A Java class implementing core algorithms for building backend software components. Complexity is O(N), indicating linear time complexity based on input size N. The implementation includes methods for processing layers and consuming IO data, with assertions used for validation.</t>
        </is>
      </c>
      <c r="I2354" t="n">
        <v>0.0062</v>
      </c>
      <c r="J2354" t="n">
        <v>0.125</v>
      </c>
      <c r="K2354" t="n">
        <v>0.2252</v>
      </c>
      <c r="L2354" t="inlineStr">
        <is>
          <t>This Java class `Buildpack` represents a reference to a buildpack within a Spring Boot build process. It provides methods to retrieve layer information and handle IO operations related to the buildpack. The class includes assertions to ensure valid input parameters and uses JSPECIFY annotations for type safety checks.</t>
        </is>
      </c>
      <c r="M2354" t="n">
        <v>0.0045</v>
      </c>
      <c r="N2354" t="n">
        <v>0.07140000000000001</v>
      </c>
      <c r="O2354" t="n">
        <v>0.125</v>
      </c>
    </row>
    <row r="2355">
      <c r="A2355" t="inlineStr">
        <is>
          <t>springboot</t>
        </is>
      </c>
      <c r="B2355" t="inlineStr">
        <is>
          <t>buildpack/spring-boot-buildpack-platform/src/main/java/org/springframework/boot/buildpack/platform/build/BuildOwner.java</t>
        </is>
      </c>
      <c r="C2355">
        <f>HYPERLINK("https://github.com/spring-projects/spring-boot/blob/master/buildpack/spring-boot-buildpack-platform/src/main/java/org/springframework/boot/buildpack/platform/build/BuildOwner.java")</f>
        <v/>
      </c>
      <c r="D2355" t="inlineStr">
        <is>
          <t>The provided Java code defines a class `Owner` within the package `org.springframework.boot.buildpack.platform.build`. This class represents the owner responsible for performing a build process. It includes methods for setting and retrieving the owner's name, as well as checking if the owner is valid based on certain criteria. The class uses annotations from the JSPECIFY library to specify nullable types. The implementation does not contain</t>
        </is>
      </c>
      <c r="E2355" t="n">
        <v>0.0034</v>
      </c>
      <c r="F2355" t="n">
        <v>0.0519</v>
      </c>
      <c r="G2355" t="n">
        <v>0.1481</v>
      </c>
      <c r="H2355" t="inlineStr">
        <is>
          <t>The code defines a class `Owner` within the package `org.springframework.boot.buildpack.platform.build`. It includes methods for managing owner information such as name and email. The complexity is O(N) due to potential operations involving maps and string manipulation. The comments describe its implementation of core algorithms related to user management.</t>
        </is>
      </c>
      <c r="I2355" t="n">
        <v>0.0046</v>
      </c>
      <c r="J2355" t="n">
        <v>0.06560000000000001</v>
      </c>
      <c r="K2355" t="n">
        <v>0.2652</v>
      </c>
      <c r="L2355" t="inlineStr">
        <is>
          <t>The `Owner` class represents the entity responsible for performing builds within a Spring Boot Build Pack environment. It encapsulates the necessary details such as the owner's name and email address, ensuring they have permission to execute build tasks. The class includes methods to validate these credentials and retrieve them when needed.</t>
        </is>
      </c>
      <c r="M2355" t="n">
        <v>0.0036</v>
      </c>
      <c r="N2355" t="n">
        <v>0.0333</v>
      </c>
      <c r="O2355" t="n">
        <v>0.0407</v>
      </c>
    </row>
    <row r="2356">
      <c r="A2356" t="inlineStr">
        <is>
          <t>springboot</t>
        </is>
      </c>
      <c r="B2356" t="inlineStr">
        <is>
          <t>buildpack/spring-boot-buildpack-platform/src/main/java/org/springframework/boot/buildpack/platform/build/BuilderDockerConfiguration.java</t>
        </is>
      </c>
      <c r="C2356">
        <f>HYPERLINK("https://github.com/spring-projects/spring-boot/blob/master/buildpack/spring-boot-buildpack-platform/src/main/java/org/springframework/boot/buildpack/platform/build/BuilderDockerConfiguration.java")</f>
        <v/>
      </c>
      <c r="D2356" t="inlineStr">
        <is>
          <t>The provided Java code defines a `DockerBuilderConfig` class that serves as a builder pattern configuration for Docker settings used during build processes. It includes methods to set up Docker connection configurations and authentication details, which are essential for interacting with Docker registries when building applications using Spring Boot Build Pack platform tools. The class uses annotations like `@Nullable` to indicate optional parameters and extends the `Builder`</t>
        </is>
      </c>
      <c r="E2356" t="n">
        <v>0.0028</v>
      </c>
      <c r="F2356" t="n">
        <v>0.027</v>
      </c>
      <c r="G2356" t="n">
        <v>0.0725</v>
      </c>
      <c r="H2356" t="inlineStr">
        <is>
          <t>The code provides configuration options for building Docker images using Spring Boot Build Pack platform. It includes settings for Docker connection and authentication configurations. The complexity is high due to its size and implementation details.</t>
        </is>
      </c>
      <c r="I2356" t="n">
        <v>0.0053</v>
      </c>
      <c r="J2356" t="n">
        <v>0.0465</v>
      </c>
      <c r="K2356" t="n">
        <v>0.1402</v>
      </c>
      <c r="L2356" t="inlineStr">
        <is>
          <t>This class provides configuration options for building Docker images using Spring Boot Build Pack Platform. It includes settings for connecting to a Docker daemon and authenticating against a registry, allowing developers to customize how Docker builds are executed within their build pipelines.</t>
        </is>
      </c>
      <c r="M2356" t="n">
        <v>0.0052</v>
      </c>
      <c r="N2356" t="n">
        <v>0.08</v>
      </c>
      <c r="O2356" t="n">
        <v>0.1316</v>
      </c>
    </row>
    <row r="2357">
      <c r="A2357" t="inlineStr">
        <is>
          <t>springboot</t>
        </is>
      </c>
      <c r="B2357" t="inlineStr">
        <is>
          <t>buildpack/spring-boot-buildpack-platform/src/main/java/org/springframework/boot/buildpack/platform/build/DirectoryBuildpack.java</t>
        </is>
      </c>
      <c r="C2357">
        <f>HYPERLINK("https://github.com/spring-projects/spring-boot/blob/master/buildpack/spring-boot-buildpack-platform/src/main/java/org/springframework/boot/buildpack/platform/build/DirectoryBuildpack.java")</f>
        <v/>
      </c>
      <c r="D2357" t="inlineStr">
        <is>
          <t>The provided Java code defines a class `CoreAlgorithms` within the package `org.springframework.boot.buildpack.platform.build`. This class does not contain any actual implementation details but rather serves as a placeholder for core algorithms that would be implemented elsewhere in the project. The comments indicate that it implements core algorithms without providing any specific functionality. The complexity is rated as O(N), suggesting linear time complexity operations, though</t>
        </is>
      </c>
      <c r="E2357" t="n">
        <v>0.0068</v>
      </c>
      <c r="F2357" t="n">
        <v>0.1039</v>
      </c>
      <c r="G2357" t="n">
        <v>0.1893</v>
      </c>
      <c r="H2357" t="inlineStr">
        <is>
          <t>This repository contains backend software components that implement core algorithms. The complexity of the implementation is O(N), indicating linear time complexity. The comments describe the purpose as implementing core algorithms, and the commits indicate it's an initial codebase commit. The total size of the codebase is 1000 lines.</t>
        </is>
      </c>
      <c r="I2357" t="n">
        <v>0.0054</v>
      </c>
      <c r="J2357" t="n">
        <v>0.1724</v>
      </c>
      <c r="K2357" t="n">
        <v>0.31</v>
      </c>
      <c r="L2357" t="inlineStr">
        <is>
          <t>The provided Java code defines a class `Build` within the package `org.springframework.boot.buildpack.platform.build`. It includes methods for building files from input streams into specified directories using a custom `SimpleFileVisitor` implementation. The method `buildFromStream` takes an `InputStream`, a target directory path, and optional parameters such as whether to overwrite existing files and whether to create parent directories if they don</t>
        </is>
      </c>
      <c r="M2357" t="n">
        <v>0.0031</v>
      </c>
      <c r="N2357" t="n">
        <v>0.0563</v>
      </c>
      <c r="O2357" t="n">
        <v>0.0769</v>
      </c>
    </row>
    <row r="2358">
      <c r="A2358" t="inlineStr">
        <is>
          <t>springboot</t>
        </is>
      </c>
      <c r="B2358" t="inlineStr">
        <is>
          <t>buildpack/spring-boot-buildpack-platform/src/main/java/org/springframework/boot/buildpack/platform/build/BuilderMetadata.java</t>
        </is>
      </c>
      <c r="C2358">
        <f>HYPERLINK("https://github.com/spring-projects/spring-boot/blob/master/buildpack/spring-boot-buildpack-platform/src/main/java/org/springframework/boot/buildpack/platform/build/BuilderMetadata.java")</f>
        <v/>
      </c>
      <c r="D2358" t="inlineStr">
        <is>
          <t>The provided Java code defines a class `BuildPackPlatform` within the package `org.springframework.boot.buildpack.platform.build`. This class appears to be part of a larger system designed to handle build pack platform operations. The code includes comments explaining its purpose, license information, and dependencies. It also mentions that it implements core algorithms and has a time complexity of O(N). The README provides details about the repository</t>
        </is>
      </c>
      <c r="E2358" t="n">
        <v>0.0074</v>
      </c>
      <c r="F2358" t="n">
        <v>0.1053</v>
      </c>
      <c r="G2358" t="n">
        <v>0.2776</v>
      </c>
      <c r="H2358" t="inlineStr">
        <is>
          <t>The repository contains backend software components that implement core algorithms. The complexity of the implementation is O(N), indicating linear time complexity. The README provides information about the project's purpose and structure.</t>
        </is>
      </c>
      <c r="I2358" t="n">
        <v>0.007900000000000001</v>
      </c>
      <c r="J2358" t="n">
        <v>0.1951</v>
      </c>
      <c r="K2358" t="n">
        <v>0.1942</v>
      </c>
      <c r="L2358" t="inlineStr">
        <is>
          <t>The provided Java code defines a class `BuildPlan` within the Spring Boot Build Pack platform build package. It handles parsing and processing of build plans, which are JSON documents that specify how applications should be built during containerization. The class includes methods for reading and manipulating these plans, such as extracting dependencies, setting up environment variables, and handling various configuration options. The implementation uses Jackson library for JSON parsing</t>
        </is>
      </c>
      <c r="M2358" t="n">
        <v>0.0026</v>
      </c>
      <c r="N2358" t="n">
        <v>0.026</v>
      </c>
      <c r="O2358" t="n">
        <v>0.1064</v>
      </c>
    </row>
    <row r="2359">
      <c r="A2359" t="inlineStr">
        <is>
          <t>springboot</t>
        </is>
      </c>
      <c r="B2359" t="inlineStr">
        <is>
          <t>buildpack/spring-boot-buildpack-platform/src/main/java/org/springframework/boot/buildpack/platform/build/BuildpackLayersMetadata.java</t>
        </is>
      </c>
      <c r="C2359">
        <f>HYPERLINK("https://github.com/spring-projects/spring-boot/blob/master/buildpack/spring-boot-buildpack-platform/src/main/java/org/springframework/boot/buildpack/platform/build/BuildpackLayersMetadata.java")</f>
        <v/>
      </c>
      <c r="D2359" t="inlineStr">
        <is>
          <t>The provided Java code defines a class `BuildService` within the package `org.springframework.boot.buildpack.platform.build`. This class appears to be part of a build system that handles building images using Docker. The class uses Jackson's JSON library to parse JSON data related to builds and Docker images. It includes methods for managing image metadata and performing build operations. The complexity of the implementation is O(N), indicating</t>
        </is>
      </c>
      <c r="E2359" t="n">
        <v>0.0034</v>
      </c>
      <c r="F2359" t="n">
        <v>0.0513</v>
      </c>
      <c r="G2359" t="n">
        <v>0.1481</v>
      </c>
      <c r="H2359" t="inlineStr">
        <is>
          <t>The repository contains backend software components that implement core algorithms. The complexity of these implementations is O(N), indicating they scale linearly with input size. The codebase has been initialized with a single commit containing the initial implementation.</t>
        </is>
      </c>
      <c r="I2359" t="n">
        <v>0.006</v>
      </c>
      <c r="J2359" t="n">
        <v>0.1304</v>
      </c>
      <c r="K2359" t="n">
        <v>0.1376</v>
      </c>
      <c r="L2359" t="inlineStr">
        <is>
          <t>This Java class provides methods for building Docker images using Spring Boot build pack platform. It includes parsing JSON configurations, handling image metadata, and managing dependencies during the build process. The implementation complexity is O(N), where N represents the number of dependencies being processed.</t>
        </is>
      </c>
      <c r="M2359" t="n">
        <v>0.005</v>
      </c>
      <c r="N2359" t="n">
        <v>0.0755</v>
      </c>
      <c r="O2359" t="n">
        <v>0.1724</v>
      </c>
    </row>
    <row r="2360">
      <c r="A2360" t="inlineStr">
        <is>
          <t>springboot</t>
        </is>
      </c>
      <c r="B2360" t="inlineStr">
        <is>
          <t>buildpack/spring-boot-buildpack-platform/src/main/java/org/springframework/boot/buildpack/platform/build/Buildpacks.java</t>
        </is>
      </c>
      <c r="C2360">
        <f>HYPERLINK("https://github.com/spring-projects/spring-boot/blob/master/buildpack/spring-boot-buildpack-platform/src/main/java/org/springframework/boot/buildpack/platform/build/Buildpacks.java")</f>
        <v/>
      </c>
      <c r="D2360" t="inlineStr">
        <is>
          <t>The provided Java code defines a class `BuildService` within the package `org.springframework.boot.buildpack.platform.build`. This class appears to be responsible for managing build operations related to Spring Boot applications using Docker layers. The code includes methods for interacting with Docker images, handling content, and possibly performing complex algorithmic tasks as indicated by its complexity rating of O(N). The comments suggest that it implements core algorithms</t>
        </is>
      </c>
      <c r="E2360" t="n">
        <v>0.0073</v>
      </c>
      <c r="F2360" t="n">
        <v>0.0779</v>
      </c>
      <c r="G2360" t="n">
        <v>0.2756</v>
      </c>
      <c r="H2360" t="inlineStr">
        <is>
          <t>Implements core algorithms using Java. Complexity is O(N).</t>
        </is>
      </c>
      <c r="I2360" t="n">
        <v>0.0278</v>
      </c>
      <c r="J2360" t="n">
        <v>0.2353</v>
      </c>
      <c r="K2360" t="n">
        <v>0.3194</v>
      </c>
      <c r="L2360" t="inlineStr">
        <is>
          <t>This Java class provides methods for building Docker layers using Spring Boot build pack platform capabilities. It includes functionalities such as creating new layers from content, managing dependencies, and handling input/output streams. The code uses annotations like `@Nullable` to indicate optional parameters and leverages JSPECIFY annotations for type safety checks.</t>
        </is>
      </c>
      <c r="M2360" t="n">
        <v>0.0044</v>
      </c>
      <c r="N2360" t="n">
        <v>0.1017</v>
      </c>
      <c r="O2360" t="n">
        <v>0.123</v>
      </c>
    </row>
    <row r="2361">
      <c r="A2361" t="inlineStr">
        <is>
          <t>springboot</t>
        </is>
      </c>
      <c r="B2361" t="inlineStr">
        <is>
          <t>buildpack/spring-boot-buildpack-platform/src/main/java/org/springframework/boot/buildpack/platform/build/Builder.java</t>
        </is>
      </c>
      <c r="C2361">
        <f>HYPERLINK("https://github.com/spring-projects/spring-boot/blob/master/buildpack/spring-boot-buildpack-platform/src/main/java/org/springframework/boot/buildpack/platform/build/Builder.java")</f>
        <v/>
      </c>
      <c r="D2361" t="inlineStr">
        <is>
          <t>The provided Java code defines a class `BuildService` within the package `org.springframework.boot.buildpack.platform.build`. This class is responsible for managing the build process using Docker API operations. It includes methods for executing commands, handling logs, and interacting with Docker containers. The complexity of the implementation is O(N), where N represents the number of operations performed during the build process. The comments indicate that the</t>
        </is>
      </c>
      <c r="E2361" t="n">
        <v>0.0035</v>
      </c>
      <c r="F2361" t="n">
        <v>0.0526</v>
      </c>
      <c r="G2361" t="n">
        <v>0.1493</v>
      </c>
      <c r="H2361" t="inlineStr">
        <is>
          <t>This repository contains backend software components implementing core algorithms. The complexity is O(N), indicating linear time complexity in relation to input size. The README provides information about the project's purpose and structure.</t>
        </is>
      </c>
      <c r="I2361" t="n">
        <v>0.0083</v>
      </c>
      <c r="J2361" t="n">
        <v>0.2381</v>
      </c>
      <c r="K2361" t="n">
        <v>0.3577</v>
      </c>
      <c r="L2361" t="inlineStr">
        <is>
          <t>The provided Java code defines a class `BuildService` within the Spring Boot Build Pack platform build package. It provides methods to interact with Docker API for building images and managing logs during the build process. The service includes functionalities such as starting a Docker container, retrieving log streams from containers, and handling exceptions related to I/O operations. The code uses JSPECIFY annotations for type safety checks and handles potential</t>
        </is>
      </c>
      <c r="M2361" t="n">
        <v>0.0026</v>
      </c>
      <c r="N2361" t="n">
        <v>0.0513</v>
      </c>
      <c r="O2361" t="n">
        <v>0.0709</v>
      </c>
    </row>
    <row r="2362">
      <c r="A2362" t="inlineStr">
        <is>
          <t>springboot</t>
        </is>
      </c>
      <c r="B2362" t="inlineStr">
        <is>
          <t>buildpack/spring-boot-buildpack-platform/src/main/java/org/springframework/boot/buildpack/platform/build/BuildpackCoordinates.java</t>
        </is>
      </c>
      <c r="C2362">
        <f>HYPERLINK("https://github.com/spring-projects/spring-boot/blob/master/buildpack/spring-boot-buildpack-platform/src/main/java/org/springframework/boot/buildpack/platform/build/BuildpackCoordinates.java")</f>
        <v/>
      </c>
      <c r="D2362" t="inlineStr">
        <is>
          <t>The provided Java code defines a class `BuildPlanParser` within the package `org.springframework.boot.buildpack.platform.build`. This class is responsible for parsing build plans from TOML files using the Tomlj library. The main functionalities include:
1. **Parsing**: It reads a TOML formatted input stream and parses it into a `TomlParseResult`.
2. **Validation**: It checks if the</t>
        </is>
      </c>
      <c r="E2362" t="n">
        <v>0.0042</v>
      </c>
      <c r="F2362" t="n">
        <v>0.09229999999999999</v>
      </c>
      <c r="G2362" t="n">
        <v>0.121</v>
      </c>
      <c r="H2362" t="inlineStr">
        <is>
          <t>The code provides a Java implementation of core algorithms used in building Spring Boot applications using build packs. It includes parsing TOML files and handling input streams, among other functionalities. The complexity is O(N) due to potential processing of large data inputs.</t>
        </is>
      </c>
      <c r="I2362" t="n">
        <v>0.0052</v>
      </c>
      <c r="J2362" t="n">
        <v>0.1176</v>
      </c>
      <c r="K2362" t="n">
        <v>0.1754</v>
      </c>
      <c r="L2362" t="inlineStr">
        <is>
          <t>The provided code defines a class `BuildSettings` within the Spring Boot Build Pack platform that parses build settings from a TOML configuration file located at a specified path. It uses the Toml library to parse the content of the file into a `TomlParseResult`. The parsed data includes various properties such as application name, version, dependencies, and other metadata relevant to building applications using Spring Boot.</t>
        </is>
      </c>
      <c r="M2362" t="n">
        <v>0.0028</v>
      </c>
      <c r="N2362" t="n">
        <v>0.0274</v>
      </c>
      <c r="O2362" t="n">
        <v>0.073</v>
      </c>
    </row>
    <row r="2363">
      <c r="A2363" t="inlineStr">
        <is>
          <t>springboot</t>
        </is>
      </c>
      <c r="B2363" t="inlineStr">
        <is>
          <t>buildpack/spring-boot-buildpack-platform/src/main/java/org/springframework/boot/buildpack/platform/build/Creator.java</t>
        </is>
      </c>
      <c r="C2363">
        <f>HYPERLINK("https://github.com/spring-projects/spring-boot/blob/master/buildpack/spring-boot-buildpack-platform/src/main/java/org/springframework/boot/buildpack/platform/build/Creator.java")</f>
        <v/>
      </c>
      <c r="D2363" t="inlineStr">
        <is>
          <t>The `Creator` class represents identifying information about the tooling used to create a builder. It includes a constructor that takes a version string as input and provides a method to retrieve the version. The class uses Spring's `Assert` utility to ensure that the version is not null before setting it. This ensures robustness and correctness in handling the creator's version data.</t>
        </is>
      </c>
      <c r="E2363" t="n">
        <v>0.0036</v>
      </c>
      <c r="F2363" t="n">
        <v>0.0563</v>
      </c>
      <c r="G2363" t="n">
        <v>0.1128</v>
      </c>
      <c r="H2363" t="inlineStr">
        <is>
          <t>The repository contains backend software components implementing core algorithms. The complexity is O(N), indicating linear time complexity. The implementation includes comments explaining the purpose of each part. The code size is 1000 lines.</t>
        </is>
      </c>
      <c r="I2363" t="n">
        <v>0.0067</v>
      </c>
      <c r="J2363" t="n">
        <v>0.1429</v>
      </c>
      <c r="K2363" t="n">
        <v>0.1429</v>
      </c>
      <c r="L2363" t="inlineStr">
        <is>
          <t>The `Creator` class provides identifying information about the tools used to create a builder. It includes a constructor that takes a version string as input and ensures it's not null using Spring's `Assert`. The class has a method `getVersion()` that returns the version of the build tool. This information is crucial for tracking which tools were used during the creation process of the builder.</t>
        </is>
      </c>
      <c r="M2363" t="n">
        <v>0.0034</v>
      </c>
      <c r="N2363" t="n">
        <v>0.027</v>
      </c>
      <c r="O2363" t="n">
        <v>0.1103</v>
      </c>
    </row>
    <row r="2364">
      <c r="A2364" t="inlineStr">
        <is>
          <t>springboot</t>
        </is>
      </c>
      <c r="B2364" t="inlineStr">
        <is>
          <t>buildpack/spring-boot-buildpack-platform/src/main/java/org/springframework/boot/buildpack/platform/build/StackId.java</t>
        </is>
      </c>
      <c r="C2364">
        <f>HYPERLINK("https://github.com/spring-projects/spring-boot/blob/master/buildpack/spring-boot-buildpack-platform/src/main/java/org/springframework/boot/buildpack/platform/build/StackId.java")</f>
        <v/>
      </c>
      <c r="D2364" t="inlineStr">
        <is>
          <t>The provided Java class `StackId` represents a stack identifier used in Spring Boot buildpacks. It encapsulates information about a Docker image that serves as a base environment for building applications. The class includes methods for creating instances from various sources, such as strings or images, and provides utilities for comparing and validating stack IDs. The implementation uses annotations like `@Nullable` to handle optional values gracefully.</t>
        </is>
      </c>
      <c r="E2364" t="n">
        <v>0.0028</v>
      </c>
      <c r="F2364" t="n">
        <v>0.0274</v>
      </c>
      <c r="G2364" t="n">
        <v>0.1095</v>
      </c>
      <c r="H2364" t="inlineStr">
        <is>
          <t>This repository contains backend software components implementing core algorithms. The complexity is O(N), indicating linear time complexity, which means the execution time increases linearly with the size of the input data. The comments describe the implementation of these algorithms, while the commits document the initial creation of the codebase. The total code size is 1000 lines.</t>
        </is>
      </c>
      <c r="I2364" t="n">
        <v>0.0043</v>
      </c>
      <c r="J2364" t="n">
        <v>0.1231</v>
      </c>
      <c r="K2364" t="n">
        <v>0.1563</v>
      </c>
      <c r="L2364" t="inlineStr">
        <is>
          <t>This Java class represents a stack identifier used in Spring Boot build pack platform builds. It encapsulates the necessary details such as image configuration and provides methods to validate and retrieve these configurations. The class ensures that all fields are non-null before being accessed, enhancing data integrity.</t>
        </is>
      </c>
      <c r="M2364" t="n">
        <v>0.0046</v>
      </c>
      <c r="N2364" t="n">
        <v>0.07140000000000001</v>
      </c>
      <c r="O2364" t="n">
        <v>0.1261</v>
      </c>
    </row>
    <row r="2365">
      <c r="A2365" t="inlineStr">
        <is>
          <t>springboot</t>
        </is>
      </c>
      <c r="B2365" t="inlineStr">
        <is>
          <t>buildpack/spring-boot-buildpack-platform/src/main/java/org/springframework/boot/buildpack/platform/build/TarGzipBuildpack.java</t>
        </is>
      </c>
      <c r="C2365">
        <f>HYPERLINK("https://github.com/spring-projects/spring-boot/blob/master/buildpack/spring-boot-buildpack-platform/src/main/java/org/springframework/boot/buildpack/platform/build/TarGzipBuildpack.java")</f>
        <v/>
      </c>
      <c r="D2365" t="inlineStr">
        <is>
          <t>The provided Java code defines a class `TarArchiver` that uses Apache Commons Compress library to create tar archives from given input files. The class has methods to add entries to the archive, close it, and write its contents to an output stream. It also includes error handling for I/O operations. The complexity of the implementation is O(N), where N is the number of files being archived.</t>
        </is>
      </c>
      <c r="E2365" t="n">
        <v>0.0028</v>
      </c>
      <c r="F2365" t="n">
        <v>0.0263</v>
      </c>
      <c r="G2365" t="n">
        <v>0.1087</v>
      </c>
      <c r="H2365" t="inlineStr">
        <is>
          <t>This repository contains backend software components implementing core algorithms. The complexity of the implementation is O(N), indicating that it scales linearly with input size.</t>
        </is>
      </c>
      <c r="I2365" t="n">
        <v>0.0104</v>
      </c>
      <c r="J2365" t="n">
        <v>0.2424</v>
      </c>
      <c r="K2365" t="n">
        <v>0.2083</v>
      </c>
      <c r="L2365" t="inlineStr">
        <is>
          <t>This Java class provides methods for creating tar archives from directories using the Apache Commons Compress library. It includes functionalities such as adding files to the archive, setting entry names, and handling output streams. The code is designed to be efficient and handle large directory structures effectively.</t>
        </is>
      </c>
      <c r="M2365" t="n">
        <v>0.0046</v>
      </c>
      <c r="N2365" t="n">
        <v>0.1091</v>
      </c>
      <c r="O2365" t="n">
        <v>0.1261</v>
      </c>
    </row>
    <row r="2366">
      <c r="A2366" t="inlineStr">
        <is>
          <t>springboot</t>
        </is>
      </c>
      <c r="B2366" t="inlineStr">
        <is>
          <t>buildpack/spring-boot-buildpack-platform/src/main/java/org/springframework/boot/buildpack/platform/build/PullPolicy.java</t>
        </is>
      </c>
      <c r="C2366">
        <f>HYPERLINK("https://github.com/spring-projects/spring-boot/blob/master/buildpack/spring-boot-buildpack-platform/src/main/java/org/springframework/boot/buildpack/platform/build/PullPolicy.java")</f>
        <v/>
      </c>
      <c r="D2366" t="inlineStr">
        <is>
          <t>The code defines an `enum` called `PullPolicy` which represents different strategies for pulling images during container builds. The options include:
- **ALWAYS**: Always fetch the latest version of the image from the registry.
- **NEVER**: Do not attempt to download any new images; assume they are already available locally.
- **IF**: Only download the image if it doesn't already exist locally</t>
        </is>
      </c>
      <c r="E2366" t="n">
        <v>0</v>
      </c>
      <c r="F2366" t="n">
        <v>0</v>
      </c>
      <c r="G2366" t="n">
        <v>0</v>
      </c>
      <c r="H2366" t="inlineStr">
        <is>
          <t>The code defines an enumeration `PullPolicy` that represents different strategies for handling image pulling policies in a Spring Boot build pack platform. The README provides information about the repository's purpose as containing backend software components, mentions the implementation of core algorithms, notes the initial codebase commit, and describes the complexity as O(N). The code size is given as 1000 lines.</t>
        </is>
      </c>
      <c r="I2366" t="n">
        <v>0.004</v>
      </c>
      <c r="J2366" t="n">
        <v>0.1143</v>
      </c>
      <c r="K2366" t="n">
        <v>0.1515</v>
      </c>
      <c r="L2366" t="inlineStr">
        <is>
          <t>This Java enumeration defines three image pull policies used in Spring Boot build pack platform builds: always pulling the image (`ALWAYS`), never pulling the image (`NEVER`), and pulling only if it doesn't exist locally (`IF`). The `PullPolicy` class provides constants for these behaviors, which can be used to specify how images should be managed during the build process.</t>
        </is>
      </c>
      <c r="M2366" t="n">
        <v>0.0037</v>
      </c>
      <c r="N2366" t="n">
        <v>0.0597</v>
      </c>
      <c r="O2366" t="n">
        <v>0.1154</v>
      </c>
    </row>
    <row r="2367">
      <c r="A2367" t="inlineStr">
        <is>
          <t>springboot</t>
        </is>
      </c>
      <c r="B2367" t="inlineStr">
        <is>
          <t>buildpack/spring-boot-buildpack-platform/src/main/java/org/springframework/boot/buildpack/platform/build/BuildpackMetadata.java</t>
        </is>
      </c>
      <c r="C2367">
        <f>HYPERLINK("https://github.com/spring-projects/spring-boot/blob/master/buildpack/spring-boot-buildpack-platform/src/main/java/org/springframework/boot/buildpack/platform/build/BuildpackMetadata.java")</f>
        <v/>
      </c>
      <c r="D2367" t="inlineStr">
        <is>
          <t>The provided Java code defines a class `BuildService` within the package `org.springframework.boot.buildpack.platform.build`. This class appears to be part of a build system that handles building Docker images using Spring Boot Build Pack technology. The class includes methods for managing image configurations and handling JSON data related to builds. It uses Jackson library for JSON processing and provides annotations from JSPECIFY for type safety checks.</t>
        </is>
      </c>
      <c r="E2367" t="n">
        <v>0.0034</v>
      </c>
      <c r="F2367" t="n">
        <v>0.0519</v>
      </c>
      <c r="G2367" t="n">
        <v>0.1103</v>
      </c>
      <c r="H2367" t="inlineStr">
        <is>
          <t>The repository contains backend software components implementing core algorithms. The complexity is O(N), indicating linear time complexity, and it includes comments explaining the implementation. The code size is 1000 lines.</t>
        </is>
      </c>
      <c r="I2367" t="n">
        <v>0.008200000000000001</v>
      </c>
      <c r="J2367" t="n">
        <v>0.2051</v>
      </c>
      <c r="K2367" t="n">
        <v>0.3094</v>
      </c>
      <c r="L2367" t="inlineStr">
        <is>
          <t>The code implements a build process for Spring Boot applications using Docker images. It processes configuration files and generates Docker image configurations based on these settings. The implementation includes methods for reading JSON input, constructing Docker images, and handling various aspects of the build pipeline.</t>
        </is>
      </c>
      <c r="M2367" t="n">
        <v>0.0049</v>
      </c>
      <c r="N2367" t="n">
        <v>0.0755</v>
      </c>
      <c r="O2367" t="n">
        <v>0.1282</v>
      </c>
    </row>
    <row r="2368">
      <c r="A2368" t="inlineStr">
        <is>
          <t>springboot</t>
        </is>
      </c>
      <c r="B2368" t="inlineStr">
        <is>
          <t>buildpack/spring-boot-buildpack-platform/src/main/java/org/springframework/boot/buildpack/platform/build/ApiVersions.java</t>
        </is>
      </c>
      <c r="C2368">
        <f>HYPERLINK("https://github.com/spring-projects/spring-boot/blob/master/buildpack/spring-boot-buildpack-platform/src/main/java/org/springframework/boot/buildpack/platform/build/ApiVersions.java")</f>
        <v/>
      </c>
      <c r="D2368" t="inlineStr">
        <is>
          <t>The provided Java class `ApiVersions` represents a collection of API version numbers consisting of major and minor values. It includes methods for parsing string representations of these versions, comparing them, and determining if they fall within specified ranges. The class uses the Apache License 2.0 for licensing.</t>
        </is>
      </c>
      <c r="E2368" t="n">
        <v>0.0039</v>
      </c>
      <c r="F2368" t="n">
        <v>0.0357</v>
      </c>
      <c r="G2368" t="n">
        <v>0.08400000000000001</v>
      </c>
      <c r="H2368" t="inlineStr">
        <is>
          <t>This Java class represents a set of API version numbers consisting of major and minor values. It includes methods for parsing strings into `ApiVersion` objects and comparing them. The complexity is linear due to string manipulation operations.</t>
        </is>
      </c>
      <c r="I2368" t="n">
        <v>0.006</v>
      </c>
      <c r="J2368" t="n">
        <v>0.08890000000000001</v>
      </c>
      <c r="K2368" t="n">
        <v>0.0917</v>
      </c>
      <c r="L2368" t="inlineStr">
        <is>
          <t>This Java class represents a collection of API version numbers consisting of major and minor values. It includes methods to parse strings into API versions, compare them, and retrieve their major and minor parts. The class uses `IntStream` for efficient iteration over arrays and provides utility methods for string manipulation using Spring's `StringUtils`.</t>
        </is>
      </c>
      <c r="M2368" t="n">
        <v>0.0041</v>
      </c>
      <c r="N2368" t="n">
        <v>0.0645</v>
      </c>
      <c r="O2368" t="n">
        <v>0.12</v>
      </c>
    </row>
    <row r="2369">
      <c r="A2369" t="inlineStr">
        <is>
          <t>springboot</t>
        </is>
      </c>
      <c r="B2369" t="inlineStr">
        <is>
          <t>buildpack/spring-boot-buildpack-platform/src/main/java/org/springframework/boot/buildpack/platform/build/AbstractBuildLog.java</t>
        </is>
      </c>
      <c r="C2369">
        <f>HYPERLINK("https://github.com/spring-projects/spring-boot/blob/master/buildpack/spring-boot-buildpack-platform/src/main/java/org/springframework/boot/buildpack/platform/build/AbstractBuildLog.java")</f>
        <v/>
      </c>
      <c r="D2369" t="inlineStr">
        <is>
          <t>The provided Java code defines a class `BuildService` within the package `org.springframework.boot.buildpack.platform.build`. This service manages the build process using Docker images and logs updates during the build lifecycle. It includes methods for handling log events, managing image platforms, and processing build tasks efficiently. The complexity of the implementation is O(N), indicating that it processes data linearly based on input size.</t>
        </is>
      </c>
      <c r="E2369" t="n">
        <v>0.0036</v>
      </c>
      <c r="F2369" t="n">
        <v>0.0541</v>
      </c>
      <c r="G2369" t="n">
        <v>0.1515</v>
      </c>
      <c r="H2369" t="inlineStr">
        <is>
          <t>The provided code implements core algorithms for building Docker images using Spring Boot buildpacks. It includes classes and methods for managing image platforms, logging updates, and processing total progress. The complexity is high due to its extensive implementation of these features.</t>
        </is>
      </c>
      <c r="I2369" t="n">
        <v>0.0105</v>
      </c>
      <c r="J2369" t="n">
        <v>0.1224</v>
      </c>
      <c r="K2369" t="n">
        <v>0.2793</v>
      </c>
      <c r="L2369" t="inlineStr">
        <is>
          <t>This Java class provides methods for building Docker images using Spring Boot buildpacks. It includes functionalities such as creating image platforms, handling log updates, and managing total progress during builds. The code uses JSPECIFY annotations for type safety and handles nullable values appropriately.</t>
        </is>
      </c>
      <c r="M2369" t="n">
        <v>0.0051</v>
      </c>
      <c r="N2369" t="n">
        <v>0.1176</v>
      </c>
      <c r="O2369" t="n">
        <v>0.1304</v>
      </c>
    </row>
    <row r="2370">
      <c r="A2370" t="inlineStr">
        <is>
          <t>springboot</t>
        </is>
      </c>
      <c r="B2370" t="inlineStr">
        <is>
          <t>buildpack/spring-boot-buildpack-platform/src/main/java/org/springframework/boot/buildpack/platform/docker/UpdateEvent.java</t>
        </is>
      </c>
      <c r="C2370">
        <f>HYPERLINK("https://github.com/spring-projects/spring-boot/blob/master/buildpack/spring-boot-buildpack-platform/src/main/java/org/springframework/boot/buildpack/platform/docker/UpdateEvent.java")</f>
        <v/>
      </c>
      <c r="D2370" t="inlineStr">
        <is>
          <t>The provided code defines a base class `UpdateEvent` within the `org.springframework.boot.buildpack.platform.docker` package. This class serves as a foundation for various types of update events that can be published by Docker-related operations. The class includes a simple constructor and does not contain any additional methods or fields beyond those inherited from its superclass. It is designed to facilitate the publication of update notifications through event listeners</t>
        </is>
      </c>
      <c r="E2370" t="n">
        <v>0.0033</v>
      </c>
      <c r="F2370" t="n">
        <v>0.0506</v>
      </c>
      <c r="G2370" t="n">
        <v>0.073</v>
      </c>
      <c r="H2370" t="inlineStr">
        <is>
          <t>The provided Java code defines a base class `UpdateEvent` within the `org.springframework.boot.buildpack.platform.docker` package. This class serves as a foundation for publishing update events related to Docker operations. It includes comments explaining its purpose and usage, along with metadata about its complexity, size, and commits. The README indicates that this repository contains backend software components implementing core algorithms.</t>
        </is>
      </c>
      <c r="I2370" t="n">
        <v>0.0045</v>
      </c>
      <c r="J2370" t="n">
        <v>0.1143</v>
      </c>
      <c r="K2370" t="n">
        <v>0.2884</v>
      </c>
      <c r="L2370" t="inlineStr">
        <is>
          <t>The `UpdateEvent` class serves as a base class for all update events that can be published by Docker. It provides a common structure for handling updates across different platforms and applications using Spring Boot's build pack platform. The class includes comments indicating its implementation of core algorithms and mentions its role in managing updates within the context of backend software components.</t>
        </is>
      </c>
      <c r="M2370" t="n">
        <v>0.0039</v>
      </c>
      <c r="N2370" t="n">
        <v>0.0857</v>
      </c>
      <c r="O2370" t="n">
        <v>0.188</v>
      </c>
    </row>
    <row r="2371">
      <c r="A2371" t="inlineStr">
        <is>
          <t>springboot</t>
        </is>
      </c>
      <c r="B2371" t="inlineStr">
        <is>
          <t>buildpack/spring-boot-buildpack-platform/src/main/java/org/springframework/boot/buildpack/platform/docker/ProgressUpdateEvent.java</t>
        </is>
      </c>
      <c r="C2371">
        <f>HYPERLINK("https://github.com/spring-projects/spring-boot/blob/master/buildpack/spring-boot-buildpack-platform/src/main/java/org/springframework/boot/buildpack/platform/docker/ProgressUpdateEvent.java")</f>
        <v/>
      </c>
      <c r="D2371" t="inlineStr">
        <is>
          <t>The provided code defines an `ProgressUpdateEvent` class within the `org.springframework.boot.buildpack.platform.docker` package. This class extends the `UpdateEvent` class and includes fields for tracking progress during operations such as building Docker images. The class uses Jackson annotations for JSON serialization and provides a constructor annotated with `@JsonCreator`. It also includes a field named 'f' which seems incomplete based on</t>
        </is>
      </c>
      <c r="E2371" t="n">
        <v>0.0038</v>
      </c>
      <c r="F2371" t="n">
        <v>0.0571</v>
      </c>
      <c r="G2371" t="n">
        <v>0.1163</v>
      </c>
      <c r="H2371" t="inlineStr">
        <is>
          <t>The code defines an abstract class `ProgressUpdateEvent` within the package `org.springframework.boot.buildpack.platform.docker`, which serves as a base class for events related to Docker updates. It includes fields such as `f` but lacks complete implementation details due to truncation. The README describes it as part of a larger project containing backend software components, with a complexity level of O(N) and comments indicating</t>
        </is>
      </c>
      <c r="I2371" t="n">
        <v>0.0036</v>
      </c>
      <c r="J2371" t="n">
        <v>0.0541</v>
      </c>
      <c r="K2371" t="n">
        <v>0.1515</v>
      </c>
      <c r="L2371" t="inlineStr">
        <is>
          <t>This Java class hierarchy represents events related to Docker updates, specifically focusing on progress updates. It includes two subclasses: `ProgressStartEvent` and `ProgressEndEvent`, which provide additional context about when the update process begins and ends, respectively. The classes utilize Jackson annotations for JSON serialization and JSpecify annotations for null safety checks. They extend the `UpdateEvent` base class, which likely encapsulates common</t>
        </is>
      </c>
      <c r="M2371" t="n">
        <v>0.0036</v>
      </c>
      <c r="N2371" t="n">
        <v>0.0588</v>
      </c>
      <c r="O2371" t="n">
        <v>0.07580000000000001</v>
      </c>
    </row>
    <row r="2372">
      <c r="A2372" t="inlineStr">
        <is>
          <t>springboot</t>
        </is>
      </c>
      <c r="B2372" t="inlineStr">
        <is>
          <t>buildpack/spring-boot-buildpack-platform/src/main/java/org/springframework/boot/buildpack/platform/docker/PushImageUpdateEvent.java</t>
        </is>
      </c>
      <c r="C2372">
        <f>HYPERLINK("https://github.com/spring-projects/spring-boot/blob/master/buildpack/spring-boot-buildpack-platform/src/main/java/org/springframework/boot/buildpack/platform/docker/PushImageUpdateEvent.java")</f>
        <v/>
      </c>
      <c r="D2372" t="inlineStr">
        <is>
          <t>The provided Java code defines a `PushImageUpdateEvent` class within the `org.springframework.boot.buildpack.platform.docker` package. This event represents progress updates during the process of pushing an image to a Docker registry. The class includes fields for tracking the current step, total steps, and any error messages that occur during the push operation. It uses Jackson annotations for JSON serialization/deserialization and provides a</t>
        </is>
      </c>
      <c r="E2372" t="n">
        <v>0.0037</v>
      </c>
      <c r="F2372" t="n">
        <v>0.0548</v>
      </c>
      <c r="G2372" t="n">
        <v>0.1145</v>
      </c>
      <c r="H2372" t="inlineStr">
        <is>
          <t>The provided Java code defines a `PushImageUpdateEvent` class within the `org.springframework.boot.buildpack.platform.docker` package. This class extends a base `ProgressUpdateEvent` and includes fields such as `image`, `digest`, `size`, and `status`. The class uses Jackson annotations for JSON serialization and deserialization. It also includes a constructor annotated with `@JsonCreator` that allows</t>
        </is>
      </c>
      <c r="I2372" t="n">
        <v>0.0045</v>
      </c>
      <c r="J2372" t="n">
        <v>0.06560000000000001</v>
      </c>
      <c r="K2372" t="n">
        <v>0.125</v>
      </c>
      <c r="L2372" t="inlineStr">
        <is>
          <t>The `PushImageUpdateEvent` class represents progress updates during the process of pushing an image to a Docker registry. It includes fields for the current status, total size, and any error messages that occur during the push operation. The class uses Jackson annotations for JSON serialization/deserialization.</t>
        </is>
      </c>
      <c r="M2372" t="n">
        <v>0.0042</v>
      </c>
      <c r="N2372" t="n">
        <v>0.0377</v>
      </c>
      <c r="O2372" t="n">
        <v>0.0862</v>
      </c>
    </row>
    <row r="2373">
      <c r="A2373" t="inlineStr">
        <is>
          <t>springboot</t>
        </is>
      </c>
      <c r="B2373" t="inlineStr">
        <is>
          <t>buildpack/spring-boot-buildpack-platform/src/main/java/org/springframework/boot/buildpack/platform/docker/LoadImageUpdateEvent.java</t>
        </is>
      </c>
      <c r="C2373">
        <f>HYPERLINK("https://github.com/spring-projects/spring-boot/blob/master/buildpack/spring-boot-buildpack-platform/src/main/java/org/springframework/boot/buildpack/platform/docker/LoadImageUpdateEvent.java")</f>
        <v/>
      </c>
      <c r="D2373" t="inlineStr">
        <is>
          <t>The provided Java code defines a `LoadImageUpdateEvent` class that represents progress updates during the loading of an image using Docker. This event is part of a Spring Boot build pack platform's Docker integration. The class includes fields such as `id`, `status`, `progressDetail`, and `message`. It uses Jackson annotations for JSON serialization and deserialization. The class also implements the `ProgressUpdate</t>
        </is>
      </c>
      <c r="E2373" t="n">
        <v>0.0041</v>
      </c>
      <c r="F2373" t="n">
        <v>0.0588</v>
      </c>
      <c r="G2373" t="n">
        <v>0.1527</v>
      </c>
      <c r="H2373" t="inlineStr">
        <is>
          <t>The code provides a Java implementation of a `LoadImageUpdateEvent` class that represents progress updates during the loading of Docker images. It includes annotations for JSON serialization and specifies the package it belongs to. The complexity is O(N) due to potential processing of large data sets related to image loading progress.</t>
        </is>
      </c>
      <c r="I2373" t="n">
        <v>0.0037</v>
      </c>
      <c r="J2373" t="n">
        <v>0.0678</v>
      </c>
      <c r="K2373" t="n">
        <v>0.082</v>
      </c>
      <c r="L2373" t="inlineStr">
        <is>
          <t>This Java class `LoadImageUpdateEvent` extends `ProgressUpdateEvent`, representing an event that occurs during the loading process of an image using Spring Boot's build pack platform Docker integration. It includes fields such as progress percentage (`percentage`) and message (`message`). The class uses Jackson annotations for JSON serialization/deserialization and provides a constructor annotated with `@JsonCreator`.</t>
        </is>
      </c>
      <c r="M2373" t="n">
        <v>0.0042</v>
      </c>
      <c r="N2373" t="n">
        <v>0.0645</v>
      </c>
      <c r="O2373" t="n">
        <v>0.121</v>
      </c>
    </row>
    <row r="2374">
      <c r="A2374" t="inlineStr">
        <is>
          <t>springboot</t>
        </is>
      </c>
      <c r="B2374" t="inlineStr">
        <is>
          <t>buildpack/spring-boot-buildpack-platform/src/main/java/org/springframework/boot/buildpack/platform/docker/LogUpdateEvent.java</t>
        </is>
      </c>
      <c r="C2374">
        <f>HYPERLINK("https://github.com/spring-projects/spring-boot/blob/master/buildpack/spring-boot-buildpack-platform/src/main/java/org/springframework/boot/buildpack/platform/docker/LogUpdateEvent.java")</f>
        <v/>
      </c>
      <c r="D2374" t="inlineStr">
        <is>
          <t>The provided Java code defines a class `DockerImage` within the package `org.springframework.boot.buildpack.platform.docker`. This class appears to be part of a larger system designed to handle Docker images, possibly as part of a Spring Boot build pack platform. The class likely includes methods for interacting with Docker images, such as reading metadata from image files or processing Dockerfile content. It uses regular expressions and</t>
        </is>
      </c>
      <c r="E2374" t="n">
        <v>0.0034</v>
      </c>
      <c r="F2374" t="n">
        <v>0.0526</v>
      </c>
      <c r="G2374" t="n">
        <v>0.1111</v>
      </c>
      <c r="H2374" t="inlineStr">
        <is>
          <t>This repository contains backend software components that implement core algorithms. The complexity of the implementation is O(N), indicating linear time complexity. The comments describe the purpose of each part of the code, while the commits document the initial creation of the codebase. The total size of the code is 1000 lines.</t>
        </is>
      </c>
      <c r="I2374" t="n">
        <v>0.0047</v>
      </c>
      <c r="J2374" t="n">
        <v>0.1333</v>
      </c>
      <c r="K2374" t="n">
        <v>0.2033</v>
      </c>
      <c r="L2374" t="inlineStr">
        <is>
          <t>This Java class provides utilities for working with Docker images, including parsing image names and handling input streams. It includes methods for reading strings from input streams, asserting non-null values, and using regular expressions to match patterns within image names. The class is part of a larger Spring Boot build pack platform project and has been implemented as part of the initial codebase.</t>
        </is>
      </c>
      <c r="M2374" t="n">
        <v>0.0034</v>
      </c>
      <c r="N2374" t="n">
        <v>0.0556</v>
      </c>
      <c r="O2374" t="n">
        <v>0.1481</v>
      </c>
    </row>
    <row r="2375">
      <c r="A2375" t="inlineStr">
        <is>
          <t>springboot</t>
        </is>
      </c>
      <c r="B2375" t="inlineStr">
        <is>
          <t>buildpack/spring-boot-buildpack-platform/src/main/java/org/springframework/boot/buildpack/platform/docker/TotalProgressPushListener.java</t>
        </is>
      </c>
      <c r="C2375">
        <f>HYPERLINK("https://github.com/spring-projects/spring-boot/blob/master/buildpack/spring-boot-buildpack-platform/src/main/java/org/springframework/boot/buildpack/platform/docker/TotalProgressPushListener.java")</f>
        <v/>
      </c>
      <c r="D2375" t="inlineStr">
        <is>
          <t>The `TotalProgressPushListener` class is a listener designed to track the overall progress of a Docker image push operation. It implements the `UpdateListener` interface and specifically listens for updates related to pushing images. When it receives an update event (`PushImageUpdateEvent`), it calculates the total progress of all pushes combined and publishes a `TotalProgressEvent`. This helps in providing a comprehensive view of</t>
        </is>
      </c>
      <c r="E2375" t="n">
        <v>0.004</v>
      </c>
      <c r="F2375" t="n">
        <v>0.0588</v>
      </c>
      <c r="G2375" t="n">
        <v>0.1136</v>
      </c>
      <c r="H2375" t="inlineStr">
        <is>
          <t>The provided code is a Java implementation of a `TotalProgressPushListener` class within the Spring Boot Build Pack Platform Docker package. It calculates the total progress of a push operation and publishes `TotalProgressEvent`. The complexity is O(N), where N represents the number of updates during the push process. This listener is designed to track the overall progress of pushing images to a container registry.</t>
        </is>
      </c>
      <c r="I2375" t="n">
        <v>0.0034</v>
      </c>
      <c r="J2375" t="n">
        <v>0.0556</v>
      </c>
      <c r="K2375" t="n">
        <v>0.1111</v>
      </c>
      <c r="L2375" t="inlineStr">
        <is>
          <t>The `TotalProgressPushListener` class implements a listener for Docker image pushes, calculating the overall progress of the operation and publishing events when the total progress changes. It uses functional programming concepts through a consumer to handle updates and notifies subscribers about the cumulative progress. The implementation is part of Spring Boot's build pack platform and is designed to enhance monitoring during container image deployments.</t>
        </is>
      </c>
      <c r="M2375" t="n">
        <v>0.0034</v>
      </c>
      <c r="N2375" t="n">
        <v>0.0833</v>
      </c>
      <c r="O2375" t="n">
        <v>0.1111</v>
      </c>
    </row>
    <row r="2376">
      <c r="A2376" t="inlineStr">
        <is>
          <t>springboot</t>
        </is>
      </c>
      <c r="B2376" t="inlineStr">
        <is>
          <t>buildpack/spring-boot-buildpack-platform/src/main/java/org/springframework/boot/buildpack/platform/docker/package-info.java</t>
        </is>
      </c>
      <c r="C2376">
        <f>HYPERLINK("https://github.com/spring-projects/spring-boot/blob/master/buildpack/spring-boot-buildpack-platform/src/main/java/org/springframework/boot/buildpack/platform/docker/package-info.java")</f>
        <v/>
      </c>
      <c r="D2376" t="inlineStr">
        <is>
          <t>The provided Java package `org.springframework.boot.buildpack.platform.docker` includes a limited Docker API designed specifically for use by the `pack` tool. It provides essential methods for interacting with Docker containers and images without exposing all its features. The code uses annotations from the JSPECIFY library to indicate that certain fields can be null. The complexity of the implementation is O(N), indicating linear time complexity, which</t>
        </is>
      </c>
      <c r="E2376" t="n">
        <v>0.0029</v>
      </c>
      <c r="F2376" t="n">
        <v>0.0263</v>
      </c>
      <c r="G2376" t="n">
        <v>0.1119</v>
      </c>
      <c r="H2376" t="inlineStr">
        <is>
          <t>This repository contains backend software components that implement core algorithms. The complexity of these implementations is O(N), indicating linear time complexity relative to the input size.</t>
        </is>
      </c>
      <c r="I2376" t="n">
        <v>0.009599999999999999</v>
      </c>
      <c r="J2376" t="n">
        <v>0.2286</v>
      </c>
      <c r="K2376" t="n">
        <v>0.2041</v>
      </c>
      <c r="L2376" t="inlineStr">
        <is>
          <t>This Java package provides a simplified Docker API tailored for use within the Spring Boot buildpack platform, focusing on essential operations necessary for packaging applications. The `@NullMarked` annotation indicates that certain methods might return null values, which should be handled appropriately.</t>
        </is>
      </c>
      <c r="M2376" t="n">
        <v>0.0045</v>
      </c>
      <c r="N2376" t="n">
        <v>0.0408</v>
      </c>
      <c r="O2376" t="n">
        <v>0.0885</v>
      </c>
    </row>
    <row r="2377">
      <c r="A2377" t="inlineStr">
        <is>
          <t>springboot</t>
        </is>
      </c>
      <c r="B2377" t="inlineStr">
        <is>
          <t>buildpack/spring-boot-buildpack-platform/src/main/java/org/springframework/boot/buildpack/platform/docker/TotalProgressPullListener.java</t>
        </is>
      </c>
      <c r="C2377">
        <f>HYPERLINK("https://github.com/spring-projects/spring-boot/blob/master/buildpack/spring-boot-buildpack-platform/src/main/java/org/springframework/boot/buildpack/platform/docker/TotalProgressPullListener.java")</f>
        <v/>
      </c>
      <c r="D2377" t="inlineStr">
        <is>
          <t>The `TotalProgressPullListener` class is a listener designed to track the overall progress of a Docker image pull operation. It calculates the total progress based on individual pull events and emits a `TotalProgressEvent` when the cumulative progress reaches a certain threshold. This helps users monitor the progress of large image pulls efficiently. The implementation uses functional programming concepts through a consumer interface to handle event notifications.</t>
        </is>
      </c>
      <c r="E2377" t="n">
        <v>0.0033</v>
      </c>
      <c r="F2377" t="n">
        <v>0.0822</v>
      </c>
      <c r="G2377" t="n">
        <v>0.146</v>
      </c>
      <c r="H2377" t="inlineStr">
        <is>
          <t>Manages the overall progress of Docker image pulls and emits events indicating the cumulative progress.</t>
        </is>
      </c>
      <c r="I2377" t="n">
        <v>0.0132</v>
      </c>
      <c r="J2377" t="n">
        <v>0.08699999999999999</v>
      </c>
      <c r="K2377" t="n">
        <v>0.0575</v>
      </c>
      <c r="L2377" t="inlineStr">
        <is>
          <t>The `TotalProgressPullListener` class implements a listener that tracks the overall progress of a Docker image pull operation. It calculates the total progress based on individual pull events and publishes a `TotalProgressEvent` when the pull completes. The implementation uses functional programming concepts such as `Consumer` to handle event processing.</t>
        </is>
      </c>
      <c r="M2377" t="n">
        <v>0.0045</v>
      </c>
      <c r="N2377" t="n">
        <v>0.07140000000000001</v>
      </c>
      <c r="O2377" t="n">
        <v>0.125</v>
      </c>
    </row>
    <row r="2378">
      <c r="A2378" t="inlineStr">
        <is>
          <t>springboot</t>
        </is>
      </c>
      <c r="B2378" t="inlineStr">
        <is>
          <t>buildpack/spring-boot-buildpack-platform/src/main/java/org/springframework/boot/buildpack/platform/docker/ImagePlatform.java</t>
        </is>
      </c>
      <c r="C2378">
        <f>HYPERLINK("https://github.com/spring-projects/spring-boot/blob/master/buildpack/spring-boot-buildpack-platform/src/main/java/org/springframework/boot/buildpack/platform/docker/ImagePlatform.java")</f>
        <v/>
      </c>
      <c r="D2378" t="inlineStr">
        <is>
          <t>The provided Java code defines a class `DockerImage` within the package `org.springframework.boot.buildpack.platform.docker`. This class represents a Docker image and includes methods for creating instances from JSON data using Jackson's ObjectMapper. The class uses annotations like `@Nullable` from the JSPECIFY library to indicate that certain fields can be null. It also utilizes Spring Boot's utility classes such as `Shared</t>
        </is>
      </c>
      <c r="E2378" t="n">
        <v>0.0037</v>
      </c>
      <c r="F2378" t="n">
        <v>0.0548</v>
      </c>
      <c r="G2378" t="n">
        <v>0.1154</v>
      </c>
      <c r="H2378" t="inlineStr">
        <is>
          <t>The code implements core algorithms for backend software components using Java and Jackson library for JSON processing. It includes assertions and object node handling from JSPECIFY annotations. The complexity is O(N) due to potential nested operations involving arrays or collections.</t>
        </is>
      </c>
      <c r="I2378" t="n">
        <v>0.0116</v>
      </c>
      <c r="J2378" t="n">
        <v>0.1224</v>
      </c>
      <c r="K2378" t="n">
        <v>0.3321</v>
      </c>
      <c r="L2378" t="inlineStr">
        <is>
          <t>The provided Java code defines classes related to Docker image management within Spring Boot buildpacks. It includes utilities for parsing JSON representations of images and ensuring object integrity through assertions. The code uses Jackson's `ObjectMapper` for JSON handling and employs JSPECIFY annotations for type safety checks. The primary functionality involves deserializing JSON data into Image objects and validating their properties using assertions.</t>
        </is>
      </c>
      <c r="M2378" t="n">
        <v>0.0035</v>
      </c>
      <c r="N2378" t="n">
        <v>0.0563</v>
      </c>
      <c r="O2378" t="n">
        <v>0.0746</v>
      </c>
    </row>
    <row r="2379">
      <c r="A2379" t="inlineStr">
        <is>
          <t>springboot</t>
        </is>
      </c>
      <c r="B2379" t="inlineStr">
        <is>
          <t>buildpack/spring-boot-buildpack-platform/src/main/java/org/springframework/boot/buildpack/platform/docker/TotalProgressListener.java</t>
        </is>
      </c>
      <c r="C2379">
        <f>HYPERLINK("https://github.com/spring-projects/spring-boot/blob/master/buildpack/spring-boot-buildpack-platform/src/main/java/org/springframework/boot/buildpack/platform/docker/TotalProgressListener.java")</f>
        <v/>
      </c>
      <c r="D2379" t="inlineStr">
        <is>
          <t>The provided Java code defines a class `ProgressCalculator` within the package `org.springframework.boot.buildpack.platform.docker`. This class implements the `UpdateListener` interface, which allows it to listen for progress updates during Docker operations. The main purpose of this class is to calculate the total progress based on individual update events received from the listener.
Key functionalities include:
1. **Initialization**: It uses a `</t>
        </is>
      </c>
      <c r="E2379" t="n">
        <v>0.0037</v>
      </c>
      <c r="F2379" t="n">
        <v>0.08450000000000001</v>
      </c>
      <c r="G2379" t="n">
        <v>0.1145</v>
      </c>
      <c r="H2379" t="inlineStr">
        <is>
          <t>This repository contains backend software components implementing core algorithms. Complexity is O(N), indicating linear time complexity based on input size N. The implementation includes comments explaining the purpose and functionality of each part of the code. Initial codebase commit was made. Code size is 1000 lines.</t>
        </is>
      </c>
      <c r="I2379" t="n">
        <v>0.006</v>
      </c>
      <c r="J2379" t="n">
        <v>0.1818</v>
      </c>
      <c r="K2379" t="n">
        <v>0.2542</v>
      </c>
      <c r="L2379" t="inlineStr">
        <is>
          <t>This Java class implements `UpdateListener` from Spring Boot's Docker platform module. It tracks progress updates during image builds and calculates the overall percentage completion based on cumulative data received through event notifications. The listener uses concurrent maps to store details about each step and accumulates these details to compute the total progress percentage.</t>
        </is>
      </c>
      <c r="M2379" t="n">
        <v>0.0045</v>
      </c>
      <c r="N2379" t="n">
        <v>0.0968</v>
      </c>
      <c r="O2379" t="n">
        <v>0.16</v>
      </c>
    </row>
    <row r="2380">
      <c r="A2380" t="inlineStr">
        <is>
          <t>wordpress</t>
        </is>
      </c>
      <c r="B2380" t="inlineStr">
        <is>
          <t>WordPress/src/jetpack/assets/support_chat_widget.js</t>
        </is>
      </c>
      <c r="C2380">
        <f>HYPERLINK("https://github.com/wordpress-mobile/WordPress-Android/blob/master/WordPress/src/jetpack/assets/support_chat_widget.js")</f>
        <v/>
      </c>
      <c r="D2380" t="inlineStr">
        <is>
          <t>The provided code initializes a DocsBotAI instance with parameters from the URL query string. It includes functions to handle initialization (`init`) and loading DocsBotAI (`loadDocsBotAI`). The `supportCallback` function is used to process events and history data, preventing default behavior and logging the history for further processing.</t>
        </is>
      </c>
      <c r="E2380" t="n">
        <v>0.004</v>
      </c>
      <c r="F2380" t="n">
        <v>0.0741</v>
      </c>
      <c r="G2380" t="n">
        <v>0.0847</v>
      </c>
      <c r="H2380" t="inlineStr">
        <is>
          <t>Manages initialization and loading of Docs Bot AI with parameters from query strings, handling support callbacks for chat events and sending Android messages based on the chat history.</t>
        </is>
      </c>
      <c r="I2380" t="n">
        <v>0.0067</v>
      </c>
      <c r="J2380" t="n">
        <v>0.0556</v>
      </c>
      <c r="K2380" t="n">
        <v>0.05</v>
      </c>
      <c r="L2380" t="inlineStr">
        <is>
          <t>The provided code initializes the DocsBotAI library by loading configuration parameters from the URL query string. It sets up the initialization with specific IDs for the AI instance and user identification, defines a callback function to handle support events, and includes optional settings like bot name, description, color, support link, and label placeholders. The `loadDocsBotAI` function is triggered when the `init` function is</t>
        </is>
      </c>
      <c r="M2380" t="n">
        <v>0.0029</v>
      </c>
      <c r="N2380" t="n">
        <v>0.0563</v>
      </c>
      <c r="O2380" t="n">
        <v>0.0741</v>
      </c>
    </row>
    <row r="2381">
      <c r="A2381" t="inlineStr">
        <is>
          <t>wordpress</t>
        </is>
      </c>
      <c r="B2381" t="inlineStr">
        <is>
          <t>WordPress/src/jetpack/assets/bot_widget.js</t>
        </is>
      </c>
      <c r="C2381">
        <f>HYPERLINK("https://github.com/wordpress-mobile/WordPress-Android/blob/master/WordPress/src/jetpack/assets/bot_widget.js")</f>
        <v/>
      </c>
      <c r="D2381" t="inlineStr">
        <is>
          <t>The provided code initializes a DocsBot AI widget by creating a script tag for loading the widget's JavaScript file from `https://widget.docsbot.ai/chat.js`. It then inserts this script into the DOM before any other scripts to ensure it loads first. Once loaded, it calls `window.DocsBotAI.mount` with configuration parameters passed in as arguments (`id`, `supportCallback`, `identify`,</t>
        </is>
      </c>
      <c r="E2381" t="n">
        <v>0</v>
      </c>
      <c r="F2381" t="n">
        <v>0.029</v>
      </c>
      <c r="G2381" t="n">
        <v>0.04</v>
      </c>
      <c r="H2381" t="inlineStr">
        <is>
          <t>This repository contains backend software components that implement core algorithms. The complexity is O(N), indicating linear time complexity for certain operations. The implementation includes comments explaining the purpose and functionality of each part of the code. The repository was initialized with the first commit containing the initial codebase.</t>
        </is>
      </c>
      <c r="I2381" t="n">
        <v>0.0057</v>
      </c>
      <c r="J2381" t="n">
        <v>0.1754</v>
      </c>
      <c r="K2381" t="n">
        <v>0.25</v>
      </c>
      <c r="L2381" t="inlineStr">
        <is>
          <t>The `DocsBotAI` library initializes by creating a script tag for loading the DocsBot AI widget from a specified URL. It then inserts this script into the DOM before any other scripts. Once loaded, it calls the `mount` method on `window.DocsBotAI`, passing configuration parameters such as ID, support callback, identification function, options, and signature. The `waitForElementAndShadow</t>
        </is>
      </c>
      <c r="M2381" t="n">
        <v>0.0033</v>
      </c>
      <c r="N2381" t="n">
        <v>0.09379999999999999</v>
      </c>
      <c r="O2381" t="n">
        <v>0.07870000000000001</v>
      </c>
    </row>
    <row r="2382">
      <c r="A2382" t="inlineStr">
        <is>
          <t>wordpress</t>
        </is>
      </c>
      <c r="B2382" t="inlineStr">
        <is>
          <t>WordPress/src/jetpack/assets/reader_text_events.js</t>
        </is>
      </c>
      <c r="C2382">
        <f>HYPERLINK("https://github.com/wordpress-mobile/WordPress-Android/blob/master/WordPress/src/jetpack/assets/reader_text_events.js")</f>
        <v/>
      </c>
      <c r="D2382" t="inlineStr">
        <is>
          <t>The code defines a JavaScript function called `debounce`, which ensures that a specified function (`fn`) is only executed after a certain amount of time has passed since its last invocation. In this case, it's used to delay sending messages to a web view when the user highlights or copies text on the page. The `textHighlighted` function sends a "articleTextHighlighted" message to the web view</t>
        </is>
      </c>
      <c r="E2382" t="n">
        <v>0</v>
      </c>
      <c r="F2382" t="n">
        <v>0.0548</v>
      </c>
      <c r="G2382" t="n">
        <v>0.0735</v>
      </c>
      <c r="H2382" t="inlineStr">
        <is>
          <t>The code defines a debounced function `textHighlighted` that sends a "articleTextHighlighted" message to the `wvHandler` every second when the user highlights text on the page. It also listens for copy events and sends a "articleTextCopied" message to the `wvHandler`. The complexity is O(N), where N is the number of characters copied or highlighted.</t>
        </is>
      </c>
      <c r="I2382" t="n">
        <v>0.0035</v>
      </c>
      <c r="J2382" t="n">
        <v>0.0645</v>
      </c>
      <c r="K2382" t="n">
        <v>0.08</v>
      </c>
      <c r="L2382" t="inlineStr">
        <is>
          <t>The code defines a debounced function `textHighlighted` that sends a "articleTextHighlighted" message to the `wvHandler` every second when the user highlights text in the webpage. The function uses `debounce` to limit how often the message is sent even if the user continuously selects text. Additionally, it listens for copy events and sends a "articleTextCopied" message whenever the</t>
        </is>
      </c>
      <c r="M2382" t="n">
        <v>0.0032</v>
      </c>
      <c r="N2382" t="n">
        <v>0.0615</v>
      </c>
      <c r="O2382" t="n">
        <v>0.0775</v>
      </c>
    </row>
    <row r="2383">
      <c r="A2383" t="inlineStr">
        <is>
          <t>wordpress</t>
        </is>
      </c>
      <c r="B2383" t="inlineStr">
        <is>
          <t>WordPress/src/jetpack/java/org/wordpress/android/ui/accounts/login/LoginPrologueRevampedViewModel.kt</t>
        </is>
      </c>
      <c r="C2383">
        <f>HYPERLINK("https://github.com/wordpress-mobile/WordPress-Android/blob/master/WordPress/src/jetpack/java/org/wordpress/android/ui/accounts/login/LoginPrologueRevampedViewModel.kt")</f>
        <v/>
      </c>
      <c r="D2383" t="inlineStr">
        <is>
          <t>The provided code defines a `SensorFactor` class within the `org.wordpress.android.ui.accounts.login` package. It implements a `SensorEventListener` interface to listen for changes in the device's accelerometer data. The class calculates the pitch angle based on the sensor readings and provides this information as a LiveData object. The pitch angle is converted from radians to degrees and scaled appropriately for use in UI components. The</t>
        </is>
      </c>
      <c r="E2383" t="n">
        <v>0.0035</v>
      </c>
      <c r="F2383" t="n">
        <v>0.0526</v>
      </c>
      <c r="G2383" t="n">
        <v>0.1493</v>
      </c>
      <c r="H2383" t="inlineStr">
        <is>
          <t>The code defines a ViewModel class in Kotlin that handles login-related analytics tracking using the UnifiedLoginTracker library. It uses Android hardware sensors to track user interactions during the login process. The ViewModel observes sensor events and updates the tracker accordingly.</t>
        </is>
      </c>
      <c r="I2383" t="n">
        <v>0.0046</v>
      </c>
      <c r="J2383" t="n">
        <v>0.0408</v>
      </c>
      <c r="K2383" t="n">
        <v>0.0893</v>
      </c>
      <c r="L2383" t="inlineStr">
        <is>
          <t>This ViewModel manages login-related analytics tracking using the UnifiedLoginTracker class, which tracks various events such as viewings and clicks during the login process. It uses Android's Sensor API to track changes in device orientation and sends corresponding analytics data based on these changes.</t>
        </is>
      </c>
      <c r="M2383" t="n">
        <v>0.0051</v>
      </c>
      <c r="N2383" t="n">
        <v>0.0755</v>
      </c>
      <c r="O2383" t="n">
        <v>0.1304</v>
      </c>
    </row>
    <row r="2384">
      <c r="A2384" t="inlineStr">
        <is>
          <t>wordpress</t>
        </is>
      </c>
      <c r="B2384" t="inlineStr">
        <is>
          <t>WordPress/src/jetpack/java/org/wordpress/android/ui/accounts/login/LoginPrologueRevampedFragment.kt</t>
        </is>
      </c>
      <c r="C2384">
        <f>HYPERLINK("https://github.com/wordpress-mobile/WordPress-Android/blob/master/WordPress/src/jetpack/java/org/wordpress/android/ui/accounts/login/LoginPrologueRevampedFragment.kt")</f>
        <v/>
      </c>
      <c r="D2384" t="inlineStr">
        <is>
          <t>The provided code is part of a package in the Android application that handles user account login screens using Jetpack Compose for UI development. It includes various composables to create a responsive layout with padding, status bars, and spacing between elements. The `@Composable` function uses local providers and LiveData observability to manage state changes dynamically. The complexity of the implementation is O(N), where N represents</t>
        </is>
      </c>
      <c r="E2384" t="n">
        <v>0.0028</v>
      </c>
      <c r="F2384" t="n">
        <v>0.0541</v>
      </c>
      <c r="G2384" t="n">
        <v>0.1095</v>
      </c>
      <c r="H2384" t="inlineStr">
        <is>
          <t>This repository contains backend software components implementing core algorithms. The complexity is O(N), indicating linear time complexity for certain operations.</t>
        </is>
      </c>
      <c r="I2384" t="n">
        <v>0.0127</v>
      </c>
      <c r="J2384" t="n">
        <v>0.2759</v>
      </c>
      <c r="K2384" t="n">
        <v>0.3431</v>
      </c>
      <c r="L2384" t="inlineStr">
        <is>
          <t>This Android component is part of a WordPress app's login screen implementation using Jetpack Compose. It handles UI state updates based on LiveData data from the ViewModel, providing a responsive layout that adapts to night mode settings. The `Box` composable manages the overall structure, while `Spacer`, `padding`, and `statusBarsPadding` ensure proper spacing and alignment. The `LaunchedEffect`</t>
        </is>
      </c>
      <c r="M2384" t="n">
        <v>0.0039</v>
      </c>
      <c r="N2384" t="n">
        <v>0.09229999999999999</v>
      </c>
      <c r="O2384" t="n">
        <v>0.1563</v>
      </c>
    </row>
    <row r="2385">
      <c r="A2385" t="inlineStr">
        <is>
          <t>wordpress</t>
        </is>
      </c>
      <c r="B2385" t="inlineStr">
        <is>
          <t>WordPress/src/jetpack/java/org/wordpress/android/ui/accounts/login/components/RepeatingColumn.kt</t>
        </is>
      </c>
      <c r="C2385">
        <f>HYPERLINK("https://github.com/wordpress-mobile/WordPress-Android/blob/master/WordPress/src/jetpack/java/org/wordpress/android/ui/accounts/login/components/RepeatingColumn.kt")</f>
        <v/>
      </c>
      <c r="D2385" t="inlineStr">
        <is>
          <t>The provided code defines a custom Composable function called `RepeatingColumn`. This function takes three parameters:
- `position`: A float representing the vertical offset percentage for the repeated content within its parent container.
- `modifier`: An optional Modifier object to apply additional styling to the layout.
- `repeat`: An integer specifying how many times the child composable should be repeated vertically.
Inside the function,</t>
        </is>
      </c>
      <c r="E2385" t="n">
        <v>0.0029</v>
      </c>
      <c r="F2385" t="n">
        <v>0.0588</v>
      </c>
      <c r="G2385" t="n">
        <v>0.0741</v>
      </c>
      <c r="H2385" t="inlineStr">
        <is>
          <t>This repository contains backend software components implementing core algorithms. Complexity is O(N), with comments indicating implementation details. Initial codebase commit was made. Code size is 1000 lines.</t>
        </is>
      </c>
      <c r="I2385" t="n">
        <v>0.0092</v>
      </c>
      <c r="J2385" t="n">
        <v>0.2222</v>
      </c>
      <c r="K2385" t="n">
        <v>0.202</v>
      </c>
      <c r="L2385" t="inlineStr">
        <is>
          <t>This composable function, `RepeatingColumn`, takes a child composable and repeats it multiple times, placing each repetition vertically offset from the previous one based on a specified position. The function allows for customization of both the number of repetitions (`repeat`) and the vertical offset (`position`). This layout utility helps in ensuring that content remains visually centered within a container even when repeated elements exceed the available space.</t>
        </is>
      </c>
      <c r="M2385" t="n">
        <v>0.0033</v>
      </c>
      <c r="N2385" t="n">
        <v>0.08110000000000001</v>
      </c>
      <c r="O2385" t="n">
        <v>0.1449</v>
      </c>
    </row>
    <row r="2386">
      <c r="A2386" t="inlineStr">
        <is>
          <t>wordpress</t>
        </is>
      </c>
      <c r="B2386" t="inlineStr">
        <is>
          <t>WordPress/src/jetpack/java/org/wordpress/android/ui/accounts/login/components/LoopingText.kt</t>
        </is>
      </c>
      <c r="C2386">
        <f>HYPERLINK("https://github.com/wordpress-mobile/WordPress-Android/blob/master/WordPress/src/jetpack/java/org/wordpress/android/ui/accounts/login/components/LoopingText.kt")</f>
        <v/>
      </c>
      <c r="D2386" t="inlineStr">
        <is>
          <t>The provided code is part of a login component in the WordPress Android app. It uses Compose for UI development to create a text element that displays a message indicating whether the current device's screen size is odd or even. The `Fixed_` constant seems to be unused within this context. The code includes comments explaining its purpose and complexity, as well as references to other resources like strings and themes used</t>
        </is>
      </c>
      <c r="E2386" t="n">
        <v>0.0026</v>
      </c>
      <c r="F2386" t="n">
        <v>0.05</v>
      </c>
      <c r="G2386" t="n">
        <v>0.1049</v>
      </c>
      <c r="H2386" t="inlineStr">
        <is>
          <t>This repository contains backend software components implementing core algorithms. Complexity is O(N). The implementation includes comments explaining the purpose and functionality of each part. The code size is 1000 lines.</t>
        </is>
      </c>
      <c r="I2386" t="n">
        <v>0.009299999999999999</v>
      </c>
      <c r="J2386" t="n">
        <v>0.2564</v>
      </c>
      <c r="K2386" t="n">
        <v>0.2941</v>
      </c>
      <c r="L2386" t="inlineStr">
        <is>
          <t>The code defines a Composable function `LoginTitle` that displays a title for a login screen using Material 3's Text component. It includes styling such as font weight, color, and size based on the current theme and device configuration. The function takes a modifier for layout customization and uses string resources from the R class for text content. The `@Preview` annotation is used to provide visual previews</t>
        </is>
      </c>
      <c r="M2386" t="n">
        <v>0.0028</v>
      </c>
      <c r="N2386" t="n">
        <v>0.0533</v>
      </c>
      <c r="O2386" t="n">
        <v>0.0725</v>
      </c>
    </row>
    <row r="2387">
      <c r="A2387" t="inlineStr">
        <is>
          <t>wordpress</t>
        </is>
      </c>
      <c r="B2387" t="inlineStr">
        <is>
          <t>WordPress/src/jetpack/java/org/wordpress/android/ui/accounts/login/components/LoopingTextWithBackground.kt</t>
        </is>
      </c>
      <c r="C2387">
        <f>HYPERLINK("https://github.com/wordpress-mobile/WordPress-Android/blob/master/WordPress/src/jetpack/java/org/wordpress/android/ui/accounts/login/components/LoopingTextWithBackground.kt")</f>
        <v/>
      </c>
      <c r="D2387" t="inlineStr">
        <is>
          <t>The `LoopingTextWithBackground` composable function in the given package is designed to display looping text with a background image. It uses Compose for UI development and includes features such as:
- A box layout that fills the maximum size available.
- Background painting using a specified resource.
- Padding around the content.
- Clear semantics for accessibility purposes.
- Preview support for different device configurations.
-</t>
        </is>
      </c>
      <c r="E2387" t="n">
        <v>0.0028</v>
      </c>
      <c r="F2387" t="n">
        <v>0.0597</v>
      </c>
      <c r="G2387" t="n">
        <v>0.073</v>
      </c>
      <c r="H2387" t="inlineStr">
        <is>
          <t>This repository contains backend software components that implement core algorithms. The complexity is O(N), indicating linear time complexity for certain operations. The comments describe the implementation of these algorithms. There have been initial commits to set up the codebase. The total size of the code is 1000 lines.</t>
        </is>
      </c>
      <c r="I2387" t="n">
        <v>0.005</v>
      </c>
      <c r="J2387" t="n">
        <v>0.1404</v>
      </c>
      <c r="K2387" t="n">
        <v>0.1667</v>
      </c>
      <c r="L2387" t="inlineStr">
        <is>
          <t>This Composable function `LoopingTextWithBackground` renders a text loop within a background image using Jetpack Compose. It takes two modifiers as parameters: `modifier` for positioning and styling, and `blurModifier` for applying a blur effect to the background image. The function uses a `Box` container to hold both the text and the blurred background, ensuring that the text appears continuously scrolling</t>
        </is>
      </c>
      <c r="M2387" t="n">
        <v>0.0037</v>
      </c>
      <c r="N2387" t="n">
        <v>0.0896</v>
      </c>
      <c r="O2387" t="n">
        <v>0.1527</v>
      </c>
    </row>
    <row r="2388">
      <c r="A2388" t="inlineStr">
        <is>
          <t>wordpress</t>
        </is>
      </c>
      <c r="B2388" t="inlineStr">
        <is>
          <t>WordPress/src/jetpack/java/org/wordpress/android/ui/accounts/login/components/PrimaryButton.kt</t>
        </is>
      </c>
      <c r="C2388">
        <f>HYPERLINK("https://github.com/wordpress-mobile/WordPress-Android/blob/master/WordPress/src/jetpack/java/org/wordpress/android/ui/accounts/login/components/PrimaryButton.kt")</f>
        <v/>
      </c>
      <c r="D2388" t="inlineStr">
        <is>
          <t>The `PrimaryButton` composable function in the `org.wordpress.android.ui.accounts.login.components` package is a Material 3 button component designed for primary actions in login screens. It takes two parameters: `onClick`, which is a lambda function to be executed when the button is clicked, and `modifier`, which allows customization of the button's layout properties. The button has default padding, width, and</t>
        </is>
      </c>
      <c r="E2388" t="n">
        <v>0.0033</v>
      </c>
      <c r="F2388" t="n">
        <v>0.0563</v>
      </c>
      <c r="G2388" t="n">
        <v>0.0781</v>
      </c>
      <c r="H2388" t="inlineStr">
        <is>
          <t>This repository contains backend software components implementing core algorithms with complexity O(N). The README provides details about the project's purpose, structure, and key features.</t>
        </is>
      </c>
      <c r="I2388" t="n">
        <v>0.0112</v>
      </c>
      <c r="J2388" t="n">
        <v>0.2941</v>
      </c>
      <c r="K2388" t="n">
        <v>0.3875</v>
      </c>
      <c r="L2388" t="inlineStr">
        <is>
          <t>The `PrimaryButton` composable function is a reusable UI component designed for creating primary action buttons within Android applications using Jetpack Compose. It takes two parameters: `onClick`, which defines the action triggered when the button is clicked, and `modifier`, which allows customization of the button's layout properties. The button displays text that can be customized via resource strings, styled with specific colors and font weights</t>
        </is>
      </c>
      <c r="M2388" t="n">
        <v>0.0028</v>
      </c>
      <c r="N2388" t="n">
        <v>0.0548</v>
      </c>
      <c r="O2388" t="n">
        <v>0.0735</v>
      </c>
    </row>
    <row r="2389">
      <c r="A2389" t="inlineStr">
        <is>
          <t>wordpress</t>
        </is>
      </c>
      <c r="B2389" t="inlineStr">
        <is>
          <t>WordPress/src/jetpack/java/org/wordpress/android/ui/accounts/login/components/WordpressJetpackLogo.kt</t>
        </is>
      </c>
      <c r="C2389">
        <f>HYPERLINK("https://github.com/wordpress-mobile/WordPress-Android/blob/master/WordPress/src/jetpack/java/org/wordpress/android/ui/accounts/login/components/WordpressJetpackLogo.kt")</f>
        <v/>
      </c>
      <c r="D2389" t="inlineStr">
        <is>
          <t>The provided code defines a Composable function `WordpressJetpackLogo` that displays a WordPress Jetpack logo using the Android Jetpack library's image resource system. The function takes a `Modifier` as an optional parameter to allow for customization of the layout. It uses `painterResource` to load the logo from the resources directory (`R.drawable.ic_wordpress_jetpack_welcome`) and sets</t>
        </is>
      </c>
      <c r="E2389" t="n">
        <v>0.0035</v>
      </c>
      <c r="F2389" t="n">
        <v>0.0606</v>
      </c>
      <c r="G2389" t="n">
        <v>0.0806</v>
      </c>
      <c r="H2389" t="inlineStr">
        <is>
          <t>Displays a WordPress Jetpack logo using Compose in Android development.</t>
        </is>
      </c>
      <c r="I2389" t="n">
        <v>0</v>
      </c>
      <c r="J2389" t="n">
        <v>0</v>
      </c>
      <c r="K2389" t="n">
        <v>0.061</v>
      </c>
      <c r="L2389" t="inlineStr">
        <is>
          <t>The `WordpressJetpackLogo` composable function is a simple UI component that displays a WordPress Jetpack logo using Compose framework. It takes a `Modifier` as input for layout customization and uses `painterResource` from AndroidX to load the image resource from the app's drawable folder (`R.drawable.ic_wordpress_jetpack_welcome`). The `contentDescription` parameter provides accessibility text</t>
        </is>
      </c>
      <c r="M2389" t="n">
        <v>0.0037</v>
      </c>
      <c r="N2389" t="n">
        <v>0.0635</v>
      </c>
      <c r="O2389" t="n">
        <v>0.08260000000000001</v>
      </c>
    </row>
    <row r="2390">
      <c r="A2390" t="inlineStr">
        <is>
          <t>wordpress</t>
        </is>
      </c>
      <c r="B2390" t="inlineStr">
        <is>
          <t>WordPress/src/jetpack/java/org/wordpress/android/ui/accounts/login/components/SecondaryButton.kt</t>
        </is>
      </c>
      <c r="C2390">
        <f>HYPERLINK("https://github.com/wordpress-mobile/WordPress-Android/blob/master/WordPress/src/jetpack/java/org/wordpress/android/ui/accounts/login/components/SecondaryButton.kt")</f>
        <v/>
      </c>
      <c r="D2390" t="inlineStr">
        <is>
          <t>The `SecondaryButton` composable function is designed to create a button with specific styling and behavior in a Jetpack Compose UI. It takes two parameters: `onClick`, which is a lambda function that defines what should happen when the button is clicked, and `modifier`, which allows for additional layout constraints or styles to be applied to the button.
Key features of this component include:
- **St</t>
        </is>
      </c>
      <c r="E2390" t="n">
        <v>0.0028</v>
      </c>
      <c r="F2390" t="n">
        <v>0.0563</v>
      </c>
      <c r="G2390" t="n">
        <v>0.1103</v>
      </c>
      <c r="H2390" t="inlineStr">
        <is>
          <t>This repository contains backend software components implementing core algorithms with a time complexity of \(O(N)\). The code size is 1000 lines, and it includes comments explaining the implementation details.</t>
        </is>
      </c>
      <c r="I2390" t="n">
        <v>0.0092</v>
      </c>
      <c r="J2390" t="n">
        <v>0.2632</v>
      </c>
      <c r="K2390" t="n">
        <v>0.2475</v>
      </c>
      <c r="L2390" t="inlineStr">
        <is>
          <t>The `SecondaryButton` composable is a reusable button component designed for use in Android applications. It provides a simple interface for creating buttons that can be used throughout the application's UI. The button has no elevation by default, making it suitable for flat designs. Users can click the button to trigger the specified action defined by the `onClick` function. The button uses Material 3 styling conventions and includes</t>
        </is>
      </c>
      <c r="M2390" t="n">
        <v>0.0027</v>
      </c>
      <c r="N2390" t="n">
        <v>0.0526</v>
      </c>
      <c r="O2390" t="n">
        <v>0.07190000000000001</v>
      </c>
    </row>
    <row r="2391">
      <c r="A2391" t="inlineStr">
        <is>
          <t>wordpress</t>
        </is>
      </c>
      <c r="B2391" t="inlineStr">
        <is>
          <t>WordPress/src/jetpack/java/org/wordpress/android/ui/accounts/login/components/TopLinearGradient.kt</t>
        </is>
      </c>
      <c r="C2391">
        <f>HYPERLINK("https://github.com/wordpress-mobile/WordPress-Android/blob/master/WordPress/src/jetpack/java/org/wordpress/android/ui/accounts/login/components/TopLinearGradient.kt")</f>
        <v/>
      </c>
      <c r="D2391" t="inlineStr">
        <is>
          <t>The `TopLinearGradient` composable function in the given code is responsible for displaying a top linear gradient image as part of a login screen component. It uses the Jetpack Compose framework to create a visually appealing background with a specified height relative to its width. The image is sourced from a drawable resource (`R.drawable.bg_jetpack_login_splash_top_gradient`) and fills the entire available horizontal space</t>
        </is>
      </c>
      <c r="E2391" t="n">
        <v>0.003</v>
      </c>
      <c r="F2391" t="n">
        <v>0.0533</v>
      </c>
      <c r="G2391" t="n">
        <v>0.07580000000000001</v>
      </c>
      <c r="H2391" t="inlineStr">
        <is>
          <t>The provided code defines a Composable function `TopLinearGradient` that displays a top gradient image in a Jetpack Compose application. The function takes a `Modifier` as input to customize its layout properties. It uses the `Image` composable from Jetpack Compose to render a gradient image specified by the resource ID `R.drawable.bg_jetpack_login_splash_top_gradient`. The image is</t>
        </is>
      </c>
      <c r="I2391" t="n">
        <v>0</v>
      </c>
      <c r="J2391" t="n">
        <v>0.0294</v>
      </c>
      <c r="K2391" t="n">
        <v>0.04</v>
      </c>
      <c r="L2391" t="inlineStr">
        <is>
          <t>This Composable function `TopLinearGradient` renders a top gradient image for the Jetpack login splash screen using Jetpack Compose. It fills the width of the parent layout and scales the height to 82% of the full viewport height. The image is sourced from the app's resources and uses a fill bounds content scale to ensure proper scaling.</t>
        </is>
      </c>
      <c r="M2391" t="n">
        <v>0.0039</v>
      </c>
      <c r="N2391" t="n">
        <v>0.09229999999999999</v>
      </c>
      <c r="O2391" t="n">
        <v>0.1172</v>
      </c>
    </row>
    <row r="2392">
      <c r="A2392" t="inlineStr">
        <is>
          <t>wordpress</t>
        </is>
      </c>
      <c r="B2392" t="inlineStr">
        <is>
          <t>WordPress/src/jetpack/java/org/wordpress/android/util/MissingSplitsUtils.kt</t>
        </is>
      </c>
      <c r="C2392">
        <f>HYPERLINK("https://github.com/wordpress-mobile/WordPress-Android/blob/master/WordPress/src/jetpack/java/org/wordpress/android/util/MissingSplitsUtils.kt")</f>
        <v/>
      </c>
      <c r="D2392" t="inlineStr">
        <is>
          <t>The `MissingSplitsUtils` class provides a method `isMissingSplits` that checks if the application has missing splits by attempting to retrieve a specific drawable resource (`R.drawable.bg_jetpack_login_splash`). If a `Resources.NotFoundException` is caught during this attempt, it indicates that the required resources are missing, suggesting potential issues with sideloading or split configuration. The complexity of this</t>
        </is>
      </c>
      <c r="E2392" t="n">
        <v>0</v>
      </c>
      <c r="F2392" t="n">
        <v>0.0303</v>
      </c>
      <c r="G2392" t="n">
        <v>0.0403</v>
      </c>
      <c r="H2392" t="inlineStr">
        <is>
          <t>Checks if the app's splash icon resource is available by attempting to retrieve its value from resources. Returns `true` if a `NotFoundException` is caught, indicating missing splits or sideloaded app issues. Complexity is O(N), where N represents the number of resources accessed.</t>
        </is>
      </c>
      <c r="I2392" t="n">
        <v>0</v>
      </c>
      <c r="J2392" t="n">
        <v>0</v>
      </c>
      <c r="K2392" t="n">
        <v>0</v>
      </c>
      <c r="L2392" t="inlineStr">
        <is>
          <t>The `MissingSplitsUtils` class provides a utility function `isMissingSplits` that checks if the application's required resources, specifically the splash icon (`R.drawable.splash_icon`), are available. It uses Android's resource system to attempt accessing the drawable and catches any `Resources.NotFoundException`, indicating that the necessary splits are missing, which could be caused by sideloading the app.</t>
        </is>
      </c>
      <c r="M2392" t="n">
        <v>0.0036</v>
      </c>
      <c r="N2392" t="n">
        <v>0.0615</v>
      </c>
      <c r="O2392" t="n">
        <v>0.0813</v>
      </c>
    </row>
    <row r="2393">
      <c r="A2393" t="inlineStr">
        <is>
          <t>wordpress</t>
        </is>
      </c>
      <c r="B2393" t="inlineStr">
        <is>
          <t>WordPress/src/jetpack/java/org/wordpress/android/util/config/InAppUpdateBlockingVersionConfigConstants.kt</t>
        </is>
      </c>
      <c r="C2393">
        <f>HYPERLINK("https://github.com/wordpress-mobile/WordPress-Android/blob/master/WordPress/src/jetpack/java/org/wordpress/android/util/config/InAppUpdateBlockingVersionConfigConstants.kt")</f>
        <v/>
      </c>
      <c r="D2393" t="inlineStr">
        <is>
          <t>The provided code defines a constant `IN_APP_UPDATE_BLOCKING_VERSION_REMOTE_FIELD` with the value `"jp_in_app_update_blocking_version_android"` in the package `org.wordpress.android.util.config`. This constant is likely used to store or reference a specific version number related to app updates within the WordPress Android application. The complexity of this code is O(1) since it only involves defining a single constant.</t>
        </is>
      </c>
      <c r="E2393" t="n">
        <v>0.0035</v>
      </c>
      <c r="F2393" t="n">
        <v>0.026</v>
      </c>
      <c r="G2393" t="n">
        <v>0.0806</v>
      </c>
      <c r="H2393" t="inlineStr">
        <is>
          <t>The provided code defines a constant in Kotlin for a remote field related to app updates blocking version on Android devices. The README describes it as part of a backend software component with complexity O(N) due to potential algorithmic operations, comments explaining its implementation, initial commits, and a size of 145 lines.</t>
        </is>
      </c>
      <c r="I2393" t="n">
        <v>0.0042</v>
      </c>
      <c r="J2393" t="n">
        <v>0.0984</v>
      </c>
      <c r="K2393" t="n">
        <v>0.121</v>
      </c>
      <c r="L2393" t="inlineStr">
        <is>
          <t>This Kotlin constant defines the remote field name for blocking updates within the WordPress Android app's configuration settings. It is used to store the version number that triggers update blocking when encountered during installation or upgrade processes.</t>
        </is>
      </c>
      <c r="M2393" t="n">
        <v>0.005</v>
      </c>
      <c r="N2393" t="n">
        <v>0.0435</v>
      </c>
      <c r="O2393" t="n">
        <v>0.0917</v>
      </c>
    </row>
    <row r="2394">
      <c r="A2394" t="inlineStr">
        <is>
          <t>wordpress</t>
        </is>
      </c>
      <c r="B2394" t="inlineStr">
        <is>
          <t>WordPress/src/debug/java/org/wordpress/android/WPWellSqlConfig.kt</t>
        </is>
      </c>
      <c r="C2394">
        <f>HYPERLINK("https://github.com/wordpress-mobile/WordPress-Android/blob/master/WordPress/src/debug/java/org/wordpress/android/WPWellSqlConfig.kt")</f>
        <v/>
      </c>
      <c r="D2394" t="inlineStr">
        <is>
          <t>The `WPWellSqlConfig` class extends `WellSqlConfig`, which is likely used for managing SQLite databases in an Android application. It includes a method to detect when the database is downgraded during development and automatically recreate all tables, showing a toast message to inform users about the downgrade. This feature helps prevent issues caused by version changes that require clearing storage and logging in again.</t>
        </is>
      </c>
      <c r="E2394" t="n">
        <v>0.0035</v>
      </c>
      <c r="F2394" t="n">
        <v>0.0571</v>
      </c>
      <c r="G2394" t="n">
        <v>0.1119</v>
      </c>
      <c r="H2394" t="inlineStr">
        <is>
          <t>This repository contains backend software components implementing core algorithms. Complexity is O(N), with comments indicating implementation details. Initial codebase commit was made. Code size is 1000 lines.</t>
        </is>
      </c>
      <c r="I2394" t="n">
        <v>0.0092</v>
      </c>
      <c r="J2394" t="n">
        <v>0.2222</v>
      </c>
      <c r="K2394" t="n">
        <v>0.202</v>
      </c>
      <c r="L2394" t="inlineStr">
        <is>
          <t>The `WPWellSqlConfig` class extends `WellSqlConfig`, which handles database configuration for WordPress applications. It includes a method `onDowngrade` that detects database downgrades during development builds and recreates all tables, displaying a long-duration toast message to inform users about the downgrade. This ensures smoother development workflows by avoiding the need for manual storage clearing and re-login after branch changes.</t>
        </is>
      </c>
      <c r="M2394" t="n">
        <v>0.0038</v>
      </c>
      <c r="N2394" t="n">
        <v>0.0597</v>
      </c>
      <c r="O2394" t="n">
        <v>0.0775</v>
      </c>
    </row>
    <row r="2395">
      <c r="A2395" t="inlineStr">
        <is>
          <t>wordpress</t>
        </is>
      </c>
      <c r="B2395" t="inlineStr">
        <is>
          <t>WordPress/src/debug/java/org/wordpress/android/WordPressDebug.kt</t>
        </is>
      </c>
      <c r="C2395">
        <f>HYPERLINK("https://github.com/wordpress-mobile/WordPress-Android/blob/master/WordPress/src/debug/java/org/wordpress/android/WordPressDebug.kt")</f>
        <v/>
      </c>
      <c r="D2395" t="inlineStr">
        <is>
          <t>The `WordPressDebug` class extends `WordPressApp`, which appears to be a base application class for a mobile app developed using Android and Dagger Hilt. The class overrides the `onCreate()` method to initialize the superclass and calls a private helper function `enableStrictMode()`. This function checks if the current build configuration is a debug build before enabling strict mode, which helps catch potential issues related to</t>
        </is>
      </c>
      <c r="E2395" t="n">
        <v>0.0034</v>
      </c>
      <c r="F2395" t="n">
        <v>0.0563</v>
      </c>
      <c r="G2395" t="n">
        <v>0.1111</v>
      </c>
      <c r="H2395" t="inlineStr">
        <is>
          <t>The code defines a `WordPressDebug` class that extends `WordPressApp`. It includes a method to enable strict mode for testing purposes, which checks if the app is running in debug mode before applying strict policy settings such as detecting disk reads/writes and network activity. The complexity is O(1) due to constant-time operations, and the comments describe its implementation of core algorithms.</t>
        </is>
      </c>
      <c r="I2395" t="n">
        <v>0.0036</v>
      </c>
      <c r="J2395" t="n">
        <v>0.0563</v>
      </c>
      <c r="K2395" t="n">
        <v>0.1515</v>
      </c>
      <c r="L2395" t="inlineStr">
        <is>
          <t>The `WordPressDebug` class extends `WordPressApp`, enabling strict mode for testing purposes only when running in debug builds. This helps catch potential issues related to disk access, network usage, and other performance-related problems during development. The method `enableStrictMode()` checks if the app is in debug mode before applying the policy, ensuring that it doesn't interfere with production environments.</t>
        </is>
      </c>
      <c r="M2395" t="n">
        <v>0.0038</v>
      </c>
      <c r="N2395" t="n">
        <v>0.0597</v>
      </c>
      <c r="O2395" t="n">
        <v>0.1163</v>
      </c>
    </row>
    <row r="2396">
      <c r="A2396" t="inlineStr">
        <is>
          <t>wordpress</t>
        </is>
      </c>
      <c r="B2396" t="inlineStr">
        <is>
          <t>WordPress/src/debug/java/org/wordpress/android/testing/OpenForTesting.kt</t>
        </is>
      </c>
      <c r="C2396">
        <f>HYPERLINK("https://github.com/wordpress-mobile/WordPress-Android/blob/master/WordPress/src/debug/java/org/wordpress/android/testing/OpenForTesting.kt")</f>
        <v/>
      </c>
      <c r="D2396" t="inlineStr">
        <is>
          <t>The code defines two annotations: `OpenClassAnnotation` and `OpenForTesting`. The `OpenClassAnnotation` is used to mark other annotations that allow certain classes to be extended or mocked during development (debug builds). The `OpenForTesting` annotation specifically targets classes and indicates that they should be extendable in debug builds. These annotations help facilitate testing by allowing developers to modify or replace parts of</t>
        </is>
      </c>
      <c r="E2396" t="n">
        <v>0.0031</v>
      </c>
      <c r="F2396" t="n">
        <v>0.0299</v>
      </c>
      <c r="G2396" t="n">
        <v>0.07630000000000001</v>
      </c>
      <c r="H2396" t="inlineStr">
        <is>
          <t>The code defines annotations `OpenClassAnnotation` and `OpenForTesting`, which allow developers to specify that certain classes should be mockable or extendable during debugging but remain sealed (final) in production builds. The README describes this as part of a larger backend software component repository, mentioning implementation of core algorithms.</t>
        </is>
      </c>
      <c r="I2396" t="n">
        <v>0.0051</v>
      </c>
      <c r="J2396" t="n">
        <v>0.1455</v>
      </c>
      <c r="K2396" t="n">
        <v>0.2521</v>
      </c>
      <c r="L2396" t="inlineStr">
        <is>
          <t>The `OpenClassAnnotation` is used to allow certain classes to be extended during debugging by marking them as `@OpenForTesting`. The `OpenForTesting` annotation extends `@OpenClassAnnotation`, enabling further customization within the context of testing environments.</t>
        </is>
      </c>
      <c r="M2396" t="n">
        <v>0</v>
      </c>
      <c r="N2396" t="n">
        <v>0</v>
      </c>
      <c r="O2396" t="n">
        <v>0.0481</v>
      </c>
    </row>
    <row r="2397">
      <c r="A2397" t="inlineStr">
        <is>
          <t>wordpress</t>
        </is>
      </c>
      <c r="B2397" t="inlineStr">
        <is>
          <t>WordPress/src/wordpress/java/org/wordpress/android/ui/accounts/login/LoginPrologueRevampedFragment.kt</t>
        </is>
      </c>
      <c r="C2397">
        <f>HYPERLINK("https://github.com/wordpress-mobile/WordPress-Android/blob/master/WordPress/src/wordpress/java/org/wordpress/android/ui/accounts/login/LoginPrologueRevampedFragment.kt")</f>
        <v/>
      </c>
      <c r="D2397" t="inlineStr">
        <is>
          <t>The provided code is part of an Android application that handles user account login functionalities within the WordPress Android app. It includes a Compose-based UI component for displaying login screens with various design elements such as background colors, padding, and navigation bar adjustments. The code uses Kotlin to define a `LoginScreen` composable function, which sets up the layout using Compose's composables like `Box`, `</t>
        </is>
      </c>
      <c r="E2397" t="n">
        <v>0.0028</v>
      </c>
      <c r="F2397" t="n">
        <v>0.0548</v>
      </c>
      <c r="G2397" t="n">
        <v>0.0735</v>
      </c>
      <c r="H2397" t="inlineStr">
        <is>
          <t>This repository contains backend software components implementing core algorithms. The complexity is O(N), indicating linear time complexity for certain operations.</t>
        </is>
      </c>
      <c r="I2397" t="n">
        <v>0.0127</v>
      </c>
      <c r="J2397" t="n">
        <v>0.2759</v>
      </c>
      <c r="K2397" t="n">
        <v>0.3431</v>
      </c>
      <c r="L2397" t="inlineStr">
        <is>
          <t>This Android component uses Jetpack Compose to create a login screen that adapts to dark mode by drawing behind the navigation bar and status bars when enabled. The layout includes a background color and padding for better visual separation.</t>
        </is>
      </c>
      <c r="M2397" t="n">
        <v>0.0056</v>
      </c>
      <c r="N2397" t="n">
        <v>0.0851</v>
      </c>
      <c r="O2397" t="n">
        <v>0.1351</v>
      </c>
    </row>
    <row r="2398">
      <c r="A2398" t="inlineStr">
        <is>
          <t>wordpress</t>
        </is>
      </c>
      <c r="B2398" t="inlineStr">
        <is>
          <t>WordPress/src/wordpress/java/org/wordpress/android/ui/accounts/login/LoginPrologueViewModel.kt</t>
        </is>
      </c>
      <c r="C2398">
        <f>HYPERLINK("https://github.com/wordpress-mobile/WordPress-Android/blob/master/WordPress/src/wordpress/java/org/wordpress/android/ui/accounts/login/LoginPrologueViewModel.kt")</f>
        <v/>
      </c>
      <c r="D2398" t="inlineStr">
        <is>
          <t>The `LoginPrologueViewModel` class is a simple Android ViewModel that does not perform any complex operations or calculations. It simply extends the base `ViewModel` class from the Android Jetpack library without adding any additional logic or dependencies. The complexity of this code is O(1) as it performs no iterations over data structures or recursive calls.</t>
        </is>
      </c>
      <c r="E2398" t="n">
        <v>0</v>
      </c>
      <c r="F2398" t="n">
        <v>0.0317</v>
      </c>
      <c r="G2398" t="n">
        <v>0.0397</v>
      </c>
      <c r="H2398" t="inlineStr">
        <is>
          <t>The provided code defines a `LoginPrologueViewModel` class within the `org.wordpress.android.ui.accounts.login` package. It is annotated with `@Inject`, indicating that it should be injected by Dagger for dependency injection purposes. The class extends `ViewModel`, which is part of Android's Jetpack architecture component library used to manage UI-related data in a lifecycle-conscious way. This viewModel does not contain any</t>
        </is>
      </c>
      <c r="I2398" t="n">
        <v>0.0033</v>
      </c>
      <c r="J2398" t="n">
        <v>0.0278</v>
      </c>
      <c r="K2398" t="n">
        <v>0.0781</v>
      </c>
      <c r="L2398" t="inlineStr">
        <is>
          <t>This `LoginPrologueViewModel` class is a simple Android ViewModel designed for handling login-related UI interactions in the WordPress Android app. It provides a basic structure without any specific implementation details, as indicated by the comments and lack of additional code within the class body. The ViewModel is part of the application's data layer and is annotated with `@Inject`, suggesting that dependency injection will be used to provide instances</t>
        </is>
      </c>
      <c r="M2398" t="n">
        <v>0.0032</v>
      </c>
      <c r="N2398" t="n">
        <v>0.0779</v>
      </c>
      <c r="O2398" t="n">
        <v>0.1439</v>
      </c>
    </row>
    <row r="2399">
      <c r="A2399" t="inlineStr">
        <is>
          <t>wordpress</t>
        </is>
      </c>
      <c r="B2399" t="inlineStr">
        <is>
          <t>WordPress/src/wordpress/java/org/wordpress/android/ui/accounts/login/compose/components/PrimaryButton.kt</t>
        </is>
      </c>
      <c r="C2399">
        <f>HYPERLINK("https://github.com/wordpress-mobile/WordPress-Android/blob/master/WordPress/src/wordpress/java/org/wordpress/android/ui/accounts/login/compose/components/PrimaryButton.kt")</f>
        <v/>
      </c>
      <c r="D2399" t="inlineStr">
        <is>
          <t>The provided code is part of a package in the `org.wordpress.android` project that deals with UI components for logging into WordPress accounts using Compose, a modern UI toolkit for Android developed by JetBrains. The specific component being summarized is a button used for login actions within this context. Here's a concise summary:
**Component: LoginButton**
- **Purpose**: A Material 3 styled button designed to</t>
        </is>
      </c>
      <c r="E2399" t="n">
        <v>0</v>
      </c>
      <c r="F2399" t="n">
        <v>0.0274</v>
      </c>
      <c r="G2399" t="n">
        <v>0.0741</v>
      </c>
      <c r="H2399" t="inlineStr">
        <is>
          <t>The code is a set of backend software components for a WordPress Android app. It includes implementations of core algorithms with a time complexity of O(N). The README provides information about the repository's purpose and structure, while the comments explain the implementation details. The total size of the codebase is 1000 lines.</t>
        </is>
      </c>
      <c r="I2399" t="n">
        <v>0.0046</v>
      </c>
      <c r="J2399" t="n">
        <v>0.129</v>
      </c>
      <c r="K2399" t="n">
        <v>0.1613</v>
      </c>
      <c r="L2399" t="inlineStr">
        <is>
          <t>The provided code defines a Composable function `LoginButton` that renders a Material Design button for logging into an account within a WordPress Android application's login screen. The button is styled with rounded corners, uses default button colors from Material Theme M3, and includes text "Log In" in bold font. It has padding around the content and fills the maximum width available. The component takes no parameters and</t>
        </is>
      </c>
      <c r="M2399" t="n">
        <v>0.0027</v>
      </c>
      <c r="N2399" t="n">
        <v>0.0526</v>
      </c>
      <c r="O2399" t="n">
        <v>0.07190000000000001</v>
      </c>
    </row>
    <row r="2400">
      <c r="A2400" t="inlineStr">
        <is>
          <t>wordpress</t>
        </is>
      </c>
      <c r="B2400" t="inlineStr">
        <is>
          <t>WordPress/src/wordpress/java/org/wordpress/android/ui/accounts/login/compose/components/Tagline.kt</t>
        </is>
      </c>
      <c r="C2400">
        <f>HYPERLINK("https://github.com/wordpress-mobile/WordPress-Android/blob/master/WordPress/src/wordpress/java/org/wordpress/android/ui/accounts/login/compose/components/Tagline.kt")</f>
        <v/>
      </c>
      <c r="D2400" t="inlineStr">
        <is>
          <t>The provided code is part of a package in the Android application `org.wordpress.android` that handles login-related UI components using Jetpack Compose. It includes a `LoginHeaderComponent` composable function that displays a header with a logo image and text. The component takes several parameters such as `logoResId`, `titleResId`, and `subtitleResId`. It uses Material 3 styles</t>
        </is>
      </c>
      <c r="E2400" t="n">
        <v>0.0035</v>
      </c>
      <c r="F2400" t="n">
        <v>0.0625</v>
      </c>
      <c r="G2400" t="n">
        <v>0.08</v>
      </c>
      <c r="H2400" t="inlineStr">
        <is>
          <t>This repository contains backend software components implementing core algorithms. Complexity is O(N), with comments indicating implementation details. The code size is 1000 lines.</t>
        </is>
      </c>
      <c r="I2400" t="n">
        <v>0.0109</v>
      </c>
      <c r="J2400" t="n">
        <v>0.25</v>
      </c>
      <c r="K2400" t="n">
        <v>0.2105</v>
      </c>
      <c r="L2400" t="inlineStr">
        <is>
          <t>This Composable component displays a login screen for WordPress Android app users, featuring a logo image, text fields for username and password, and buttons for signing up and logging in. It adapts layout based on device orientation and uses Material Design elements for styling.</t>
        </is>
      </c>
      <c r="M2400" t="n">
        <v>0.005</v>
      </c>
      <c r="N2400" t="n">
        <v>0.0769</v>
      </c>
      <c r="O2400" t="n">
        <v>0.1293</v>
      </c>
    </row>
    <row r="2401">
      <c r="A2401" t="inlineStr">
        <is>
          <t>wordpress</t>
        </is>
      </c>
      <c r="B2401" t="inlineStr">
        <is>
          <t>WordPress/src/wordpress/java/org/wordpress/android/ui/accounts/login/compose/components/SecondaryButton.kt</t>
        </is>
      </c>
      <c r="C2401">
        <f>HYPERLINK("https://github.com/wordpress-mobile/WordPress-Android/blob/master/WordPress/src/wordpress/java/org/wordpress/android/ui/accounts/login/compose/components/SecondaryButton.kt")</f>
        <v/>
      </c>
      <c r="D2401" t="inlineStr">
        <is>
          <t>The provided code defines a `SecondaryButton` composable function in the Android Jetpack Compose framework for WordPress Android app. This button is designed to be used as a secondary action within login screens or other UI elements. It features:
- A padding around its content.
- A default style with a light background color and dark text.
- An optional click handler that can be invoked when the button is</t>
        </is>
      </c>
      <c r="E2401" t="n">
        <v>0.0031</v>
      </c>
      <c r="F2401" t="n">
        <v>0.0541</v>
      </c>
      <c r="G2401" t="n">
        <v>0.1064</v>
      </c>
      <c r="H2401" t="inlineStr">
        <is>
          <t>This repository contains backend software components for WordPress Android app development. The complexity is O(N), indicating linear time complexity in relation to input size. It includes implementation of core algorithms necessary for the application's functionality. The code size is 1000 lines, making it relatively large but focused on specific backend tasks.</t>
        </is>
      </c>
      <c r="I2401" t="n">
        <v>0.0047</v>
      </c>
      <c r="J2401" t="n">
        <v>0.1639</v>
      </c>
      <c r="K2401" t="n">
        <v>0.1626</v>
      </c>
      <c r="L2401" t="inlineStr">
        <is>
          <t>The `SecondaryButton` composable is a reusable UI component designed for displaying secondary action buttons in Android applications using Jetpack Compose. It takes parameters such as `text`, `onClick` function, `modifier`, and `enabled`. The button has a light background color and dark text, styled according to Material Design guidelines. When clicked, it triggers the specified action. The component supports preview mode through</t>
        </is>
      </c>
      <c r="M2401" t="n">
        <v>0.003</v>
      </c>
      <c r="N2401" t="n">
        <v>0.0588</v>
      </c>
      <c r="O2401" t="n">
        <v>0.07580000000000001</v>
      </c>
    </row>
    <row r="2402">
      <c r="A2402" t="inlineStr">
        <is>
          <t>wordpress</t>
        </is>
      </c>
      <c r="B2402" t="inlineStr">
        <is>
          <t>WordPress/src/wordpress/java/org/wordpress/android/ui/deeplinks/JetpackAppUninstallReceiver.kt</t>
        </is>
      </c>
      <c r="C2402">
        <f>HYPERLINK("https://github.com/wordpress-mobile/WordPress-Android/blob/master/WordPress/src/wordpress/java/org/wordpress/android/ui/deeplinks/JetpackAppUninstallReceiver.kt")</f>
        <v/>
      </c>
      <c r="D2402" t="inlineStr">
        <is>
          <t>The `JetpackAppUninstallReceiver` class is a broadcast receiver that listens for the `ACTION_PACKAGE_FULLY_REMOVED` action, which indicates that the Jetpack application has been uninstalled from the device. When this event occurs, it calls the `onJetpackUninstalled()` method to toggle specific preferences and re-enable certain components in the application. The implementation uses Dagger Hilt dependency injection</t>
        </is>
      </c>
      <c r="E2402" t="n">
        <v>0.0035</v>
      </c>
      <c r="F2402" t="n">
        <v>0.0625</v>
      </c>
      <c r="G2402" t="n">
        <v>0.1613</v>
      </c>
      <c r="H2402" t="inlineStr">
        <is>
          <t>Manages deep link handling for Jetpack apps in Android using Dagger Hilt dependency injection. Handles uninstallation broadcasts by toggling preferences and enabling components. Complexity is O(N), where N represents the number of operations performed during installation or uninstallation.</t>
        </is>
      </c>
      <c r="I2402" t="n">
        <v>0.0049</v>
      </c>
      <c r="J2402" t="n">
        <v>0.0426</v>
      </c>
      <c r="K2402" t="n">
        <v>0.09089999999999999</v>
      </c>
      <c r="L2402" t="inlineStr">
        <is>
          <t>The `JetpackAppUninstallReceiver` class is a broadcast receiver that listens for the `ACTION_PACKAGE_FULLY_REMOVED` action. When triggered, it calls the `onJetpackUninstalled()` method, which toggles a preference and enables certain components related to Jetpack. The implementation uses Dagger Hilt dependency injection for the `DeepLinkOpenWebLinksWithJetpackHelper`.</t>
        </is>
      </c>
      <c r="M2402" t="n">
        <v>0.0045</v>
      </c>
      <c r="N2402" t="n">
        <v>0.0385</v>
      </c>
      <c r="O2402" t="n">
        <v>0.1327</v>
      </c>
    </row>
    <row r="2403">
      <c r="A2403" t="inlineStr">
        <is>
          <t>wordpress</t>
        </is>
      </c>
      <c r="B2403" t="inlineStr">
        <is>
          <t>WordPress/src/wordpress/java/org/wordpress/android/ui/mysite/jetpackbadge/JetpackAppInstallReceiver.kt</t>
        </is>
      </c>
      <c r="C2403">
        <f>HYPERLINK("https://github.com/wordpress-mobile/WordPress-Android/blob/master/WordPress/src/wordpress/java/org/wordpress/android/ui/mysite/jetpackbadge/JetpackAppInstallReceiver.kt")</f>
        <v/>
      </c>
      <c r="D2403" t="inlineStr">
        <is>
          <t>The `JetpackAppInstallReceiver` class is a broadcast receiver that disables notifications when a new app install occurs. It uses Dagger Hilt for dependency injection to access the `UpdateNotificationSettingsUseCase`, `GCMMessageHandler`, and `CoroutineScope`. The `onReceive` method calls the `disableNotifications` function, which updates notification settings using the injected use case. This implementation has a</t>
        </is>
      </c>
      <c r="E2403" t="n">
        <v>0.0044</v>
      </c>
      <c r="F2403" t="n">
        <v>0.06900000000000001</v>
      </c>
      <c r="G2403" t="n">
        <v>0.1639</v>
      </c>
      <c r="H2403" t="inlineStr">
        <is>
          <t>Manages app installation by disabling notifications using Dagger Hilt for dependency injection, GCMMessageHandler for handling push messages, and UpdateNotificationSettingsUseCase to update notification settings in a coroutine scope. Complexity is O(N), indicating it processes N items or operations.</t>
        </is>
      </c>
      <c r="I2403" t="n">
        <v>0.005</v>
      </c>
      <c r="J2403" t="n">
        <v>0.0435</v>
      </c>
      <c r="K2403" t="n">
        <v>0.0917</v>
      </c>
      <c r="L2403" t="inlineStr">
        <is>
          <t>The `JetpackAppInstallReceiver` class is a broadcast receiver that disables notifications when a new app installation occurs. It uses Dagger Hilt for dependency injection, including instances of `UpdateNotificationSettingsUseCase`, `GCMMessageHandler`, and `CoroutineScope`. The `onReceive` method calls the `disableNotifications` function, which updates notification settings to prevent any further push messages from being received</t>
        </is>
      </c>
      <c r="M2403" t="n">
        <v>0.0037</v>
      </c>
      <c r="N2403" t="n">
        <v>0.0345</v>
      </c>
      <c r="O2403" t="n">
        <v>0.082</v>
      </c>
    </row>
    <row r="2404">
      <c r="A2404" t="inlineStr">
        <is>
          <t>wordpress</t>
        </is>
      </c>
      <c r="B2404" t="inlineStr">
        <is>
          <t>WordPress/src/wordpress/java/org/wordpress/android/util/MissingSplitsUtils.kt</t>
        </is>
      </c>
      <c r="C2404">
        <f>HYPERLINK("https://github.com/wordpress-mobile/WordPress-Android/blob/master/WordPress/src/wordpress/java/org/wordpress/android/util/MissingSplitsUtils.kt")</f>
        <v/>
      </c>
      <c r="D2404" t="inlineStr">
        <is>
          <t>The `MissingSplitsUtils` class provides a method `isMissingSplits` that checks if the app's resources contain all necessary split assets by attempting to retrieve a specific drawable resource (`brush_stroke`). If a `Resources.NotFoundException` is thrown during this attempt, it suggests that some required splits are missing, likely due to sideloading or incorrect installation. This utility helps in identifying issues</t>
        </is>
      </c>
      <c r="E2404" t="n">
        <v>0.0033</v>
      </c>
      <c r="F2404" t="n">
        <v>0.0299</v>
      </c>
      <c r="G2404" t="n">
        <v>0.0391</v>
      </c>
      <c r="H2404" t="inlineStr">
        <is>
          <t>Checks if the "brush_stroke" drawable resource exists in the application's resources by attempting to retrieve its value using `TypedValue`. Returns `true` if the drawable does not exist, indicating potential missing splits or sideloaded issues; otherwise, returns `false`.</t>
        </is>
      </c>
      <c r="I2404" t="n">
        <v>0</v>
      </c>
      <c r="J2404" t="n">
        <v>0</v>
      </c>
      <c r="K2404" t="n">
        <v>0.0459</v>
      </c>
      <c r="L2404" t="inlineStr">
        <is>
          <t>The `MissingSplitsUtils` class provides a utility function `isMissingSplits` that checks if the app has been sideloaded by attempting to access a specific drawable resource (`R.drawable.brush_stroke`). If a `Resources.NotFoundException` is thrown during this attempt, it indicates that the required resources are missing, suggesting potential issues with sideloading. The function returns `true`</t>
        </is>
      </c>
      <c r="M2404" t="n">
        <v>0</v>
      </c>
      <c r="N2404" t="n">
        <v>0.0645</v>
      </c>
      <c r="O2404" t="n">
        <v>0.082</v>
      </c>
    </row>
    <row r="2405">
      <c r="A2405" t="inlineStr">
        <is>
          <t>wordpress</t>
        </is>
      </c>
      <c r="B2405" t="inlineStr">
        <is>
          <t>WordPress/src/wordpress/java/org/wordpress/android/util/config/InAppUpdateBlockingVersionConfigConstants.kt</t>
        </is>
      </c>
      <c r="C2405">
        <f>HYPERLINK("https://github.com/wordpress-mobile/WordPress-Android/blob/master/WordPress/src/wordpress/java/org/wordpress/android/util/config/InAppUpdateBlockingVersionConfigConstants.kt")</f>
        <v/>
      </c>
      <c r="D2405" t="inlineStr">
        <is>
          <t>The provided code defines a constant `IN_APP_UPDATE_BLOCKING_VERSION_REMOTE_FIELD` with the value `"wp_in_app_update_blocking_version_android"` in the package `org.wordpress.android.util.config`. This constant is likely used to store or reference a specific version number related to blocking in-app updates on Android devices within the WordPress Android application's configuration settings. The complexity of this code is O(1) since</t>
        </is>
      </c>
      <c r="E2405" t="n">
        <v>0.0036</v>
      </c>
      <c r="F2405" t="n">
        <v>0.0256</v>
      </c>
      <c r="G2405" t="n">
        <v>0.0813</v>
      </c>
      <c r="H2405" t="inlineStr">
        <is>
          <t>The code defines a constant `IN_APP_UPDATE_BLOCKING_VERSION_REMOTE_FIELD` in the package `org.wordpress.android.util.config`. This field is used to store a remote configuration value related to blocking app updates for Android devices. The README indicates that this repository contains backend software components with complexity O(N), which suggests it involves processing or iterating over data structures. Comments describe the implementation of core algorithms, and commits</t>
        </is>
      </c>
      <c r="I2405" t="n">
        <v>0.0043</v>
      </c>
      <c r="J2405" t="n">
        <v>0.1266</v>
      </c>
      <c r="K2405" t="n">
        <v>0.2273</v>
      </c>
      <c r="L2405" t="inlineStr">
        <is>
          <t>The code defines a constant `IN_APP_UPDATE_BLOCKING_VERSION_REMOTE_FIELD` which is used as a field name for storing the remote version number that blocks in-app updates in WordPress Android applications.</t>
        </is>
      </c>
      <c r="M2405" t="n">
        <v>0</v>
      </c>
      <c r="N2405" t="n">
        <v>0</v>
      </c>
      <c r="O2405" t="n">
        <v>0.0505</v>
      </c>
    </row>
    <row r="2406">
      <c r="A2406" t="inlineStr">
        <is>
          <t>wordpress</t>
        </is>
      </c>
      <c r="B2406" t="inlineStr">
        <is>
          <t>WordPress/src/main/java/org/wordpress/android/WordPressDB.java</t>
        </is>
      </c>
      <c r="C2406">
        <f>HYPERLINK("https://github.com/wordpress-mobile/WordPress-Android/blob/master/WordPress/src/main/java/org/wordpress/android/WordPressDB.java")</f>
        <v/>
      </c>
      <c r="D2406" t="inlineStr">
        <is>
          <t>The `WordPressDB` class in the `org.wordpress.android` package manages database operations for various tables such as Notifications, People, Publicize, Site Settings, User Suggestions, and Site Settings Model. It includes methods to create and manage SQLite databases, handle file I/O operations, and interact with different data models like SiteSettingsModel. The class uses constants for database versioning and table names, ensuring</t>
        </is>
      </c>
      <c r="E2406" t="n">
        <v>0.0031</v>
      </c>
      <c r="F2406" t="n">
        <v>0.029</v>
      </c>
      <c r="G2406" t="n">
        <v>0.0769</v>
      </c>
      <c r="H2406" t="inlineStr">
        <is>
          <t>This repository contains backend software components with complexity O(N), implementing core algorithms. The README provides information about the project's structure and files.</t>
        </is>
      </c>
      <c r="I2406" t="n">
        <v>0.0123</v>
      </c>
      <c r="J2406" t="n">
        <v>0.3125</v>
      </c>
      <c r="K2406" t="n">
        <v>0.3957</v>
      </c>
      <c r="L2406" t="inlineStr">
        <is>
          <t>The `WordPressDB` class manages database interactions for a WordPress application. It includes methods for creating tables, inserting data, updating records, querying data, and handling various types of content such as notifications, people, publicize settings, site settings, user suggestions, and app preferences. The class uses SQLite for storage and provides utility functions for reading from and writing to files.</t>
        </is>
      </c>
      <c r="M2406" t="n">
        <v>0.0031</v>
      </c>
      <c r="N2406" t="n">
        <v>0.0606</v>
      </c>
      <c r="O2406" t="n">
        <v>0.0769</v>
      </c>
    </row>
    <row r="2407">
      <c r="A2407" t="inlineStr">
        <is>
          <t>wordpress</t>
        </is>
      </c>
      <c r="B2407" t="inlineStr">
        <is>
          <t>WordPress/src/main/java/org/wordpress/android/WellSqlInitializer.kt</t>
        </is>
      </c>
      <c r="C2407">
        <f>HYPERLINK("https://github.com/wordpress-mobile/WordPress-Android/blob/master/WordPress/src/main/java/org/wordpress/android/WellSqlInitializer.kt")</f>
        <v/>
      </c>
      <c r="D2407" t="inlineStr">
        <is>
          <t>The `WellSqlInitializer` class is a singleton that initializes the `WellSql` database in the Android application using Dagger Hilt for dependency injection. It takes a `Context` from the application scope to configure and initialize the database with settings specific to the WordPress app. The complexity of this operation is O(1), as it involves setting up one configuration and initializing the database once.</t>
        </is>
      </c>
      <c r="E2407" t="n">
        <v>0.003</v>
      </c>
      <c r="F2407" t="n">
        <v>0.0571</v>
      </c>
      <c r="G2407" t="n">
        <v>0.1128</v>
      </c>
      <c r="H2407" t="inlineStr">
        <is>
          <t>The code initializes a database using the WellSQL library in Android applications. It uses Dagger Hilt for dependency injection to inject the application context into the initializer class. The `init` method sets up the configuration for WellSQL with the provided context and initializes it. This setup is crucial for managing persistent data storage within the app.</t>
        </is>
      </c>
      <c r="I2407" t="n">
        <v>0.0039</v>
      </c>
      <c r="J2407" t="n">
        <v>0.0312</v>
      </c>
      <c r="K2407" t="n">
        <v>0.1172</v>
      </c>
      <c r="L2407" t="inlineStr">
        <is>
          <t>The `WellSqlInitializer` class is a singleton that initializes the WellSQL database using Dagger Hilt for dependency injection. It takes a `Context` from the application's context and configures WellSQL based on the provided configuration (`WPWellSqlConfig`). The `init()` method sets up WellSQL by passing the configured settings to the `WellSql.init()` method.</t>
        </is>
      </c>
      <c r="M2407" t="n">
        <v>0.0037</v>
      </c>
      <c r="N2407" t="n">
        <v>0.0339</v>
      </c>
      <c r="O2407" t="n">
        <v>0.08260000000000001</v>
      </c>
    </row>
    <row r="2408">
      <c r="A2408" t="inlineStr">
        <is>
          <t>wordpress</t>
        </is>
      </c>
      <c r="B2408" t="inlineStr">
        <is>
          <t>WordPress/src/main/java/org/wordpress/android/WordPress.kt</t>
        </is>
      </c>
      <c r="C2408">
        <f>HYPERLINK("https://github.com/wordpress-mobile/WordPress-Android/blob/master/WordPress/src/main/java/org/wordpress/android/WordPress.kt")</f>
        <v/>
      </c>
      <c r="D2408" t="inlineStr">
        <is>
          <t>The `WordPress` class is an abstract base class used in Android applications that provides common functionalities such as initializing the app, handling activity lifecycle callbacks, and implementing image loading using Coil. It also includes methods for accessing dependencies through Dagger Hilt's EntryPoints mechanism. The class is designed to be extended by specific implementations for both real-world apps (`WordPress`) and testing environments (`WordPressTest`).</t>
        </is>
      </c>
      <c r="E2408" t="n">
        <v>0.0029</v>
      </c>
      <c r="F2408" t="n">
        <v>0.0556</v>
      </c>
      <c r="G2408" t="n">
        <v>0.1119</v>
      </c>
      <c r="H2408" t="inlineStr">
        <is>
          <t>Manages the lifecycle of the application and provides access to shared resources such as image loaders and request queues.</t>
        </is>
      </c>
      <c r="I2408" t="n">
        <v>0.0102</v>
      </c>
      <c r="J2408" t="n">
        <v>0.0741</v>
      </c>
      <c r="K2408" t="n">
        <v>0.0549</v>
      </c>
      <c r="L2408" t="inlineStr">
        <is>
          <t>The `WordPress` class is an abstract base class that provides common functionalities for both the Android app (`WordPressApp`) and the UI test app (`WordPressTest`). It includes methods for initializing the app and registering lifecycle callbacks. The class implements `coil.ImageLoaderFactory`, allowing it to provide image loading capabilities using Coil.</t>
        </is>
      </c>
      <c r="M2408" t="n">
        <v>0.0045</v>
      </c>
      <c r="N2408" t="n">
        <v>0.0702</v>
      </c>
      <c r="O2408" t="n">
        <v>0.125</v>
      </c>
    </row>
    <row r="2409">
      <c r="A2409" t="inlineStr">
        <is>
          <t>wordpress</t>
        </is>
      </c>
      <c r="B2409" t="inlineStr">
        <is>
          <t>WordPress/src/main/java/org/wordpress/android/Constants.java</t>
        </is>
      </c>
      <c r="C2409">
        <f>HYPERLINK("https://github.com/wordpress-mobile/WordPress-Android/blob/master/WordPress/src/main/java/org/wordpress/android/Constants.java")</f>
        <v/>
      </c>
      <c r="D2409" t="inlineStr">
        <is>
          <t>The provided code defines several constants used for URLs related to WordPress and Jetpack settings. These include terms of service, privacy policy links, datetime formatting help, timezone endpoint, Jetpack settings page URL, VaultPress dashboard URL, and a product type constant for domains. The complexity is O(1) as it involves storing fixed values in variables.</t>
        </is>
      </c>
      <c r="E2409" t="n">
        <v>0.0034</v>
      </c>
      <c r="F2409" t="n">
        <v>0.0317</v>
      </c>
      <c r="G2409" t="n">
        <v>0.0794</v>
      </c>
      <c r="H2409" t="inlineStr">
        <is>
          <t>Manages constants for WordPress-related URLs and product types in the Android application.</t>
        </is>
      </c>
      <c r="I2409" t="n">
        <v>0.017</v>
      </c>
      <c r="J2409" t="n">
        <v>0.09520000000000001</v>
      </c>
      <c r="K2409" t="n">
        <v>0.0595</v>
      </c>
      <c r="L2409" t="inlineStr">
        <is>
          <t>This Java class defines several constants related to URLs for various WordPress-related resources such as terms of service, privacy policy, datetime format help, timezone endpoint, Jetpack settings, VaultPress dashboard, and domain product type. The constants provide easy access to these URLs throughout the application.</t>
        </is>
      </c>
      <c r="M2409" t="n">
        <v>0.005</v>
      </c>
      <c r="N2409" t="n">
        <v>0.0755</v>
      </c>
      <c r="O2409" t="n">
        <v>0.0862</v>
      </c>
    </row>
    <row r="2410">
      <c r="A2410" t="inlineStr">
        <is>
          <t>wordpress</t>
        </is>
      </c>
      <c r="B2410" t="inlineStr">
        <is>
          <t>WordPress/src/main/java/org/wordpress/android/JobServiceId.java</t>
        </is>
      </c>
      <c r="C2410">
        <f>HYPERLINK("https://github.com/wordpress-mobile/WordPress-Android/blob/master/WordPress/src/main/java/org/wordpress/android/JobServiceId.java")</f>
        <v/>
      </c>
      <c r="D2410" t="inlineStr">
        <is>
          <t>The provided Java code defines constants for job service IDs used in an Android application. These IDs correspond to different background jobs that perform various tasks such as GCM registration updates, reader post services, notifications update, and statistics calculations. The `JobServiceId` class is part of the `org.wordpress.android` package and includes fields for each job ID with descriptive names.</t>
        </is>
      </c>
      <c r="E2410" t="n">
        <v>0.0031</v>
      </c>
      <c r="F2410" t="n">
        <v>0.0294</v>
      </c>
      <c r="G2410" t="n">
        <v>0.0769</v>
      </c>
      <c r="H2410" t="inlineStr">
        <is>
          <t>Manages job service IDs for WordPress Android application.</t>
        </is>
      </c>
      <c r="I2410" t="n">
        <v>0</v>
      </c>
      <c r="J2410" t="n">
        <v>0</v>
      </c>
      <c r="K2410" t="n">
        <v>0</v>
      </c>
      <c r="L2410" t="inlineStr">
        <is>
          <t>The `JobServiceId` class defines constants for job service IDs used by Android's JobScheduler to manage background tasks such as GCM registration, reader updates, publicize updates, post services, search services, notifications, statistics, and install referrer tracking. These IDs help identify which specific jobs should be scheduled and executed at different times within the application.</t>
        </is>
      </c>
      <c r="M2410" t="n">
        <v>0.0035</v>
      </c>
      <c r="N2410" t="n">
        <v>0.0323</v>
      </c>
      <c r="O2410" t="n">
        <v>0.08</v>
      </c>
    </row>
    <row r="2411">
      <c r="A2411" t="inlineStr">
        <is>
          <t>wordpress</t>
        </is>
      </c>
      <c r="B2411" t="inlineStr">
        <is>
          <t>WordPress/src/main/java/org/wordpress/android/WordPressApp.java</t>
        </is>
      </c>
      <c r="C2411">
        <f>HYPERLINK("https://github.com/wordpress-mobile/WordPress-Android/blob/master/WordPress/src/main/java/org/wordpress/android/WordPressApp.java")</f>
        <v/>
      </c>
      <c r="D2411" t="inlineStr">
        <is>
          <t>The provided code is for a `WordPressApp` class that extends `WordPress`. It uses Dagger 2 dependency injection to manage dependencies and provides an implementation of the `HasAndroidInjector` interface required by Android Jetpack's component architecture. The `onCreate()` method initializes the app by calling `mAppInitializer.init()`, which presumably performs some initialization tasks specific to the application. The `androidInjector</t>
        </is>
      </c>
      <c r="E2411" t="n">
        <v>0.0033</v>
      </c>
      <c r="F2411" t="n">
        <v>0.0308</v>
      </c>
      <c r="G2411" t="n">
        <v>0.1181</v>
      </c>
      <c r="H2411" t="inlineStr">
        <is>
          <t>Manages the lifecycle of the application by initializing dependencies using Dagger2.</t>
        </is>
      </c>
      <c r="I2411" t="n">
        <v>0</v>
      </c>
      <c r="J2411" t="n">
        <v>0</v>
      </c>
      <c r="K2411" t="n">
        <v>0.0602</v>
      </c>
      <c r="L2411" t="inlineStr">
        <is>
          <t>This Java application component is part of a larger system designed for managing WordPress content. It initializes the app's dependencies during startup by calling `mAppInitializer.init()` within the `onCreate` method. The `WordPressApp` class implements the `HasAndroidInjector` interface, which allows it to provide dependency injection for other classes within the app. The `androidInjector()` method returns a `Dispatching</t>
        </is>
      </c>
      <c r="M2411" t="n">
        <v>0.004</v>
      </c>
      <c r="N2411" t="n">
        <v>0.0615</v>
      </c>
      <c r="O2411" t="n">
        <v>0.1181</v>
      </c>
    </row>
    <row r="2412">
      <c r="A2412" t="inlineStr">
        <is>
          <t>wordpress</t>
        </is>
      </c>
      <c r="B2412" t="inlineStr">
        <is>
          <t>WordPress/src/main/java/org/wordpress/android/Result.kt</t>
        </is>
      </c>
      <c r="C2412">
        <f>HYPERLINK("https://github.com/wordpress-mobile/WordPress-Android/blob/master/WordPress/src/main/java/org/wordpress/android/Result.kt")</f>
        <v/>
      </c>
      <c r="D2412" t="inlineStr">
        <is>
          <t>The `Result` sealed class in the `org.wordpress.android` package is used to represent either a successful result (`Success`) or a failure (`Failure`). The `Success` variant holds a value of type `R`, while the `Failure` variant holds a value of type `L`. This design pattern is commonly used for handling operations that may succeed or fail, providing a clean way to manage error</t>
        </is>
      </c>
      <c r="E2412" t="n">
        <v>0.003</v>
      </c>
      <c r="F2412" t="n">
        <v>0.0282</v>
      </c>
      <c r="G2412" t="n">
        <v>0.0752</v>
      </c>
      <c r="H2412" t="inlineStr">
        <is>
          <t>Provides a sealed class `Result` in Kotlin that can represent either a failure with a specific error type or a success with a specific result type. Complexity is O(N), indicating linear time complexity for operations related to handling results. Comments describe its implementation as core algorithmic logic. The code size is 193 lines.</t>
        </is>
      </c>
      <c r="I2412" t="n">
        <v>0.0041</v>
      </c>
      <c r="J2412" t="n">
        <v>0.0968</v>
      </c>
      <c r="K2412" t="n">
        <v>0.12</v>
      </c>
      <c r="L2412" t="inlineStr">
        <is>
          <t>The `Result` sealed class is used to encapsulate either a failure (`Failure`) containing an error value or a success (`Success`) containing a result value. It provides a simple way to handle both possible outcomes of asynchronous operations or function calls, promoting better error handling and data flow management in Android applications.</t>
        </is>
      </c>
      <c r="M2412" t="n">
        <v>0.0036</v>
      </c>
      <c r="N2412" t="n">
        <v>0.0678</v>
      </c>
      <c r="O2412" t="n">
        <v>0.0813</v>
      </c>
    </row>
    <row r="2413">
      <c r="A2413" t="inlineStr">
        <is>
          <t>wordpress</t>
        </is>
      </c>
      <c r="B2413" t="inlineStr">
        <is>
          <t>WordPress/src/main/java/org/wordpress/android/AppInitializer.kt</t>
        </is>
      </c>
      <c r="C2413">
        <f>HYPERLINK("https://github.com/wordpress-mobile/WordPress-Android/blob/master/WordPress/src/main/java/org/wordpress/android/AppInitializer.kt")</f>
        <v/>
      </c>
      <c r="D2413" t="inlineStr">
        <is>
          <t>The provided code is part of a package named `org.wordpress.android` in a Java Android application. It includes various functionalities such as:
- Suppressing deprecated warnings using the `@file:Suppress("DEPRECATION")` annotation.
- Managing app operations with classes like `AsyncNotedAppOp`, `SyncNotedAppOp`, and `NotificationManager`.
- Implementing lifecycle observers for Android</t>
        </is>
      </c>
      <c r="E2413" t="n">
        <v>0.004</v>
      </c>
      <c r="F2413" t="n">
        <v>0.0727</v>
      </c>
      <c r="G2413" t="n">
        <v>0.1271</v>
      </c>
      <c r="H2413" t="inlineStr">
        <is>
          <t>Manages Android application lifecycle events and handles various system operations such as connectivity checks, SQLite database interactions, and WebView management. Complexity is high due to extensive handling of different scenarios and API versions.</t>
        </is>
      </c>
      <c r="I2413" t="n">
        <v>0.0056</v>
      </c>
      <c r="J2413" t="n">
        <v>0.0488</v>
      </c>
      <c r="K2413" t="n">
        <v>0.0476</v>
      </c>
      <c r="L2413" t="inlineStr">
        <is>
          <t>The code is part of a backend software component for Android applications, designed to handle various system-level tasks such as managing notifications, app permissions, connectivity checks, database interactions, and WebView management. It includes functionalities like setting up notification channels, checking network availability, handling SQLite exceptions, updating application configurations, and managing lifecycle events using LiveData. The code uses annotations and APIs from different versions of Android to ensure compatibility</t>
        </is>
      </c>
      <c r="M2413" t="n">
        <v>0.0032</v>
      </c>
      <c r="N2413" t="n">
        <v>0.0779</v>
      </c>
      <c r="O2413" t="n">
        <v>0.1071</v>
      </c>
    </row>
    <row r="2414">
      <c r="A2414" t="inlineStr">
        <is>
          <t>wordpress</t>
        </is>
      </c>
      <c r="B2414" t="inlineStr">
        <is>
          <t>WordPress/src/main/java/org/wordpress/android/provider/query/QueryContentProvider.kt</t>
        </is>
      </c>
      <c r="C2414">
        <f>HYPERLINK("https://github.com/wordpress-mobile/WordPress-Android/blob/master/WordPress/src/main/java/org/wordpress/android/provider/query/QueryContentProvider.kt")</f>
        <v/>
      </c>
      <c r="D2414" t="inlineStr">
        <is>
          <t>The `QueryContentProvider` is an abstract content provider in Android that provides methods to handle CRUD operations (Create, Read, Update, Delete) for data stored within it. It throws exceptions when any of these operations are attempted, indicating that these functionalities should not be used directly by clients but rather through other means such as database queries or service calls. The complexity of this implementation is O(1),</t>
        </is>
      </c>
      <c r="E2414" t="n">
        <v>0</v>
      </c>
      <c r="F2414" t="n">
        <v>0.0541</v>
      </c>
      <c r="G2414" t="n">
        <v>0.1095</v>
      </c>
      <c r="H2414" t="inlineStr">
        <is>
          <t>Provides abstract base classes for content providers in Android, throwing exceptions for unsupported operations to prevent misuse.</t>
        </is>
      </c>
      <c r="I2414" t="n">
        <v>0</v>
      </c>
      <c r="J2414" t="n">
        <v>0</v>
      </c>
      <c r="K2414" t="n">
        <v>0</v>
      </c>
      <c r="L2414" t="inlineStr">
        <is>
          <t>This abstract `QueryContentProvider` class is designed as a base for content providers that handle queries without implementing any specific data storage mechanisms. It throws exceptions for all CRUD (Create, Read, Update, Delete) methods, indicating that these functionalities should be implemented by subclasses. The provider's primary role is to provide query capabilities while allowing subclasses to define how those queries are executed against their respective data sources.</t>
        </is>
      </c>
      <c r="M2414" t="n">
        <v>0.0028</v>
      </c>
      <c r="N2414" t="n">
        <v>0.08</v>
      </c>
      <c r="O2414" t="n">
        <v>0.1087</v>
      </c>
    </row>
    <row r="2415">
      <c r="A2415" t="inlineStr">
        <is>
          <t>wordpress</t>
        </is>
      </c>
      <c r="B2415" t="inlineStr">
        <is>
          <t>WordPress/src/main/java/org/wordpress/android/provider/query/QueryResult.kt</t>
        </is>
      </c>
      <c r="C2415">
        <f>HYPERLINK("https://github.com/wordpress-mobile/WordPress-Android/blob/master/WordPress/src/main/java/org/wordpress/android/provider/query/QueryResult.kt")</f>
        <v/>
      </c>
      <c r="D2415" t="inlineStr">
        <is>
          <t>The `QueryResult` class provides methods to convert between Java objects and Android database cursors using Google's Gson library for JSON serialization/deserialization. It includes:
1. A generic method `getValue` that retrieves a single object from a cursor based on its first column.
2. Another generic method `createCursor` that converts a Java object into a cursor containing a JSON representation of the object.</t>
        </is>
      </c>
      <c r="E2415" t="n">
        <v>0.003</v>
      </c>
      <c r="F2415" t="n">
        <v>0.0282</v>
      </c>
      <c r="G2415" t="n">
        <v>0.0752</v>
      </c>
      <c r="H2415" t="inlineStr">
        <is>
          <t>Manages query results by converting them to JSON strings for storage in a `MatrixCursor` and vice versa using Google's Gson library.</t>
        </is>
      </c>
      <c r="I2415" t="n">
        <v>0.0091</v>
      </c>
      <c r="J2415" t="n">
        <v>0.0667</v>
      </c>
      <c r="K2415" t="n">
        <v>0.1075</v>
      </c>
      <c r="L2415" t="inlineStr">
        <is>
          <t>The `QueryResult` class provides methods for converting objects to JSON strings and back into their original object types using Google's Gson library. It includes two main functionalities:
1. **getValue**: Takes a `Cursor` containing a single string representing a JSON-encoded object and converts it back into the specified Java type using Gson. If no specific type is provided, it defaults to the generic `Any` type</t>
        </is>
      </c>
      <c r="M2415" t="n">
        <v>0.0028</v>
      </c>
      <c r="N2415" t="n">
        <v>0.0541</v>
      </c>
      <c r="O2415" t="n">
        <v>0.0735</v>
      </c>
    </row>
    <row r="2416">
      <c r="A2416" t="inlineStr">
        <is>
          <t>wordpress</t>
        </is>
      </c>
      <c r="B2416" t="inlineStr">
        <is>
          <t>WordPress/src/main/java/org/wordpress/android/widgets/RoundedSlicesPieChartRenderer.kt</t>
        </is>
      </c>
      <c r="C2416">
        <f>HYPERLINK("https://github.com/wordpress-mobile/WordPress-Android/blob/master/WordPress/src/main/java/org/wordpress/android/widgets/RoundedSlicesPieChartRenderer.kt")</f>
        <v/>
      </c>
      <c r="D2416" t="inlineStr">
        <is>
          <t>The `RoundedSlicesPieChartRenderer` class extends `PieChartRenderer` from the MPAndroidChart library to modify its behavior when drawing pie chart data sets. It allows the outer rounds of each slice to be drawn at both the start and end positions, providing a visually distinct appearance compared to the default single-round rendering. The implementation involves copying the original `drawDataSet` method and modifying it</t>
        </is>
      </c>
      <c r="E2416" t="n">
        <v>0.0031</v>
      </c>
      <c r="F2416" t="n">
        <v>0.0588</v>
      </c>
      <c r="G2416" t="n">
        <v>0.07630000000000001</v>
      </c>
      <c r="H2416" t="inlineStr">
        <is>
          <t>This repository contains backend software components implementing core algorithms. The complexity is O(N), indicating linear time complexity in relation to input size N. The code size is 1000 lines, making it relatively large but focused on providing essential functionalities.</t>
        </is>
      </c>
      <c r="I2416" t="n">
        <v>0.0062</v>
      </c>
      <c r="J2416" t="n">
        <v>0.2083</v>
      </c>
      <c r="K2416" t="n">
        <v>0.2843</v>
      </c>
      <c r="L2416" t="inlineStr">
        <is>
          <t>The `RoundedSlicesPieChartRenderer` class extends `PieChartRenderer` to modify the drawing of pie chart slices by allowing the outer arc to extend from both ends of each slice instead of just one. It overrides the `drawDataSet` method to achieve this custom rendering. The class initializes the chart's properties and sets up the renderer to handle rounded slices as specified.</t>
        </is>
      </c>
      <c r="M2416" t="n">
        <v>0.0032</v>
      </c>
      <c r="N2416" t="n">
        <v>0.0606</v>
      </c>
      <c r="O2416" t="n">
        <v>0.0775</v>
      </c>
    </row>
    <row r="2417">
      <c r="A2417" t="inlineStr">
        <is>
          <t>wordpress</t>
        </is>
      </c>
      <c r="B2417" t="inlineStr">
        <is>
          <t>WordPress/src/main/java/org/wordpress/android/widgets/StorageNotificationDialogFragment.kt</t>
        </is>
      </c>
      <c r="C2417">
        <f>HYPERLINK("https://github.com/wordpress-mobile/WordPress-Android/blob/master/WordPress/src/main/java/org/wordpress/android/widgets/StorageNotificationDialogFragment.kt")</f>
        <v/>
      </c>
      <c r="D2417" t="inlineStr">
        <is>
          <t>The `StorageNotificationDialogFragment` is a dialog fragment in the WordPress Android app that displays a notification about insufficient storage space. It allows users to either delete unnecessary files or go to settings to manage their storage preferences. The dialog includes labels for the title, message, "OK" button, and "Don't Show Again" option. The user's choice (delete files or open settings) can be</t>
        </is>
      </c>
      <c r="E2417" t="n">
        <v>0.003</v>
      </c>
      <c r="F2417" t="n">
        <v>0.0282</v>
      </c>
      <c r="G2417" t="n">
        <v>0.0752</v>
      </c>
      <c r="H2417" t="inlineStr">
        <is>
          <t>Manages storage notification dialogs in WordPress Android app. Uses MaterialAlertDialogBuilder for UI construction. Retrieves dialog labels from arguments passed to the fragment. Complexity is O(N) due to potential variable number of arguments.</t>
        </is>
      </c>
      <c r="I2417" t="n">
        <v>0</v>
      </c>
      <c r="J2417" t="n">
        <v>0</v>
      </c>
      <c r="K2417" t="n">
        <v>0.0481</v>
      </c>
      <c r="L2417" t="inlineStr">
        <is>
          <t>This dialog fragment displays a storage notification with customizable labels for title, message, OK button, and "Don't Show Again" option. It allows users to manage their app's storage permissions by navigating to settings if they choose to don't show again. The dialog is triggered via an intent from another activity.</t>
        </is>
      </c>
      <c r="M2417" t="n">
        <v>0.0044</v>
      </c>
      <c r="N2417" t="n">
        <v>0.06560000000000001</v>
      </c>
      <c r="O2417" t="n">
        <v>0.082</v>
      </c>
    </row>
    <row r="2418">
      <c r="A2418" t="inlineStr">
        <is>
          <t>wordpress</t>
        </is>
      </c>
      <c r="B2418" t="inlineStr">
        <is>
          <t>WordPress/src/main/java/org/wordpress/android/widgets/WPSwitchCompat.kt</t>
        </is>
      </c>
      <c r="C2418">
        <f>HYPERLINK("https://github.com/wordpress-mobile/WordPress-Android/blob/master/WordPress/src/main/java/org/wordpress/android/widgets/WPSwitchCompat.kt")</f>
        <v/>
      </c>
      <c r="D2418" t="inlineStr">
        <is>
          <t>The `WPSwitchCompat` class extends `SwitchCompat` from the Android Support Library and provides a custom implementation for a switch widget. It uses custom track and thumb drawables to ensure compatibility with the `WPSwitch` component from the WordPress Android UI library. The class also sets the width of the switch to match the dimensions used by the `WPSwitch` composable, allowing for</t>
        </is>
      </c>
      <c r="E2418" t="n">
        <v>0.0031</v>
      </c>
      <c r="F2418" t="n">
        <v>0.0597</v>
      </c>
      <c r="G2418" t="n">
        <v>0.1145</v>
      </c>
      <c r="H2418" t="inlineStr">
        <is>
          <t>This repository contains backend software components implementing core algorithms. Complexity is O(N), indicating linear time complexity for operations involving data structures or processes that scale proportionally with input size. The code base has been initialized with basic structure and commits.</t>
        </is>
      </c>
      <c r="I2418" t="n">
        <v>0.0065</v>
      </c>
      <c r="J2418" t="n">
        <v>0.2041</v>
      </c>
      <c r="K2418" t="n">
        <v>0.3321</v>
      </c>
      <c r="L2418" t="inlineStr">
        <is>
          <t>This class extends `SwitchCompat` from the Android Support Library to provide a switch widget with custom drawable resources for both the track and thumb, ensuring compatibility with the `WPSwitch` composable component used in WordPress Android applications. The goal is to allow gradual adoption of Jetpack Compose while maintaining consistent visual appearance within existing Android layout structures.</t>
        </is>
      </c>
      <c r="M2418" t="n">
        <v>0.0039</v>
      </c>
      <c r="N2418" t="n">
        <v>0.0625</v>
      </c>
      <c r="O2418" t="n">
        <v>0.1172</v>
      </c>
    </row>
    <row r="2419">
      <c r="A2419" t="inlineStr">
        <is>
          <t>wordpress</t>
        </is>
      </c>
      <c r="B2419" t="inlineStr">
        <is>
          <t>WordPress/src/main/java/org/wordpress/android/widgets/RecyclerItemDecoration.java</t>
        </is>
      </c>
      <c r="C2419">
        <f>HYPERLINK("https://github.com/wordpress-mobile/WordPress-Android/blob/master/WordPress/src/main/java/org/wordpress/android/widgets/RecyclerItemDecoration.java")</f>
        <v/>
      </c>
      <c r="D2419" t="inlineStr">
        <is>
          <t>The `RecyclerItemDecoration` class is a custom item decoration for Android's RecyclerView that adds horizontal and vertical spacing between items. It allows customization of these spacings and whether to skip adding space before the first item in the list. The constructor takes parameters for horizontal and vertical spacing, as well as a flag to determine if the first item should have no spacing applied. This class can be used to</t>
        </is>
      </c>
      <c r="E2419" t="n">
        <v>0.0031</v>
      </c>
      <c r="F2419" t="n">
        <v>0.0256</v>
      </c>
      <c r="G2419" t="n">
        <v>0.1064</v>
      </c>
      <c r="H2419" t="inlineStr">
        <is>
          <t>This repository contains backend software components that implement core algorithms. The complexity is O(N), indicating linear time performance in relation to input size. The README provides information about the repository's purpose, including its contents and structure.</t>
        </is>
      </c>
      <c r="I2419" t="n">
        <v>0.0073</v>
      </c>
      <c r="J2419" t="n">
        <v>0.2174</v>
      </c>
      <c r="K2419" t="n">
        <v>0.3444</v>
      </c>
      <c r="L2419" t="inlineStr">
        <is>
          <t>This Android RecyclerView item decoration adds horizontal and vertical spacing between items. It can optionally skip adding spacing before the first item. The constructor allows specifying both horizontal and vertical spacings, as well as whether to skip the first item's spacing.</t>
        </is>
      </c>
      <c r="M2419" t="n">
        <v>0.0054</v>
      </c>
      <c r="N2419" t="n">
        <v>0.08</v>
      </c>
      <c r="O2419" t="n">
        <v>0.0885</v>
      </c>
    </row>
    <row r="2420">
      <c r="A2420" t="inlineStr">
        <is>
          <t>wordpress</t>
        </is>
      </c>
      <c r="B2420" t="inlineStr">
        <is>
          <t>WordPress/src/main/java/org/wordpress/android/widgets/WPSnackbar.kt</t>
        </is>
      </c>
      <c r="C2420">
        <f>HYPERLINK("https://github.com/wordpress-mobile/WordPress-Android/blob/master/WordPress/src/main/java/org/wordpress/android/widgets/WPSnackbar.kt")</f>
        <v/>
      </c>
      <c r="D2420" t="inlineStr">
        <is>
          <t>The `WPSnackbar` class provides static methods to create snackbar messages in Android applications using Material Design's `Snackbar`. It includes two main functionalities:
1. **Creating a Snack Bar with Text Resource**:
   - The `make` method takes a `View`, a string resource ID (`@StringRes`), and a duration.
   - It retrieves the string from the resources</t>
        </is>
      </c>
      <c r="E2420" t="n">
        <v>0.0035</v>
      </c>
      <c r="F2420" t="n">
        <v>0.0667</v>
      </c>
      <c r="G2420" t="n">
        <v>0.08</v>
      </c>
      <c r="H2420" t="inlineStr">
        <is>
          <t>The provided code defines a `WPSnackbar` class within the `org.wordpress.android.widgets` package that provides utility methods for creating snackbars in Android applications. The class includes static methods to create snackbar instances with either a string resource or a custom message, using a modified version of the original `make` method from the Material Design library's `Snackbar`. This implementation ensures that the snackbar</t>
        </is>
      </c>
      <c r="I2420" t="n">
        <v>0.003</v>
      </c>
      <c r="J2420" t="n">
        <v>0.0556</v>
      </c>
      <c r="K2420" t="n">
        <v>0.1136</v>
      </c>
      <c r="L2420" t="inlineStr">
        <is>
          <t>The `WPSnackbar` class provides utility methods for creating snackbars in Android applications using Google's Material Design library. It includes two static methods: `make`, which creates a snackbar from a string resource ID, and another that takes a custom message and duration. The method adjusts the snackbar duration based on accessibility settings to ensure optimal visibility across different devices.</t>
        </is>
      </c>
      <c r="M2420" t="n">
        <v>0.0031</v>
      </c>
      <c r="N2420" t="n">
        <v>0.0299</v>
      </c>
      <c r="O2420" t="n">
        <v>0.0769</v>
      </c>
    </row>
    <row r="2421">
      <c r="A2421" t="inlineStr">
        <is>
          <t>wordpress</t>
        </is>
      </c>
      <c r="B2421" t="inlineStr">
        <is>
          <t>WordPress/src/main/java/org/wordpress/android/widgets/WPSnackbarWrapper.kt</t>
        </is>
      </c>
      <c r="C2421">
        <f>HYPERLINK("https://github.com/wordpress-mobile/WordPress-Android/blob/master/WordPress/src/main/java/org/wordpress/android/widgets/WPSnackbarWrapper.kt")</f>
        <v/>
      </c>
      <c r="D2421" t="inlineStr">
        <is>
          <t>The `WPSnackbarWrapper` class provides a simple interface for creating instances of `Snackbar`, making it easier to test by allowing injection of dependencies. It wraps the static methods of `WPSnackbar` to provide a more flexible and modular approach. The complexity of the implementation is O(1) as it involves basic method calls.</t>
        </is>
      </c>
      <c r="E2421" t="n">
        <v>0.0037</v>
      </c>
      <c r="F2421" t="n">
        <v>0.0339</v>
      </c>
      <c r="G2421" t="n">
        <v>0.082</v>
      </c>
      <c r="H2421" t="inlineStr">
        <is>
          <t>Wraps `WPSnackbar` for easy testing by providing a method that returns a new instance.</t>
        </is>
      </c>
      <c r="I2421" t="n">
        <v>0</v>
      </c>
      <c r="J2421" t="n">
        <v>0</v>
      </c>
      <c r="K2421" t="n">
        <v>0</v>
      </c>
      <c r="L2421" t="inlineStr">
        <is>
          <t>The `WPSnackbarWrapper` class provides a simple interface for creating `Snackbar` instances using Dagger's dependency injection feature. It abstracts away the static method calls from `WPSnackbar`, making it easier to mock and test the component. The class is annotated as `@Reusable` to allow for efficient object pooling when used within Android applications.</t>
        </is>
      </c>
      <c r="M2421" t="n">
        <v>0.0036</v>
      </c>
      <c r="N2421" t="n">
        <v>0.0333</v>
      </c>
      <c r="O2421" t="n">
        <v>0.0813</v>
      </c>
    </row>
    <row r="2422">
      <c r="A2422" t="inlineStr">
        <is>
          <t>wordpress</t>
        </is>
      </c>
      <c r="B2422" t="inlineStr">
        <is>
          <t>WordPress/src/main/java/org/wordpress/android/widgets/WPLinearLayoutSizeBound.java</t>
        </is>
      </c>
      <c r="C2422">
        <f>HYPERLINK("https://github.com/wordpress-mobile/WordPress-Android/blob/master/WordPress/src/main/java/org/wordpress/android/widgets/WPLinearLayoutSizeBound.java")</f>
        <v/>
      </c>
      <c r="D2422" t="inlineStr">
        <is>
          <t>The `WPLinearLayoutSizeBound` class is a custom Android layout that restricts its child views to specified maximum width and height dimensions. It inherits from `LinearLayout`. The constructor initializes with default values for maximum width and height (both set to zero). An additional constructor takes `Context` and `AttributeSet` parameters, allowing it to be styled using XML attributes defined in the `res/values/attrs</t>
        </is>
      </c>
      <c r="E2422" t="n">
        <v>0.0031</v>
      </c>
      <c r="F2422" t="n">
        <v>0.029</v>
      </c>
      <c r="G2422" t="n">
        <v>0.07630000000000001</v>
      </c>
      <c r="H2422" t="inlineStr">
        <is>
          <t>Manages layout size constraints for Android views using XML attributes.</t>
        </is>
      </c>
      <c r="I2422" t="n">
        <v>0</v>
      </c>
      <c r="J2422" t="n">
        <v>0</v>
      </c>
      <c r="K2422" t="n">
        <v>0.061</v>
      </c>
      <c r="L2422" t="inlineStr">
        <is>
          <t>This Android widget class, `WPLinearLayoutSizeBound`, is designed to restrict the maximum width and height of any child views within it using attributes defined in XML. It initializes with default values for both dimensions (Integer.MAX_VALUE), allowing children to expand without restriction unless specified otherwise through the layout attributes. The constructor methods handle setting these bounds based on the provided `AttributeSet`.</t>
        </is>
      </c>
      <c r="M2422" t="n">
        <v>0.0037</v>
      </c>
      <c r="N2422" t="n">
        <v>0.058</v>
      </c>
      <c r="O2422" t="n">
        <v>0.1145</v>
      </c>
    </row>
    <row r="2423">
      <c r="A2423" t="inlineStr">
        <is>
          <t>wordpress</t>
        </is>
      </c>
      <c r="B2423" t="inlineStr">
        <is>
          <t>WordPress/src/main/java/org/wordpress/android/widgets/AuthErrorDialogFragment.java</t>
        </is>
      </c>
      <c r="C2423">
        <f>HYPERLINK("https://github.com/wordpress-mobile/WordPress-Android/blob/master/WordPress/src/main/java/org/wordpress/android/widgets/AuthErrorDialogFragment.java")</f>
        <v/>
      </c>
      <c r="D2423" t="inlineStr">
        <is>
          <t>The `AuthErrorDialogFragment` is a custom Android dialog fragment used to display error messages related to XML-RPC authentication failures in WordPress apps. It allows setting a custom title and message through arguments, as well as passing a `SiteModel`. The fragment uses Material Design styling with an AlertDialog from the Google library.</t>
        </is>
      </c>
      <c r="E2423" t="n">
        <v>0.0037</v>
      </c>
      <c r="F2423" t="n">
        <v>0.0339</v>
      </c>
      <c r="G2423" t="n">
        <v>0.082</v>
      </c>
      <c r="H2423" t="inlineStr">
        <is>
          <t>This repository contains backend software components implementing core algorithms. Complexity is O(N), with comments indicating implementation details. The repository was initialized with a single commit containing the initial codebase.</t>
        </is>
      </c>
      <c r="I2423" t="n">
        <v>0.008500000000000001</v>
      </c>
      <c r="J2423" t="n">
        <v>0.2105</v>
      </c>
      <c r="K2423" t="n">
        <v>0.198</v>
      </c>
      <c r="L2423" t="inlineStr">
        <is>
          <t>This Android `AuthErrorDialogFragment` is a custom dialog used to display error messages related to XML-RPC authentication failures. It allows setting custom titles and messages via arguments, which can be useful for providing more context specific to different scenarios. The dialog uses Material Design styling from Google's Material Components library.</t>
        </is>
      </c>
      <c r="M2423" t="n">
        <v>0.0045</v>
      </c>
      <c r="N2423" t="n">
        <v>0.0678</v>
      </c>
      <c r="O2423" t="n">
        <v>0.124</v>
      </c>
    </row>
    <row r="2424">
      <c r="A2424" t="inlineStr">
        <is>
          <t>wordpress</t>
        </is>
      </c>
      <c r="B2424" t="inlineStr">
        <is>
          <t>WordPress/src/main/java/org/wordpress/android/widgets/TypefaceCache.java</t>
        </is>
      </c>
      <c r="C2424">
        <f>HYPERLINK("https://github.com/wordpress-mobile/WordPress-Android/blob/master/WordPress/src/main/java/org/wordpress/android/widgets/TypefaceCache.java")</f>
        <v/>
      </c>
      <c r="D2424" t="inlineStr">
        <is>
          <t>The `TypefaceCache` class is designed to manage cached font resources in Android applications. It uses a `Hashtable` to store pre-loaded `Typeface` objects associated with specific font names. The `getTypefaceForTypefaceName` method checks if a `Typeface` object exists in the cache for the given font name. If not, it loads the font from the application's assets directory</t>
        </is>
      </c>
      <c r="E2424" t="n">
        <v>0</v>
      </c>
      <c r="F2424" t="n">
        <v>0</v>
      </c>
      <c r="G2424" t="n">
        <v>0.0394</v>
      </c>
      <c r="H2424" t="inlineStr">
        <is>
          <t>Manages a cache of font types to improve performance by reducing asset file loads.</t>
        </is>
      </c>
      <c r="I2424" t="n">
        <v>0</v>
      </c>
      <c r="J2424" t="n">
        <v>0</v>
      </c>
      <c r="K2424" t="n">
        <v>0</v>
      </c>
      <c r="L2424" t="inlineStr">
        <is>
          <t>The `TypefaceCache` class provides a caching mechanism for font resources in Android applications, specifically designed for handling custom fonts like icons. It uses a `Hashtable` to store pre-loaded `Typeface` objects associated with their names. The `getTypefaceForTypefaceName` method retrieves a `Typeface` object from the cache by name. If the requested `Typeface` is not found</t>
        </is>
      </c>
      <c r="M2424" t="n">
        <v>0</v>
      </c>
      <c r="N2424" t="n">
        <v>0</v>
      </c>
      <c r="O2424" t="n">
        <v>0.04</v>
      </c>
    </row>
    <row r="2425">
      <c r="A2425" t="inlineStr">
        <is>
          <t>wordpress</t>
        </is>
      </c>
      <c r="B2425" t="inlineStr">
        <is>
          <t>WordPress/src/main/java/org/wordpress/android/widgets/NoticonTextView.java</t>
        </is>
      </c>
      <c r="C2425">
        <f>HYPERLINK("https://github.com/wordpress-mobile/WordPress-Android/blob/master/WordPress/src/main/java/org/wordpress/android/widgets/NoticonTextView.java")</f>
        <v/>
      </c>
      <c r="D2425" t="inlineStr">
        <is>
          <t>The `NoticonTextView` class is a custom Android widget that extends `AppCompatTextView`. It uses a specific font named "Noticons.ttf" to display icons from the Noticon icon set. The constructor initializes the text view with the specified typeface, allowing it to render icons using the Noticon font. This widget can be used in any Android application where icons need to be displayed using the</t>
        </is>
      </c>
      <c r="E2425" t="n">
        <v>0.0029</v>
      </c>
      <c r="F2425" t="n">
        <v>0.0282</v>
      </c>
      <c r="G2425" t="n">
        <v>0.0746</v>
      </c>
      <c r="H2425" t="inlineStr">
        <is>
          <t>This repository contains backend software components implementing core algorithms. The complexity is O(N), indicating linear time operations.</t>
        </is>
      </c>
      <c r="I2425" t="n">
        <v>0.0151</v>
      </c>
      <c r="J2425" t="n">
        <v>0.3077</v>
      </c>
      <c r="K2425" t="n">
        <v>0.3546</v>
      </c>
      <c r="L2425" t="inlineStr">
        <is>
          <t>This Android widget class, `NoticonTextView`, is designed to display text using the Noticon icon font. It inherits from `AppCompatTextView` and initializes its typeface based on the specified font name stored in `NOTICON_FONT_NAME`. The constructor methods call `setTypeface` with the cached typeface for the font name, ensuring consistent styling across different instances of the view.</t>
        </is>
      </c>
      <c r="M2425" t="n">
        <v>0.004</v>
      </c>
      <c r="N2425" t="n">
        <v>0.0625</v>
      </c>
      <c r="O2425" t="n">
        <v>0.119</v>
      </c>
    </row>
    <row r="2426">
      <c r="A2426" t="inlineStr">
        <is>
          <t>wordpress</t>
        </is>
      </c>
      <c r="B2426" t="inlineStr">
        <is>
          <t>WordPress/src/main/java/org/wordpress/android/widgets/WPViewPager2Transformer.kt</t>
        </is>
      </c>
      <c r="C2426">
        <f>HYPERLINK("https://github.com/wordpress-mobile/WordPress-Android/blob/master/WordPress/src/main/java/org/wordpress/android/widgets/WPViewPager2Transformer.kt")</f>
        <v/>
      </c>
      <c r="D2426" t="inlineStr">
        <is>
          <t>The `WPViewPager2Transformer` class provides a page transformation effect for Android's ViewPager2 widget. It supports various transform types such as flow, depth, zoom, slide over, etc., allowing developers to easily migrate their existing ViewPager implementations to ViewPager2 while maintaining similar visual effects. The class implements the `PageTransformer` interface required by ViewPager2, enabling smooth transitions between pages based on the specified transform</t>
        </is>
      </c>
      <c r="E2426" t="n">
        <v>0.003</v>
      </c>
      <c r="F2426" t="n">
        <v>0.029</v>
      </c>
      <c r="G2426" t="n">
        <v>0.07580000000000001</v>
      </c>
      <c r="H2426" t="inlineStr">
        <is>
          <t>This repository contains backend software components that implement core algorithms. Complexity is O(N), indicating linear time complexity in relation to input size N. Comments describe the implementation details, while commits track the initial creation of the codebase. The total code size is 1000 lines.</t>
        </is>
      </c>
      <c r="I2426" t="n">
        <v>0.0055</v>
      </c>
      <c r="J2426" t="n">
        <v>0.1509</v>
      </c>
      <c r="K2426" t="n">
        <v>0.1724</v>
      </c>
      <c r="L2426" t="inlineStr">
        <is>
          <t>The `WPViewPager2Transformer` class provides a transformation effect for `ViewPager2`, allowing developers to easily migrate from using `ViewPager`. It supports various transform types such as Flow, Depth, Zoom, Slide Over, and includes methods to apply these transformations based on the specified type. The class implements the `PageTransformer` interface required by `ViewPager2` to customize page transitions.</t>
        </is>
      </c>
      <c r="M2426" t="n">
        <v>0.004</v>
      </c>
      <c r="N2426" t="n">
        <v>0.0323</v>
      </c>
      <c r="O2426" t="n">
        <v>0.1587</v>
      </c>
    </row>
    <row r="2427">
      <c r="A2427" t="inlineStr">
        <is>
          <t>wordpress</t>
        </is>
      </c>
      <c r="B2427" t="inlineStr">
        <is>
          <t>WordPress/src/main/java/org/wordpress/android/widgets/WPDialogSnackbar.java</t>
        </is>
      </c>
      <c r="C2427">
        <f>HYPERLINK("https://github.com/wordpress-mobile/WordPress-Android/blob/master/WordPress/src/main/java/org/wordpress/android/widgets/WPDialogSnackbar.java")</f>
        <v/>
      </c>
      <c r="D2427" t="inlineStr">
        <is>
          <t>The provided code defines a custom `Snackbar` implementation that extends the standard Android `Snackbar`. This custom `Snackbar` uses a material design-inspired layout to mimic the dialog-like appearance specified by Google's Material Design guidelines. It includes views for displaying a title, message, positive button, negative button, and neutral button. If any of these views are empty or null, they are hidden. The main requirement</t>
        </is>
      </c>
      <c r="E2427" t="n">
        <v>0.0034</v>
      </c>
      <c r="F2427" t="n">
        <v>0.0541</v>
      </c>
      <c r="G2427" t="n">
        <v>0.1481</v>
      </c>
      <c r="H2427" t="inlineStr">
        <is>
          <t>The provided code implements a custom `Snackbar` widget for Android that mimics the new design pattern specified by Google's Material Design guidelines. It includes features such as a title, message, positive, negative, and neutral buttons, which can be customized to suit different use cases. The widget hides any empty or null views except for the message. This implementation uses annotations like `@SuppressLint`, `@NonNull</t>
        </is>
      </c>
      <c r="I2427" t="n">
        <v>0.0038</v>
      </c>
      <c r="J2427" t="n">
        <v>0.0556</v>
      </c>
      <c r="K2427" t="n">
        <v>0.1481</v>
      </c>
      <c r="L2427" t="inlineStr">
        <is>
          <t>This Android widget extends `Snackbar` to provide a dialog-like experience for displaying messages with buttons, following Material Design guidelines. It includes features like title, message, positive, negative, and neutral buttons, which can be customized through attributes. Empty views are hidden by default, ensuring that all necessary elements are displayed. The widget uses a custom layout inspired by the new design pattern specified in the Material Design specifications</t>
        </is>
      </c>
      <c r="M2427" t="n">
        <v>0.0032</v>
      </c>
      <c r="N2427" t="n">
        <v>0.0526</v>
      </c>
      <c r="O2427" t="n">
        <v>0.1079</v>
      </c>
    </row>
    <row r="2428">
      <c r="A2428" t="inlineStr">
        <is>
          <t>wordpress</t>
        </is>
      </c>
      <c r="B2428" t="inlineStr">
        <is>
          <t>WordPress/src/main/java/org/wordpress/android/widgets/MySiteTitleAndSubtitleLabelView.kt</t>
        </is>
      </c>
      <c r="C2428">
        <f>HYPERLINK("https://github.com/wordpress-mobile/WordPress-Android/blob/master/WordPress/src/main/java/org/wordpress/android/widgets/MySiteTitleAndSubtitleLabelView.kt")</f>
        <v/>
      </c>
      <c r="D2428" t="inlineStr">
        <is>
          <t>The `MySiteTitleAndSubtitleLabelView` class is a custom layout component designed for displaying a site's name and URL within the "My Site" fragment of an Android application. It uses a combination of `ConstraintLayout`, `MaterialTextView`, and `MaterialButton` to achieve this display. The view automatically adjusts its appearance based on the length of the title text, reducing font size and center</t>
        </is>
      </c>
      <c r="E2428" t="n">
        <v>0.0032</v>
      </c>
      <c r="F2428" t="n">
        <v>0.0606</v>
      </c>
      <c r="G2428" t="n">
        <v>0.155</v>
      </c>
      <c r="H2428" t="inlineStr">
        <is>
          <t>This repository contains backend software components implementing core algorithms. Complexity is O(N), indicating linear time complexity. The comments describe the implementation of these algorithms. Commits include the initial codebase creation. The total code size is 1000 lines.</t>
        </is>
      </c>
      <c r="I2428" t="n">
        <v>0.0066</v>
      </c>
      <c r="J2428" t="n">
        <v>0.1739</v>
      </c>
      <c r="K2428" t="n">
        <v>0.1835</v>
      </c>
      <c r="L2428" t="inlineStr">
        <is>
          <t>This class `MySiteTitleAndSubtitleLabelView` extends `ConstraintLayout` and is designed to display a site's name and URL as labels within the "My Site" fragment. It integrates with auto-sizing text views to adjust their sizes based on content length, ensuring that both the title and subtitle remain readable even if they wrap to multiple lines. The layout includes two child views: a `Material</t>
        </is>
      </c>
      <c r="M2428" t="n">
        <v>0.0036</v>
      </c>
      <c r="N2428" t="n">
        <v>0.0571</v>
      </c>
      <c r="O2428" t="n">
        <v>0.07580000000000001</v>
      </c>
    </row>
    <row r="2429">
      <c r="A2429" t="inlineStr">
        <is>
          <t>wordpress</t>
        </is>
      </c>
      <c r="B2429" t="inlineStr">
        <is>
          <t>WordPress/src/main/java/org/wordpress/android/widgets/PostListButton.kt</t>
        </is>
      </c>
      <c r="C2429">
        <f>HYPERLINK("https://github.com/wordpress-mobile/WordPress-Android/blob/master/WordPress/src/main/java/org/wordpress/android/widgets/PostListButton.kt")</f>
        <v/>
      </c>
      <c r="D2429" t="inlineStr">
        <is>
          <t>The `PostListButton` class is a custom Android widget used to display buttons within the footer of post cards in WordPress Android applications. It extends `LinearLayout` and includes two child views: an `ImageView` for displaying icons and a `TextView` for displaying text. The widget can be configured with different types of buttons through its `buttonType` property. The class initializes these views using attributes from</t>
        </is>
      </c>
      <c r="E2429" t="n">
        <v>0.0029</v>
      </c>
      <c r="F2429" t="n">
        <v>0.0282</v>
      </c>
      <c r="G2429" t="n">
        <v>0.0741</v>
      </c>
      <c r="H2429" t="inlineStr">
        <is>
          <t>The repository contains backend software components that implement core algorithms. Complexity is O(N), indicating linear time complexity for certain operations. The README provides information about the project's purpose and structure.</t>
        </is>
      </c>
      <c r="I2429" t="n">
        <v>0.008200000000000001</v>
      </c>
      <c r="J2429" t="n">
        <v>0.2</v>
      </c>
      <c r="K2429" t="n">
        <v>0.3094</v>
      </c>
      <c r="L2429" t="inlineStr">
        <is>
          <t>The `PostListButton` class is a custom view used for displaying buttons at the bottom of post cards in WordPress Android applications. It initializes an image view and text view within a linear layout, allowing customization through attributes such as button type. The class uses various utility methods from the application's utilities package to handle color retrieval and logging.</t>
        </is>
      </c>
      <c r="M2429" t="n">
        <v>0.0031</v>
      </c>
      <c r="N2429" t="n">
        <v>0.0299</v>
      </c>
      <c r="O2429" t="n">
        <v>0.0769</v>
      </c>
    </row>
    <row r="2430">
      <c r="A2430" t="inlineStr">
        <is>
          <t>wordpress</t>
        </is>
      </c>
      <c r="B2430" t="inlineStr">
        <is>
          <t>WordPress/src/main/java/org/wordpress/android/widgets/MaterialTextViewWithNumerals.kt</t>
        </is>
      </c>
      <c r="C2430">
        <f>HYPERLINK("https://github.com/wordpress-mobile/WordPress-Android/blob/master/WordPress/src/main/java/org/wordpress/android/widgets/MaterialTextViewWithNumerals.kt")</f>
        <v/>
      </c>
      <c r="D2430" t="inlineStr">
        <is>
          <t>The `MaterialTextViewWithNumerals` class is a custom implementation of `MaterialTextView` that ensures all text displayed within it uses Western Arabic numerals. It extends the standard `MaterialTextView` by overriding its `setText` method to enforce this requirement using the `enforceWesternArabicNumerals()` extension function from the `org.wordpress.android.util.extensions` package. This ensures consistent numeral usage across</t>
        </is>
      </c>
      <c r="E2430" t="n">
        <v>0.0037</v>
      </c>
      <c r="F2430" t="n">
        <v>0.06560000000000001</v>
      </c>
      <c r="G2430" t="n">
        <v>0.124</v>
      </c>
      <c r="H2430" t="inlineStr">
        <is>
          <t>The provided code is a custom `MaterialTextView` class that extends Google's `MaterialTextView`. It includes a method to enforce Western Arabic numerals on any text set to it. The README indicates this component is part of a larger backend software repository with complexity O(N), comments describing its implementation as "core algorithms," and an initial codebase commit. The total size of the code is 64</t>
        </is>
      </c>
      <c r="I2430" t="n">
        <v>0.0034</v>
      </c>
      <c r="J2430" t="n">
        <v>0.137</v>
      </c>
      <c r="K2430" t="n">
        <v>0.1852</v>
      </c>
      <c r="L2430" t="inlineStr">
        <is>
          <t>This class extends `MaterialTextView` from Google's Material Components library to enforce the use of Western Arabic numerals when setting text. It overrides the `setText` method to call `enforceWesternArabicNumerals()` on the input text before passing it to the superclass implementation. The class is part of the Android widget package for WordPress applications.</t>
        </is>
      </c>
      <c r="M2430" t="n">
        <v>0.0036</v>
      </c>
      <c r="N2430" t="n">
        <v>0.0667</v>
      </c>
      <c r="O2430" t="n">
        <v>0.0813</v>
      </c>
    </row>
    <row r="2431">
      <c r="A2431" t="inlineStr">
        <is>
          <t>wordpress</t>
        </is>
      </c>
      <c r="B2431" t="inlineStr">
        <is>
          <t>WordPress/src/main/java/org/wordpress/android/widgets/WPScrollView.java</t>
        </is>
      </c>
      <c r="C2431">
        <f>HYPERLINK("https://github.com/wordpress-mobile/WordPress-Android/blob/master/WordPress/src/main/java/org/wordpress/android/widgets/WPScrollView.java")</f>
        <v/>
      </c>
      <c r="D2431" t="inlineStr">
        <is>
          <t>The `WPScrollView` class is a custom subclass of `NestedScrollView` that provides additional functionality for tracking scroll direction and completion events. It includes:
- An interface `ScrollDirectionListener` with methods to handle scroll up, scroll down, and scroll completion.
- A listener field `mScrollDirectionListener` to store the implementation of the listener.
- A variable `mInitialScrollCheckY`</t>
        </is>
      </c>
      <c r="E2431" t="n">
        <v>0.0041</v>
      </c>
      <c r="F2431" t="n">
        <v>0.06900000000000001</v>
      </c>
      <c r="G2431" t="n">
        <v>0.12</v>
      </c>
      <c r="H2431" t="inlineStr">
        <is>
          <t>The provided code is part of a backend software component that implements core algorithms. It uses Java with Android annotations for performance optimizations and handles scroll events in a custom `WPScrollView` widget to detect upward and downward scrolls along with completion status. The complexity is O(N), indicating linear time complexity, and it includes comments explaining the implementation details.</t>
        </is>
      </c>
      <c r="I2431" t="n">
        <v>0.007900000000000001</v>
      </c>
      <c r="J2431" t="n">
        <v>0.1194</v>
      </c>
      <c r="K2431" t="n">
        <v>0.2862</v>
      </c>
      <c r="L2431" t="inlineStr">
        <is>
          <t>This Android widget extends `NestedScrollView` to track scroll direction changes and completion events. It provides listeners for detecting upward and downward scrolls as well as when scrolling stops. The implementation uses a delay mechanism (`SCROLL_CHECK_DELAY`) to debounce scroll detection, ensuring that only significant movements trigger event callbacks.</t>
        </is>
      </c>
      <c r="M2431" t="n">
        <v>0.0046</v>
      </c>
      <c r="N2431" t="n">
        <v>0.0702</v>
      </c>
      <c r="O2431" t="n">
        <v>0.1681</v>
      </c>
    </row>
    <row r="2432">
      <c r="A2432" t="inlineStr">
        <is>
          <t>wordpress</t>
        </is>
      </c>
      <c r="B2432" t="inlineStr">
        <is>
          <t>WordPress/src/main/java/org/wordpress/android/widgets/CheckedLinearLayout.java</t>
        </is>
      </c>
      <c r="C2432">
        <f>HYPERLINK("https://github.com/wordpress-mobile/WordPress-Android/blob/master/WordPress/src/main/java/org/wordpress/android/widgets/CheckedLinearLayout.java")</f>
        <v/>
      </c>
      <c r="D2432" t="inlineStr">
        <is>
          <t>The `CheckedLinearLayout` class is a custom Android widget that extends `LinearLayout`. It provides a way to manage a single `CheckedTextView` within its layout hierarchy. The widget checks whether the checkbox is selected or not by delegating this responsibility to the underlying `CheckedTextView`.
Key functionalities include:
- **Initialization**: Accepts a `Context` and `AttributeSet` in its constructor.
- **</t>
        </is>
      </c>
      <c r="E2432" t="n">
        <v>0.0032</v>
      </c>
      <c r="F2432" t="n">
        <v>0.0968</v>
      </c>
      <c r="G2432" t="n">
        <v>0.1163</v>
      </c>
      <c r="H2432" t="inlineStr">
        <is>
          <t>The repository contains backend software components that implement core algorithms with a time complexity of \(O(N)\). The README provides information about the implementation details, including comments explaining the logic and commits detailing the initial creation of the codebase. The total size of the code is 1000 lines.</t>
        </is>
      </c>
      <c r="I2432" t="n">
        <v>0.0051</v>
      </c>
      <c r="J2432" t="n">
        <v>0.1429</v>
      </c>
      <c r="K2432" t="n">
        <v>0.1681</v>
      </c>
      <c r="L2432" t="inlineStr">
        <is>
          <t>This `CheckedLinearLayout` widget is a custom layout that encapsulates a single `CheckedTextView`. It searches through all children views to find the first instance of `CheckedTextView`, which serves as the checkbox within the layout. The widget provides methods to check if the checkbox is selected (`isChecked`) and to set its selection state (`setChecked`).</t>
        </is>
      </c>
      <c r="M2432" t="n">
        <v>0.0042</v>
      </c>
      <c r="N2432" t="n">
        <v>0.0667</v>
      </c>
      <c r="O2432" t="n">
        <v>0.0806</v>
      </c>
    </row>
    <row r="2433">
      <c r="A2433" t="inlineStr">
        <is>
          <t>wordpress</t>
        </is>
      </c>
      <c r="B2433" t="inlineStr">
        <is>
          <t>WordPress/src/main/java/org/wordpress/android/widgets/WPSwipeSnackbar.java</t>
        </is>
      </c>
      <c r="C2433">
        <f>HYPERLINK("https://github.com/wordpress-mobile/WordPress-Android/blob/master/WordPress/src/main/java/org/wordpress/android/widgets/WPSwipeSnackbar.java")</f>
        <v/>
      </c>
      <c r="D2433" t="inlineStr">
        <is>
          <t>The `WPSwipeSnackbar` class is designed to display a snackbar message when a user swipes through a `ViewPager2`. It provides methods for showing the snackbar based on whether the user can swipe left or right, both directions, or neither direction. The class uses Google's Material Design library for creating the snackbar view.</t>
        </is>
      </c>
      <c r="E2433" t="n">
        <v>0</v>
      </c>
      <c r="F2433" t="n">
        <v>0</v>
      </c>
      <c r="G2433" t="n">
        <v>0.0407</v>
      </c>
      <c r="H2433" t="inlineStr">
        <is>
          <t>This repository contains backend software components that implement core algorithms. The complexity is O(N), indicating linear time operations for certain functions. The comments provide details about the implementation of these algorithms. The commits include an initial codebase commit. The total size of the codebase is 1000 lines.</t>
        </is>
      </c>
      <c r="I2433" t="n">
        <v>0.0051</v>
      </c>
      <c r="J2433" t="n">
        <v>0.1786</v>
      </c>
      <c r="K2433" t="n">
        <v>0.1681</v>
      </c>
      <c r="L2433" t="inlineStr">
        <is>
          <t>The `WPSwipeSnackbar` class provides a custom implementation for displaying a snackbar that indicates users can swipe through additional content using a `ViewPager2`. It includes methods to customize the appearance of the snackbar's arrow indicators based on swipe direction (left, right, both, or none). The class is designed to be used within Android applications where swipe gestures are supported by `ViewPager2`, enhancing</t>
        </is>
      </c>
      <c r="M2433" t="n">
        <v>0</v>
      </c>
      <c r="N2433" t="n">
        <v>0.0286</v>
      </c>
      <c r="O2433" t="n">
        <v>0.0752</v>
      </c>
    </row>
    <row r="2434">
      <c r="A2434" t="inlineStr">
        <is>
          <t>wordpress</t>
        </is>
      </c>
      <c r="B2434" t="inlineStr">
        <is>
          <t>WordPress/src/main/java/org/wordpress/android/widgets/WPViewPagerTransformer.java</t>
        </is>
      </c>
      <c r="C2434">
        <f>HYPERLINK("https://github.com/wordpress-mobile/WordPress-Android/blob/master/WordPress/src/main/java/org/wordpress/android/widgets/WPViewPagerTransformer.java")</f>
        <v/>
      </c>
      <c r="D2434" t="inlineStr">
        <is>
          <t>The `WPViewPagerTransformer` class in the `org.wordpress.android.widgets` package provides a custom view pager transformation for Android applications. It supports four different types of transformations: flow, depth, zoom, and slide over. The class uses the `PageTransformer` interface from the Android Support Library to apply these transformations as pages scroll within a `ViewPager`. The implementation includes constants for minimum scale values used in</t>
        </is>
      </c>
      <c r="E2434" t="n">
        <v>0.003</v>
      </c>
      <c r="F2434" t="n">
        <v>0.0282</v>
      </c>
      <c r="G2434" t="n">
        <v>0.1136</v>
      </c>
      <c r="H2434" t="inlineStr">
        <is>
          <t>Manages transformations for a `ViewPager` in Android applications, supporting various types like flow, depth, zoom, and slide over animations.</t>
        </is>
      </c>
      <c r="I2434" t="n">
        <v>0.0102</v>
      </c>
      <c r="J2434" t="n">
        <v>0.0741</v>
      </c>
      <c r="K2434" t="n">
        <v>0.0549</v>
      </c>
      <c r="L2434" t="inlineStr">
        <is>
          <t>This `WPViewPagerTransformer` class provides a custom view pager transformation for Android applications, supporting various types such as "FLOW," "DEPTH," "ZOOM," and "SLIDE_OVER." It modifies the appearance of pages within a ViewPager by applying transformations like scaling and rotation, ensuring smooth transitions between them. The implementation includes optimizations and fixes from existing resources while maintaining clarity and efficiency.</t>
        </is>
      </c>
      <c r="M2434" t="n">
        <v>0.0038</v>
      </c>
      <c r="N2434" t="n">
        <v>0.09089999999999999</v>
      </c>
      <c r="O2434" t="n">
        <v>0.1163</v>
      </c>
    </row>
    <row r="2435">
      <c r="A2435" t="inlineStr">
        <is>
          <t>wordpress</t>
        </is>
      </c>
      <c r="B2435" t="inlineStr">
        <is>
          <t>WordPress/src/main/java/org/wordpress/android/widgets/PostListButtonType.kt</t>
        </is>
      </c>
      <c r="C2435">
        <f>HYPERLINK("https://github.com/wordpress-mobile/WordPress-Android/blob/master/WordPress/src/main/java/org/wordpress/android/widgets/PostListButtonType.kt")</f>
        <v/>
      </c>
      <c r="D2435" t="inlineStr">
        <is>
          <t>The provided code defines an enumeration `PostListButtonType` in the package `org.wordpress.android.widgets`. This enum represents different button types used in a post list interface, each with associated attributes such as text resource ID, icon resource ID, color attribute ID, group ID, and position within that group. The constants represent specific buttons like "Edit," "View," etc., which can be used to customize</t>
        </is>
      </c>
      <c r="E2435" t="n">
        <v>0.0036</v>
      </c>
      <c r="F2435" t="n">
        <v>0.0563</v>
      </c>
      <c r="G2435" t="n">
        <v>0.1136</v>
      </c>
      <c r="H2435" t="inlineStr">
        <is>
          <t>This repository contains backend software components implementing core algorithms with a time complexity of \(O(N)\). The README provides information about the project's purpose, complexity, comments, commits, and size in lines of code.</t>
        </is>
      </c>
      <c r="I2435" t="n">
        <v>0.0083</v>
      </c>
      <c r="J2435" t="n">
        <v>0.2381</v>
      </c>
      <c r="K2435" t="n">
        <v>0.3577</v>
      </c>
      <c r="L2435" t="inlineStr">
        <is>
          <t>The `PostListButton` enum in the `org.wordpress.android.widgets` package defines various button types for displaying posts in a list view. Each type includes attributes such as resource IDs for text, icons, colors, group identifiers, and positions within groups. The enum is used to manage different actions associated with each post item in the list.</t>
        </is>
      </c>
      <c r="M2435" t="n">
        <v>0.0035</v>
      </c>
      <c r="N2435" t="n">
        <v>0.0317</v>
      </c>
      <c r="O2435" t="n">
        <v>0.0806</v>
      </c>
    </row>
    <row r="2436">
      <c r="A2436" t="inlineStr">
        <is>
          <t>wordpress</t>
        </is>
      </c>
      <c r="B2436" t="inlineStr">
        <is>
          <t>WordPress/src/main/java/org/wordpress/android/widgets/SuggestionAutoCompleteText.java</t>
        </is>
      </c>
      <c r="C2436">
        <f>HYPERLINK("https://github.com/wordpress-mobile/WordPress-Android/blob/master/WordPress/src/main/java/org/wordpress/android/widgets/SuggestionAutoCompleteText.java")</f>
        <v/>
      </c>
      <c r="D2436" t="inlineStr">
        <is>
          <t>The `SuggestionAutoCompleteText` class is a custom `AppCompatMultiAutoCompleteTextView` widget designed for use in Android applications that require auto-completion with suggestions based on user input. It integrates persistent editing support using the `PersistentEditTextHelper`, which allows users to edit text persistently across different sessions. The widget supports various keyboard actions such as backspace by delegating them to an `</t>
        </is>
      </c>
      <c r="E2436" t="n">
        <v>0</v>
      </c>
      <c r="F2436" t="n">
        <v>0</v>
      </c>
      <c r="G2436" t="n">
        <v>0.0391</v>
      </c>
      <c r="H2436" t="inlineStr">
        <is>
          <t>This repository contains backend software components implementing core algorithms. The complexity is O(N), indicating linear time complexity in relation to input size N. Comments describe the implementation of these algorithms. The code base was initialized with the first commit.</t>
        </is>
      </c>
      <c r="I2436" t="n">
        <v>0.0062</v>
      </c>
      <c r="J2436" t="n">
        <v>0.1667</v>
      </c>
      <c r="K2436" t="n">
        <v>0.1802</v>
      </c>
      <c r="L2436" t="inlineStr">
        <is>
          <t>This Android widget is a custom `AppCompatMultiAutoCompleteTextView` designed for use within WordPress applications. It integrates persistent editing capabilities using `PersistentEditTextHelper`, supports suggestion tokenization through `SuggestionTokenizer`, and handles back button events via an `OnEditTextBackListener`. The widget uses the prefix character `mPrefix` to manage text input persistence across sessions.</t>
        </is>
      </c>
      <c r="M2436" t="n">
        <v>0.0046</v>
      </c>
      <c r="N2436" t="n">
        <v>0.0727</v>
      </c>
      <c r="O2436" t="n">
        <v>0.1261</v>
      </c>
    </row>
    <row r="2437">
      <c r="A2437" t="inlineStr">
        <is>
          <t>wordpress</t>
        </is>
      </c>
      <c r="B2437" t="inlineStr">
        <is>
          <t>WordPress/src/main/java/org/wordpress/android/widgets/NestedCoordinatorLayout.kt</t>
        </is>
      </c>
      <c r="C2437">
        <f>HYPERLINK("https://github.com/wordpress-mobile/WordPress-Android/blob/master/WordPress/src/main/java/org/wordpress/android/widgets/NestedCoordinatorLayout.kt")</f>
        <v/>
      </c>
      <c r="D2437" t="inlineStr">
        <is>
          <t>The `NestedCoordinatorLayout` class extends `CoordinatorLayout` and implements `NestedScrollingChild3`. It allows for nesting within other `CoordinatorLayouts`, enabling propagation of scroll states between them. The class uses a `NestedScrollingChildHelper` to handle nested scrolling behavior. This implementation is useful for creating complex UI interactions where multiple layouts need to coordinate their scroll events.</t>
        </is>
      </c>
      <c r="E2437" t="n">
        <v>0.0048</v>
      </c>
      <c r="F2437" t="n">
        <v>0.06900000000000001</v>
      </c>
      <c r="G2437" t="n">
        <v>0.1639</v>
      </c>
      <c r="H2437" t="inlineStr">
        <is>
          <t>This repository contains backend software components implementing core algorithms. Complexity is O(N). Comments describe the implementation of these algorithms. The code size is 1000 lines.</t>
        </is>
      </c>
      <c r="I2437" t="n">
        <v>0.01</v>
      </c>
      <c r="J2437" t="n">
        <v>0.2353</v>
      </c>
      <c r="K2437" t="n">
        <v>0.2062</v>
      </c>
      <c r="L2437" t="inlineStr">
        <is>
          <t>The `NestedCoordinatorLayout` class extends `CoordinatorLayout` to enable nested scrolling within other `CoordinatorLayout` instances, allowing for propagation of scroll states between them. It uses `NestedScrollingChildHelper` to manage nested scrolling interactions. The class provides support for handling nested scrolling events and propagating their state up the view hierarchy.</t>
        </is>
      </c>
      <c r="M2437" t="n">
        <v>0.004</v>
      </c>
      <c r="N2437" t="n">
        <v>0.037</v>
      </c>
      <c r="O2437" t="n">
        <v>0.0847</v>
      </c>
    </row>
    <row r="2438">
      <c r="A2438" t="inlineStr">
        <is>
          <t>wordpress</t>
        </is>
      </c>
      <c r="B2438" t="inlineStr">
        <is>
          <t>WordPress/src/main/java/org/wordpress/android/widgets/ColorUnderlineSpan.kt</t>
        </is>
      </c>
      <c r="C2438">
        <f>HYPERLINK("https://github.com/wordpress-mobile/WordPress-Android/blob/master/WordPress/src/main/java/org/wordpress/android/widgets/ColorUnderlineSpan.kt")</f>
        <v/>
      </c>
      <c r="D2438" t="inlineStr">
        <is>
          <t>The `ColorUnderlineSpan` class is a character style implementation for Android's text view that applies a specified color and thickness to underlines on characters within a text block. It uses reflection to work around a known issue with the `LineBackgroundSpan` interface, which can cause underlining to be incorrect in certain scenarios. The class implements both the `CharacterStyle` and `UpdateAppearance` interfaces</t>
        </is>
      </c>
      <c r="E2438" t="n">
        <v>0.0037</v>
      </c>
      <c r="F2438" t="n">
        <v>0.0588</v>
      </c>
      <c r="G2438" t="n">
        <v>0.1145</v>
      </c>
      <c r="H2438" t="inlineStr">
        <is>
          <t>The provided code defines a `ColorUnderlineSpan` class within the `org.wordpress.android.widgets` package. This class extends both `CharacterStyle` and `UpdateAppearance`, allowing it to apply underlines with specified colors to text. The implementation uses reflection to work around a known issue with `LineBackgroundSpan`. If reflection fails, it falls back to using the standard `isUnderlineText`</t>
        </is>
      </c>
      <c r="I2438" t="n">
        <v>0.0043</v>
      </c>
      <c r="J2438" t="n">
        <v>0.0645</v>
      </c>
      <c r="K2438" t="n">
        <v>0.1626</v>
      </c>
      <c r="L2438" t="inlineStr">
        <is>
          <t>The `ColorUnderlineSpan` class is a character style implementation for Android text views that applies a specified color to the underlined text. It uses reflection to work around a known issue with the `LineBackgroundSpan` interface's handling of underlines. The class implements both `CharacterStyle` and `UpdateAppearance`, allowing it to be used as a span within text decorations.</t>
        </is>
      </c>
      <c r="M2438" t="n">
        <v>0.004</v>
      </c>
      <c r="N2438" t="n">
        <v>0.0625</v>
      </c>
      <c r="O2438" t="n">
        <v>0.1181</v>
      </c>
    </row>
    <row r="2439">
      <c r="A2439" t="inlineStr">
        <is>
          <t>wordpress</t>
        </is>
      </c>
      <c r="B2439" t="inlineStr">
        <is>
          <t>WordPress/src/main/java/org/wordpress/android/widgets/AppReviewsManagerWrapper.kt</t>
        </is>
      </c>
      <c r="C2439">
        <f>HYPERLINK("https://github.com/wordpress-mobile/WordPress-Android/blob/master/WordPress/src/main/java/org/wordpress/android/widgets/AppReviewsManagerWrapper.kt")</f>
        <v/>
      </c>
      <c r="D2439" t="inlineStr">
        <is>
          <t>The `AppReviewsManagerWrapper` class is a mockable utility designed to facilitate testing by providing access to methods from the `AppReviewManager`. It includes two main functionalities:
1. **onNotificationReceived**: This method forwards calls to the original `AppReviewManager`'s `onNotificationReceived` function, allowing tests to simulate notification handling without affecting production logic.
2. **incrementInteractions</t>
        </is>
      </c>
      <c r="E2439" t="n">
        <v>0.0045</v>
      </c>
      <c r="F2439" t="n">
        <v>0.1053</v>
      </c>
      <c r="G2439" t="n">
        <v>0.0833</v>
      </c>
      <c r="H2439" t="inlineStr">
        <is>
          <t>Wraps the `AppReviewManager` class to allow for easy mocking during tests.</t>
        </is>
      </c>
      <c r="I2439" t="n">
        <v>0</v>
      </c>
      <c r="J2439" t="n">
        <v>0</v>
      </c>
      <c r="K2439" t="n">
        <v>0</v>
      </c>
      <c r="L2439" t="inlineStr">
        <is>
          <t>This class provides a mockable wrapper around `AppReviewManager` for testing purposes, allowing developers to simulate notifications and interactions without affecting production code. It includes methods to handle notification reception and interaction tracking using dependency injection.</t>
        </is>
      </c>
      <c r="M2439" t="n">
        <v>0.0063</v>
      </c>
      <c r="N2439" t="n">
        <v>0.093</v>
      </c>
      <c r="O2439" t="n">
        <v>0.1402</v>
      </c>
    </row>
    <row r="2440">
      <c r="A2440" t="inlineStr">
        <is>
          <t>wordpress</t>
        </is>
      </c>
      <c r="B2440" t="inlineStr">
        <is>
          <t>WordPress/src/main/java/org/wordpress/android/widgets/DiffView.kt</t>
        </is>
      </c>
      <c r="C2440">
        <f>HYPERLINK("https://github.com/wordpress-mobile/WordPress-Android/blob/master/WordPress/src/main/java/org/wordpress/android/widgets/DiffView.kt")</f>
        <v/>
      </c>
      <c r="D2440" t="inlineStr">
        <is>
          <t>The `DiffView` class is a custom Android widget that displays differences between two versions of text using colored spans for additions (`ADD`) and deletions (`DELETE`). It extends `MaterialTextView`. The widget takes a list of `Diff` objects, which represent changes in text content, and applies appropriate styles to highlight these changes. The `showDiffs` method populates the view with formatted text</t>
        </is>
      </c>
      <c r="E2440" t="n">
        <v>0.0031</v>
      </c>
      <c r="F2440" t="n">
        <v>0.0299</v>
      </c>
      <c r="G2440" t="n">
        <v>0.07630000000000001</v>
      </c>
      <c r="H2440" t="inlineStr">
        <is>
          <t>This repository contains backend software components implementing core algorithms. Complexity is O(N), with comments indicating implementation details. The code size is 1000 lines.</t>
        </is>
      </c>
      <c r="I2440" t="n">
        <v>0.0109</v>
      </c>
      <c r="J2440" t="n">
        <v>0.25</v>
      </c>
      <c r="K2440" t="n">
        <v>0.2105</v>
      </c>
      <c r="L2440" t="inlineStr">
        <is>
          <t>The `DiffView` class is a custom Android widget designed to display differences between two versions of text using colored spans for additions (`ADD`) and deletions (`DELETE`). It takes a list of `Diff` objects as input, which contain details about changes such as operation type and position within the original text. The view applies appropriate background colors and strikethroughs based on these diff operations,</t>
        </is>
      </c>
      <c r="M2440" t="n">
        <v>0.0029</v>
      </c>
      <c r="N2440" t="n">
        <v>0.0282</v>
      </c>
      <c r="O2440" t="n">
        <v>0.0741</v>
      </c>
    </row>
    <row r="2441">
      <c r="A2441" t="inlineStr">
        <is>
          <t>wordpress</t>
        </is>
      </c>
      <c r="B2441" t="inlineStr">
        <is>
          <t>WordPress/src/main/java/org/wordpress/android/widgets/AppReviewManager.kt</t>
        </is>
      </c>
      <c r="C2441">
        <f>HYPERLINK("https://github.com/wordpress-mobile/WordPress-Android/blob/master/WordPress/src/main/java/org/wordpress/android/widgets/AppReviewManager.kt")</f>
        <v/>
      </c>
      <c r="D2441" t="inlineStr">
        <is>
          <t>The `AppReviewManager` class in the `org.wordpress.android.widgets` package is responsible for managing application reviews using Google Play's review system. It tracks user interactions with the app to determine when it should prompt users to rate the app on the Play Store. The manager uses SharedPreferences to store data about launch times, interaction counts, and the date when in-app reviews were last shown. When the number</t>
        </is>
      </c>
      <c r="E2441" t="n">
        <v>0.0028</v>
      </c>
      <c r="F2441" t="n">
        <v>0.026</v>
      </c>
      <c r="G2441" t="n">
        <v>0.0735</v>
      </c>
      <c r="H2441" t="inlineStr">
        <is>
          <t>Manages in-app reviews for WordPress Android application by tracking launch times, interactions, and showing reviews at appropriate intervals based on user activity metrics such as published posts and notifications.</t>
        </is>
      </c>
      <c r="I2441" t="n">
        <v>0.0065</v>
      </c>
      <c r="J2441" t="n">
        <v>0.0526</v>
      </c>
      <c r="K2441" t="n">
        <v>0.0495</v>
      </c>
      <c r="L2441" t="inlineStr">
        <is>
          <t>The `AppReviewManager` object is responsible for managing user reviews within the WordPress Android application. It tracks launch times and interactions to determine when to show in-app review prompts based on predefined targets (e.g., two posts published or ten notifications). The class uses shared preferences to store state related to review requests and manages the display of these prompts using Google Play Core's Review Manager.</t>
        </is>
      </c>
      <c r="M2441" t="n">
        <v>0.0028</v>
      </c>
      <c r="N2441" t="n">
        <v>0.0267</v>
      </c>
      <c r="O2441" t="n">
        <v>0.0735</v>
      </c>
    </row>
    <row r="2442">
      <c r="A2442" t="inlineStr">
        <is>
          <t>wordpress</t>
        </is>
      </c>
      <c r="B2442" t="inlineStr">
        <is>
          <t>WordPress/src/main/java/org/wordpress/android/widgets/HeaderGridView.java</t>
        </is>
      </c>
      <c r="C2442">
        <f>HYPERLINK("https://github.com/wordpress-mobile/WordPress-Android/blob/master/WordPress/src/main/java/org/wordpress/android/widgets/HeaderGridView.java")</f>
        <v/>
      </c>
      <c r="D2442" t="inlineStr">
        <is>
          <t>The provided code appears to be part of a library that implements a custom `ListView` widget for Android applications. It extends `FrameLayout`, which allows it to be used as a container for other views within a layout. This class provides additional features such as filtering capabilities through a `Filterable` interface implementation. The code includes methods for setting up data observers, handling view inflation, and managing child views</t>
        </is>
      </c>
      <c r="E2442" t="n">
        <v>0.0036</v>
      </c>
      <c r="F2442" t="n">
        <v>0.08</v>
      </c>
      <c r="G2442" t="n">
        <v>0.1439</v>
      </c>
      <c r="H2442" t="inlineStr">
        <is>
          <t>This repository contains backend software components implementing core algorithms. Complexity is O(N), indicating linear time complexity. Comments describe the implementation of these algorithms. Initial codebase commit was made. Code size is 1000 lines.</t>
        </is>
      </c>
      <c r="I2442" t="n">
        <v>0.0074</v>
      </c>
      <c r="J2442" t="n">
        <v>0.1905</v>
      </c>
      <c r="K2442" t="n">
        <v>0.1905</v>
      </c>
      <c r="L2442" t="inlineStr">
        <is>
          <t>This Java class extends `FrameLayout` and implements `Filterable`. It serves as a container for displaying a list of items using an adapter. The widget supports filtering based on user input through a text filter mechanism. It maintains a dataset observable to notify observers when data changes occur. The class provides methods for setting up views, handling item clicks, and managing filters.</t>
        </is>
      </c>
      <c r="M2442" t="n">
        <v>0.0039</v>
      </c>
      <c r="N2442" t="n">
        <v>0.08699999999999999</v>
      </c>
      <c r="O2442" t="n">
        <v>0.1504</v>
      </c>
    </row>
    <row r="2443">
      <c r="A2443" t="inlineStr">
        <is>
          <t>wordpress</t>
        </is>
      </c>
      <c r="B2443" t="inlineStr">
        <is>
          <t>WordPress/src/main/java/org/wordpress/android/widgets/NestedWebView.kt</t>
        </is>
      </c>
      <c r="C2443">
        <f>HYPERLINK("https://github.com/wordpress-mobile/WordPress-Android/blob/master/WordPress/src/main/java/org/wordpress/android/widgets/NestedWebView.kt")</f>
        <v/>
      </c>
      <c r="D2443" t="inlineStr">
        <is>
          <t>The `NestedWebView` class is a custom implementation that extends `WPWebView`. It integrates seamlessly with a `CoordinatorLayout`, which requires wrapping it within a `NestedScrollView` to handle complex scrolling behaviors effectively. The class uses `NestedScrollingChild3` to manage nested scrolling interactions, addressing common issues encountered when using WebViews within such layouts. This approach ensures smoother scrolling experiences for users interacting with</t>
        </is>
      </c>
      <c r="E2443" t="n">
        <v>0.0031</v>
      </c>
      <c r="F2443" t="n">
        <v>0.0303</v>
      </c>
      <c r="G2443" t="n">
        <v>0.1154</v>
      </c>
      <c r="H2443" t="inlineStr">
        <is>
          <t>The `NestedWebView` class is designed to integrate a `WPWebView` within a `NestedScrollView`, addressing issues that arise from using a `WebView` directly within a `CoordinatorLayout`. It provides nested scroll capabilities for better integration with other views like an `AppBar`. The implementation includes modifications based on a Stack Overflow solution and uses `NestedScrollingChild3` for enhanced nesting support.</t>
        </is>
      </c>
      <c r="I2443" t="n">
        <v>0.0033</v>
      </c>
      <c r="J2443" t="n">
        <v>0.0635</v>
      </c>
      <c r="K2443" t="n">
        <v>0.1181</v>
      </c>
      <c r="L2443" t="inlineStr">
        <is>
          <t>NestedWebView is a custom `WPWebView` class that extends `androidx.core.widget.NestedScrollingChild3`. It provides nested scrolling capabilities for use within a `CoordinatorLayout`, addressing common issues encountered when integrating WebViews with such layouts. The class implements nested scroll properties to ensure smooth scrolling experience, making it suitable for complex UI designs involving both web content and other views.</t>
        </is>
      </c>
      <c r="M2443" t="n">
        <v>0.004</v>
      </c>
      <c r="N2443" t="n">
        <v>0.0615</v>
      </c>
      <c r="O2443" t="n">
        <v>0.119</v>
      </c>
    </row>
    <row r="2444">
      <c r="A2444" t="inlineStr">
        <is>
          <t>wordpress</t>
        </is>
      </c>
      <c r="B2444" t="inlineStr">
        <is>
          <t>WordPress/src/main/java/org/wordpress/android/widgets/WPNestedScrollView.java</t>
        </is>
      </c>
      <c r="C2444">
        <f>HYPERLINK("https://github.com/wordpress-mobile/WordPress-Android/blob/master/WordPress/src/main/java/org/wordpress/android/widgets/WPNestedScrollView.java")</f>
        <v/>
      </c>
      <c r="D2444" t="inlineStr">
        <is>
          <t>The provided code is a custom implementation of `NestedScrollView` that addresses a known issue in Android's support library where scrolling does not work properly when using the accessibility switch control (ASCO). The key modifications involve overriding the `performAccessibilityAction()` method within an `AccessibilityDelegate`. This ensures that the ScrollView can be scrolled correctly when accessed via ASCO, thus improving user experience for users relying on this</t>
        </is>
      </c>
      <c r="E2444" t="n">
        <v>0.0028</v>
      </c>
      <c r="F2444" t="n">
        <v>0.0274</v>
      </c>
      <c r="G2444" t="n">
        <v>0.1103</v>
      </c>
      <c r="H2444" t="inlineStr">
        <is>
          <t>The code provides a backend implementation for core algorithms. Complexity is O(N), indicating linear time complexity based on input size N. Comments explain the implementation details and potential issues. The README describes this as part of a larger repository containing backend software components.</t>
        </is>
      </c>
      <c r="I2444" t="n">
        <v>0.0056</v>
      </c>
      <c r="J2444" t="n">
        <v>0.1154</v>
      </c>
      <c r="K2444" t="n">
        <v>0.2609</v>
      </c>
      <c r="L2444" t="inlineStr">
        <is>
          <t>This class extends `NestedScrollView` to fix an accessibility issue where scrolling through content using the Android Switch Control causes the view to become unresponsive when trying to navigate back up. The modified `AccessibilityDelegateCompat.performAccessibilityAction()` method ensures that the ScrollView can be scrolled properly in both forward and backward directions when accessed via the Switch Control.</t>
        </is>
      </c>
      <c r="M2444" t="n">
        <v>0.004</v>
      </c>
      <c r="N2444" t="n">
        <v>0.0635</v>
      </c>
      <c r="O2444" t="n">
        <v>0.119</v>
      </c>
    </row>
    <row r="2445">
      <c r="A2445" t="inlineStr">
        <is>
          <t>wordpress</t>
        </is>
      </c>
      <c r="B2445" t="inlineStr">
        <is>
          <t>WordPress/src/main/java/org/wordpress/android/widgets/WPPrefView.java</t>
        </is>
      </c>
      <c r="C2445">
        <f>HYPERLINK("https://github.com/wordpress-mobile/WordPress-Android/blob/master/WordPress/src/main/java/org/wordpress/android/widgets/WPPrefView.java")</f>
        <v/>
      </c>
      <c r="D2445" t="inlineStr">
        <is>
          <t>The provided code defines a custom Android widget that allows users to select multiple items from a list using checkboxes. It extends `DialogFragment` and provides methods for setting up the dialog with a list of options and handling user interactions. The class includes fields for storing selected item indices, titles, descriptions, and other preferences. It also handles layout inflation and creation of views within the dialog.</t>
        </is>
      </c>
      <c r="E2445" t="n">
        <v>0.0028</v>
      </c>
      <c r="F2445" t="n">
        <v>0.027</v>
      </c>
      <c r="G2445" t="n">
        <v>0.0725</v>
      </c>
      <c r="H2445" t="inlineStr">
        <is>
          <t>Manages preferences for Android applications using Material Design components.</t>
        </is>
      </c>
      <c r="I2445" t="n">
        <v>0</v>
      </c>
      <c r="J2445" t="n">
        <v>0</v>
      </c>
      <c r="K2445" t="n">
        <v>0.0617</v>
      </c>
      <c r="L2445" t="inlineStr">
        <is>
          <t>This class is a custom Android widget that provides a dialog for selecting multiple items from a list. It uses a `SwitchCompat` for each item, allowing users to toggle their selection. The widget can be configured via XML attributes such as `items`, `checkedItems`, and `title`. When displayed, it presents a dialog with checkboxes next to each item, enabling users to select one or more options</t>
        </is>
      </c>
      <c r="M2445" t="n">
        <v>0.0033</v>
      </c>
      <c r="N2445" t="n">
        <v>0.0548</v>
      </c>
      <c r="O2445" t="n">
        <v>0.1095</v>
      </c>
    </row>
    <row r="2446">
      <c r="A2446" t="inlineStr">
        <is>
          <t>wordpress</t>
        </is>
      </c>
      <c r="B2446" t="inlineStr">
        <is>
          <t>WordPress/src/main/java/org/wordpress/android/widgets/WPViewPager.java</t>
        </is>
      </c>
      <c r="C2446">
        <f>HYPERLINK("https://github.com/wordpress-mobile/WordPress-Android/blob/master/WordPress/src/main/java/org/wordpress/android/widgets/WPViewPager.java")</f>
        <v/>
      </c>
      <c r="D2446" t="inlineStr">
        <is>
          <t>The `WPViewPager` class is a custom implementation of `ViewPager` that addresses known bugs related to pointer indexing issues in Android's compatibility library. It includes methods for enabling or disabling paging and overrides the `onInterceptTouchEvent` method to handle touch events appropriately. The class uses AppLog for logging purposes.</t>
        </is>
      </c>
      <c r="E2446" t="n">
        <v>0.0039</v>
      </c>
      <c r="F2446" t="n">
        <v>0.07140000000000001</v>
      </c>
      <c r="G2446" t="n">
        <v>0.1261</v>
      </c>
      <c r="H2446" t="inlineStr">
        <is>
          <t>This repository contains backend software components that implement core algorithms. The complexity is O(N), indicating linear time complexity for certain operations. The code size is 1000 lines, suggesting it includes multiple modules or classes with various functionalities.</t>
        </is>
      </c>
      <c r="I2446" t="n">
        <v>0.0066</v>
      </c>
      <c r="J2446" t="n">
        <v>0.2174</v>
      </c>
      <c r="K2446" t="n">
        <v>0.3413</v>
      </c>
      <c r="L2446" t="inlineStr">
        <is>
          <t>The `WPViewPager` is a custom implementation of `ViewPager` designed to address known issues with pointer indexing in Android's compatibility library. It includes methods for enabling or disabling paging and overrides the `onInterceptTouchEvent` method to ensure smooth scrolling without encountering exceptions related to invalid pointer indices. The class is part of the WordPress Android application's widget package and is used to provide a consistent user experience across</t>
        </is>
      </c>
      <c r="M2446" t="n">
        <v>0.0028</v>
      </c>
      <c r="N2446" t="n">
        <v>0.0526</v>
      </c>
      <c r="O2446" t="n">
        <v>0.1087</v>
      </c>
    </row>
    <row r="2447">
      <c r="A2447" t="inlineStr">
        <is>
          <t>wordpress</t>
        </is>
      </c>
      <c r="B2447" t="inlineStr">
        <is>
          <t>WordPress/src/main/java/org/wordpress/android/widgets/WPTextView.java</t>
        </is>
      </c>
      <c r="C2447">
        <f>HYPERLINK("https://github.com/wordpress-mobile/WordPress-Android/blob/master/WordPress/src/main/java/org/wordpress/android/widgets/WPTextView.java")</f>
        <v/>
      </c>
      <c r="D2447" t="inlineStr">
        <is>
          <t>The provided code defines a custom `WPTextView` class that extends `MaterialTextView`. It includes a method to enable or disable automatic widows word fixing using the `mFixWidowWordEnabled` flag. The constructor initializes the view, reads custom attributes from XML, and sets up the widow word fix behavior based on those attributes.</t>
        </is>
      </c>
      <c r="E2447" t="n">
        <v>0.0037</v>
      </c>
      <c r="F2447" t="n">
        <v>0.0351</v>
      </c>
      <c r="G2447" t="n">
        <v>0.08260000000000001</v>
      </c>
      <c r="H2447" t="inlineStr">
        <is>
          <t>Manages backend software components implementing core algorithms. Complexity is O(N).</t>
        </is>
      </c>
      <c r="I2447" t="n">
        <v>0.0251</v>
      </c>
      <c r="J2447" t="n">
        <v>0.3158</v>
      </c>
      <c r="K2447" t="n">
        <v>0.3117</v>
      </c>
      <c r="L2447" t="inlineStr">
        <is>
          <t>This custom `WPTextView` widget extends `MaterialTextView` and provides an option to automatically fix widow words by wrapping long lines at word boundaries when necessary. It reads customization attributes from XML resources during initialization.</t>
        </is>
      </c>
      <c r="M2447" t="n">
        <v>0.0067</v>
      </c>
      <c r="N2447" t="n">
        <v>0.09760000000000001</v>
      </c>
      <c r="O2447" t="n">
        <v>0.09520000000000001</v>
      </c>
    </row>
    <row r="2448">
      <c r="A2448" t="inlineStr">
        <is>
          <t>wordpress</t>
        </is>
      </c>
      <c r="B2448" t="inlineStr">
        <is>
          <t>WordPress/src/main/java/org/wordpress/android/networking/OAuthAuthenticator.java</t>
        </is>
      </c>
      <c r="C2448">
        <f>HYPERLINK("https://github.com/wordpress-mobile/WordPress-Android/blob/master/WordPress/src/main/java/org/wordpress/android/networking/OAuthAuthenticator.java")</f>
        <v/>
      </c>
      <c r="D2448" t="inlineStr">
        <is>
          <t>The `OAuthAuthenticator` class is an implementation of the `Authenticator` interface that uses a `AccessToken` to authenticate requests made by the `AuthenticatorRequest`. It sends authenticated requests using the `sendWithAccessToken` method from the `AuthenticatorRequest` object. This class is intended as a temporary solution until a more comprehensive REST client (FluxC) is implemented. The complexity of</t>
        </is>
      </c>
      <c r="E2448" t="n">
        <v>0.0035</v>
      </c>
      <c r="F2448" t="n">
        <v>0.06560000000000001</v>
      </c>
      <c r="G2448" t="n">
        <v>0.12</v>
      </c>
      <c r="H2448" t="inlineStr">
        <is>
          <t>Manages authentication for REST requests using OAuth tokens.</t>
        </is>
      </c>
      <c r="I2448" t="n">
        <v>0</v>
      </c>
      <c r="J2448" t="n">
        <v>0</v>
      </c>
      <c r="K2448" t="n">
        <v>0.0625</v>
      </c>
      <c r="L2448" t="inlineStr">
        <is>
          <t>This class `OAuthAuthenticator` is part of the WordPress Android networking package. It implements the `Authenticator` interface to handle authentication requests using an access token obtained from the `FluxC` library. The constructor takes an `AccessToken`, which is used by the `authenticate` method to send authenticated requests via the `sendWithAccessToken` method of the `request` object.</t>
        </is>
      </c>
      <c r="M2448" t="n">
        <v>0.0041</v>
      </c>
      <c r="N2448" t="n">
        <v>0.06560000000000001</v>
      </c>
      <c r="O2448" t="n">
        <v>0.12</v>
      </c>
    </row>
    <row r="2449">
      <c r="A2449" t="inlineStr">
        <is>
          <t>wordpress</t>
        </is>
      </c>
      <c r="B2449" t="inlineStr">
        <is>
          <t>WordPress/src/main/java/org/wordpress/android/networking/GlideRequestFactory.kt</t>
        </is>
      </c>
      <c r="C2449">
        <f>HYPERLINK("https://github.com/wordpress-mobile/WordPress-Android/blob/master/WordPress/src/main/java/org/wordpress/android/networking/GlideRequestFactory.kt")</f>
        <v/>
      </c>
      <c r="D2449" t="inlineStr">
        <is>
          <t>The `GlideRequestFactory` class is a singleton that extends `VolleyRequestFactory`. It injects an instance of `AuthenticationUtils` to add authorization headers to all Glide requests. The factory ensures that requests to WordPress.com endpoints use HTTPS by modifying the URL if necessary. It also includes a timeout setting of 15 seconds for loading complex images from the server side. This class is part</t>
        </is>
      </c>
      <c r="E2449" t="n">
        <v>0.003</v>
      </c>
      <c r="F2449" t="n">
        <v>0.029</v>
      </c>
      <c r="G2449" t="n">
        <v>0.07580000000000001</v>
      </c>
      <c r="H2449" t="inlineStr">
        <is>
          <t>This repository contains backend software components that implement core algorithms. The complexity is high due to the size of the codebase, with a total size of 1000 lines.</t>
        </is>
      </c>
      <c r="I2449" t="n">
        <v>0.008800000000000001</v>
      </c>
      <c r="J2449" t="n">
        <v>0.2222</v>
      </c>
      <c r="K2449" t="n">
        <v>0.3156</v>
      </c>
      <c r="L2449" t="inlineStr">
        <is>
          <t>This class is a singleton that extends `VolleyRequestFactory` to add authorization headers to all Glide image requests and ensure they use HTTPS when accessing WordPress.com endpoints. It sets a custom timeout of 15 seconds for these requests. The factory uses the `AuthenticationUtils` to retrieve necessary credentials and modifies URLs to enforce secure connections using `WPUrlUtils`.</t>
        </is>
      </c>
      <c r="M2449" t="n">
        <v>0.004</v>
      </c>
      <c r="N2449" t="n">
        <v>0.0625</v>
      </c>
      <c r="O2449" t="n">
        <v>0.1181</v>
      </c>
    </row>
    <row r="2450">
      <c r="A2450" t="inlineStr">
        <is>
          <t>wordpress</t>
        </is>
      </c>
      <c r="B2450" t="inlineStr">
        <is>
          <t>WordPress/src/main/java/org/wordpress/android/networking/SSLCertsViewActivity.java</t>
        </is>
      </c>
      <c r="C2450">
        <f>HYPERLINK("https://github.com/wordpress-mobile/WordPress-Android/blob/master/WordPress/src/main/java/org/wordpress/android/networking/SSLCertsViewActivity.java")</f>
        <v/>
      </c>
      <c r="D2450" t="inlineStr">
        <is>
          <t>The `SSLCertsViewActivity` is a subclass of `WebViewActivity` designed to display detailed information about SSL certificates. It sets up the activity with a title based on the resource string `R.string.ssl_certificate_details`. The action bar's home button is disabled. The `loadContent` method retrieves SSL certificate details from the intent extras using the key `CERT_DETAILS_KEYS`, which should contain the</t>
        </is>
      </c>
      <c r="E2450" t="n">
        <v>0</v>
      </c>
      <c r="F2450" t="n">
        <v>0</v>
      </c>
      <c r="G2450" t="n">
        <v>0.0394</v>
      </c>
      <c r="H2450" t="inlineStr">
        <is>
          <t>Manages SSL certificate details in a web view activity.</t>
        </is>
      </c>
      <c r="I2450" t="n">
        <v>0</v>
      </c>
      <c r="J2450" t="n">
        <v>0</v>
      </c>
      <c r="K2450" t="n">
        <v>0</v>
      </c>
      <c r="L2450" t="inlineStr">
        <is>
          <t>This activity displays detailed information about SSL certificates using a `WebView`. It sets up the action bar without home button visibility and loads certificate data from an intent extra when the activity is created.</t>
        </is>
      </c>
      <c r="M2450" t="n">
        <v>0.0065</v>
      </c>
      <c r="N2450" t="n">
        <v>0.09520000000000001</v>
      </c>
      <c r="O2450" t="n">
        <v>0.1415</v>
      </c>
    </row>
    <row r="2451">
      <c r="A2451" t="inlineStr">
        <is>
          <t>wordpress</t>
        </is>
      </c>
      <c r="B2451" t="inlineStr">
        <is>
          <t>WordPress/src/main/java/org/wordpress/android/networking/GlideMShotsLoader.kt</t>
        </is>
      </c>
      <c r="C2451">
        <f>HYPERLINK("https://github.com/wordpress-mobile/WordPress-Android/blob/master/WordPress/src/main/java/org/wordpress/android/networking/GlideMShotsLoader.kt")</f>
        <v/>
      </c>
      <c r="D2451" t="inlineStr">
        <is>
          <t>The provided code defines a custom `ModelLoader` for loading images from URLs using Glide in Android. It includes:
- A class `MShot` to wrap image URLs.
- A custom `ModelLoader` implementation called `GlideMShotsLoader`.
- The loader uses Volley as its network library with retry logic up to 10 attempts.
- It integrates with Glide's model loaders by</t>
        </is>
      </c>
      <c r="E2451" t="n">
        <v>0</v>
      </c>
      <c r="F2451" t="n">
        <v>0.0645</v>
      </c>
      <c r="G2451" t="n">
        <v>0.0775</v>
      </c>
      <c r="H2451" t="inlineStr">
        <is>
          <t>This repository contains backend software components implementing core algorithms with a complexity of \(O(N)\). The README provides details about the project's structure and includes comments explaining the implementation.</t>
        </is>
      </c>
      <c r="I2451" t="n">
        <v>0.0095</v>
      </c>
      <c r="J2451" t="n">
        <v>0.2632</v>
      </c>
      <c r="K2451" t="n">
        <v>0.372</v>
      </c>
      <c r="L2451" t="inlineStr">
        <is>
          <t>This code defines a custom `ModelLoader` for loading images from URLs using Glide, which is integrated with Volley for network requests. It includes retry policies and stream fetching capabilities, allowing for efficient image loading even when network conditions change. The class also wraps string URLs into a `MShot` object to customize request handling.</t>
        </is>
      </c>
      <c r="M2451" t="n">
        <v>0.0041</v>
      </c>
      <c r="N2451" t="n">
        <v>0.06560000000000001</v>
      </c>
      <c r="O2451" t="n">
        <v>0.12</v>
      </c>
    </row>
    <row r="2452">
      <c r="A2452" t="inlineStr">
        <is>
          <t>wordpress</t>
        </is>
      </c>
      <c r="B2452" t="inlineStr">
        <is>
          <t>WordPress/src/main/java/org/wordpress/android/networking/ConnectionChangeReceiver.java</t>
        </is>
      </c>
      <c r="C2452">
        <f>HYPERLINK("https://github.com/wordpress-mobile/WordPress-Android/blob/master/WordPress/src/main/java/org/wordpress/android/networking/ConnectionChangeReceiver.java")</f>
        <v/>
      </c>
      <c r="D2452" t="inlineStr">
        <is>
          <t>The `ConnectionChangeReceiver` is a broadcast receiver designed to listen for changes in the device's network connectivity status. It monitors the `CONNECTIVITY_CHANGE` event from Android's system broadcasts. When a network connection state change occurs, it sends a `ConnectionChangeEvent` through EventBus to notify other parts of the application about the new state (connected or disconnected). The receiver maintains flags (`mIsFirstReceive</t>
        </is>
      </c>
      <c r="E2452" t="n">
        <v>0</v>
      </c>
      <c r="F2452" t="n">
        <v>0</v>
      </c>
      <c r="G2452" t="n">
        <v>0.0385</v>
      </c>
      <c r="H2452" t="inlineStr">
        <is>
          <t>Manages network connectivity changes by broadcasting events when the device's internet connection status changes. Uses EventBus for event handling and logs connection state transitions using AppLog.</t>
        </is>
      </c>
      <c r="I2452" t="n">
        <v>0.0073</v>
      </c>
      <c r="J2452" t="n">
        <v>0.0571</v>
      </c>
      <c r="K2452" t="n">
        <v>0.102</v>
      </c>
      <c r="L2452" t="inlineStr">
        <is>
          <t>The `ConnectionChangeReceiver` is an Android broadcast receiver designed to listen for changes in the device's network connectivity status. It monitors the `CONNECTIVITY_CHANGE` event from the system and uses EventBus to publish events indicating whether the device has connected or disconnected from the internet. The receiver maintains state variables to track the initial receive and previous connection status, ensuring that only relevant events are published.</t>
        </is>
      </c>
      <c r="M2452" t="n">
        <v>0.0028</v>
      </c>
      <c r="N2452" t="n">
        <v>0.027</v>
      </c>
      <c r="O2452" t="n">
        <v>0.0735</v>
      </c>
    </row>
    <row r="2453">
      <c r="A2453" t="inlineStr">
        <is>
          <t>wordpress</t>
        </is>
      </c>
      <c r="B2453" t="inlineStr">
        <is>
          <t>WordPress/src/main/java/org/wordpress/android/networking/restapi/WpComApiClientProvider.kt</t>
        </is>
      </c>
      <c r="C2453">
        <f>HYPERLINK("https://github.com/wordpress-mobile/WordPress-Android/blob/master/WordPress/src/main/java/org/wordpress/android/networking/restapi/WpComApiClientProvider.kt")</f>
        <v/>
      </c>
      <c r="D2453" t="inlineStr">
        <is>
          <t>The `WpComApiClientProvider` class is responsible for providing an instance of `WpComApiClient`, which is used to interact with WordPress.com's REST API using Kotlin. It configures an `OkHttpClient` with read/write timeouts set to 60 seconds each and connect timeout set to 30 seconds. The provider uses the `networkAvailabilityProvider` to determine if the device has</t>
        </is>
      </c>
      <c r="E2453" t="n">
        <v>0.0035</v>
      </c>
      <c r="F2453" t="n">
        <v>0.0317</v>
      </c>
      <c r="G2453" t="n">
        <v>0.0806</v>
      </c>
      <c r="H2453" t="inlineStr">
        <is>
          <t>This repository contains backend software components implementing core algorithms with a complexity of O(N). The README provides information about the project's purpose and structure.</t>
        </is>
      </c>
      <c r="I2453" t="n">
        <v>0.0112</v>
      </c>
      <c r="J2453" t="n">
        <v>0.2941</v>
      </c>
      <c r="K2453" t="n">
        <v>0.3875</v>
      </c>
      <c r="L2453" t="inlineStr">
        <is>
          <t>The `WpComApiClientProvider` class is responsible for creating instances of `WpComApiClient`, which is used to interact with WordPress.com's REST API. It configures an `OkHttpClient` with specified read/write and connect timeouts before returning a new instance of `WpComApiClient`. The provider uses the `networkAvailabilityProvider` to determine if the device has internet connectivity before making requests</t>
        </is>
      </c>
      <c r="M2453" t="n">
        <v>0.0035</v>
      </c>
      <c r="N2453" t="n">
        <v>0.0317</v>
      </c>
      <c r="O2453" t="n">
        <v>0.0806</v>
      </c>
    </row>
    <row r="2454">
      <c r="A2454" t="inlineStr">
        <is>
          <t>wordpress</t>
        </is>
      </c>
      <c r="B2454" t="inlineStr">
        <is>
          <t>WordPress/src/main/java/org/wordpress/android/usecase/FlowFSMUseCase.kt</t>
        </is>
      </c>
      <c r="C2454">
        <f>HYPERLINK("https://github.com/wordpress-mobile/WordPress-Android/blob/master/WordPress/src/main/java/org/wordpress/android/usecase/FlowFSMUseCase.kt")</f>
        <v/>
      </c>
      <c r="D2454" t="inlineStr">
        <is>
          <t>The `FlowFSMUseCase` class is an open abstract class designed to handle stateful operations using a Finite State Machine (FSM). It provides methods for subscribing to flow updates and managing actions that transition between states. The class uses Kotlin Coroutines to create a shared flow (`_flowChannel`) for emitting results or errors during use case execution. The `subscribe()` method returns this shared flow</t>
        </is>
      </c>
      <c r="E2454" t="n">
        <v>0.003</v>
      </c>
      <c r="F2454" t="n">
        <v>0.029</v>
      </c>
      <c r="G2454" t="n">
        <v>0.1128</v>
      </c>
      <c r="H2454" t="inlineStr">
        <is>
          <t>Manages state transitions for use cases in a flow-based architecture using Kotlin coroutines. Subscribes to changes and processes actions to update the internal state.</t>
        </is>
      </c>
      <c r="I2454" t="n">
        <v>0.007900000000000001</v>
      </c>
      <c r="J2454" t="n">
        <v>0.0606</v>
      </c>
      <c r="K2454" t="n">
        <v>0.1042</v>
      </c>
      <c r="L2454" t="inlineStr">
        <is>
          <t>This `FlowFSMUseCase` is a generic use case that manages state transitions using a finite-state machine (FSM). It takes an initial state, a resource provider, and handles actions by updating the internal state and emitting results through a shared flow. The function `manageAction` processes user-defined actions, while `subscribe` allows observers to receive updates about the current state and any resulting data</t>
        </is>
      </c>
      <c r="M2454" t="n">
        <v>0.0036</v>
      </c>
      <c r="N2454" t="n">
        <v>0.0857</v>
      </c>
      <c r="O2454" t="n">
        <v>0.1136</v>
      </c>
    </row>
    <row r="2455">
      <c r="A2455" t="inlineStr">
        <is>
          <t>wordpress</t>
        </is>
      </c>
      <c r="B2455" t="inlineStr">
        <is>
          <t>WordPress/src/main/java/org/wordpress/android/usecase/UseCaseResult.kt</t>
        </is>
      </c>
      <c r="C2455">
        <f>HYPERLINK("https://github.com/wordpress-mobile/WordPress-Android/blob/master/WordPress/src/main/java/org/wordpress/android/usecase/UseCaseResult.kt")</f>
        <v/>
      </c>
      <c r="D2455" t="inlineStr">
        <is>
          <t>The provided code defines a sealed class `UseCaseResult` in the package `org.wordpress.android.usecase`. This class is used to encapsulate the result of asynchronous operations within Android applications. It has three subclasses:
1. **Success**: Represents successful completion of a use case with associated data.
2. **Failure**: Indicates that a use case failed with an error message and optional cached data.
3</t>
        </is>
      </c>
      <c r="E2455" t="n">
        <v>0.0037</v>
      </c>
      <c r="F2455" t="n">
        <v>0.0571</v>
      </c>
      <c r="G2455" t="n">
        <v>0.1145</v>
      </c>
      <c r="H2455" t="inlineStr">
        <is>
          <t>The code defines a sealed class `UseCaseResult` in Kotlin that represents different states of a use case result, including success with data, failure with both an error and cached data, and loading state. The README describes this as part of a backend software component, mentioning implementation of core algorithms. Complexity is noted as O(N), but this seems to be incorrect for a sealed class without additional context.</t>
        </is>
      </c>
      <c r="I2455" t="n">
        <v>0.0036</v>
      </c>
      <c r="J2455" t="n">
        <v>0.1053</v>
      </c>
      <c r="K2455" t="n">
        <v>0.2158</v>
      </c>
      <c r="L2455" t="inlineStr">
        <is>
          <t>This sealed class `UseCaseResult` is used to encapsulate the result of asynchronous use cases in Android applications. It supports three types of results: success (with data), failure (with both an error and optional cached data), and loading (indicating ongoing processing). The class provides a structured way to handle different outcomes of use case executions, facilitating better integration into application architecture patterns like MVVM.</t>
        </is>
      </c>
      <c r="M2455" t="n">
        <v>0.0034</v>
      </c>
      <c r="N2455" t="n">
        <v>0.0563</v>
      </c>
      <c r="O2455" t="n">
        <v>0.1111</v>
      </c>
    </row>
    <row r="2456">
      <c r="A2456" t="inlineStr">
        <is>
          <t>wordpress</t>
        </is>
      </c>
      <c r="B2456" t="inlineStr">
        <is>
          <t>WordPress/src/main/java/org/wordpress/android/usecase/social/GetJetpackSocialShareMessageUseCase.kt</t>
        </is>
      </c>
      <c r="C2456">
        <f>HYPERLINK("https://github.com/wordpress-mobile/WordPress-Android/blob/master/WordPress/src/main/java/org/wordpress/android/usecase/social/GetJetpackSocialShareMessageUseCase.kt")</f>
        <v/>
      </c>
      <c r="D2456" t="inlineStr">
        <is>
          <t>The `GetJetpackSocialShareMessageUseCase` class is a coroutine-based use case that retrieves the social share message for a given local post ID from the WordPress Android FluxC store. It uses the IO thread dispatcher to perform database operations asynchronously. The method returns the `autoShareMessage` if it exists; otherwise, it defaults to using the post's title. This use case is part of</t>
        </is>
      </c>
      <c r="E2456" t="n">
        <v>0.0031</v>
      </c>
      <c r="F2456" t="n">
        <v>0.029</v>
      </c>
      <c r="G2456" t="n">
        <v>0.07630000000000001</v>
      </c>
      <c r="H2456" t="inlineStr">
        <is>
          <t>This repository contains backend software components that implement core algorithms for handling social sharing messages in WordPress Android applications. The `GetJetpackSocialShareMessageUseCase` class uses coroutines to fetch a post by its local ID from the `PostStore`, retrieves the auto-share message if available, or defaults to using the post's title. This use case is executed on the IO thread.</t>
        </is>
      </c>
      <c r="I2456" t="n">
        <v>0.0042</v>
      </c>
      <c r="J2456" t="n">
        <v>0.1194</v>
      </c>
      <c r="K2456" t="n">
        <v>0.2884</v>
      </c>
      <c r="L2456" t="inlineStr">
        <is>
          <t>This use case fetches the Jetpack social share message for a given local post ID by querying the `PostStore`. It uses coroutine dispatching to perform I/O-bound operations on the IO thread. If the post is found, it returns either the auto-share message if available, otherwise the post's title. If no post is found, it returns an empty string.</t>
        </is>
      </c>
      <c r="M2456" t="n">
        <v>0.0031</v>
      </c>
      <c r="N2456" t="n">
        <v>0.0286</v>
      </c>
      <c r="O2456" t="n">
        <v>0.0769</v>
      </c>
    </row>
    <row r="2457">
      <c r="A2457" t="inlineStr">
        <is>
          <t>wordpress</t>
        </is>
      </c>
      <c r="B2457" t="inlineStr">
        <is>
          <t>WordPress/src/main/java/org/wordpress/android/usecase/social/JetpackSocialFlow.kt</t>
        </is>
      </c>
      <c r="C2457">
        <f>HYPERLINK("https://github.com/wordpress-mobile/WordPress-Android/blob/master/WordPress/src/main/java/org/wordpress/android/usecase/social/JetpackSocialFlow.kt")</f>
        <v/>
      </c>
      <c r="D2457" t="inlineStr">
        <is>
          <t>The provided Java enum `JetpackSocialFlow` in the package `org.wordpress.android.usecase.social` defines three constants representing different stages or flows for social media integration within WordPress Android applications:
- **POST_SETTINGS**: Represents the flow where users configure settings related to posting content on social media platforms.
- **PRE_PUBLISHING**: Indicates the flow that occurs before publishing content, allowing for additional checks or</t>
        </is>
      </c>
      <c r="E2457" t="n">
        <v>0</v>
      </c>
      <c r="F2457" t="n">
        <v>0</v>
      </c>
      <c r="G2457" t="n">
        <v>0</v>
      </c>
      <c r="H2457" t="inlineStr">
        <is>
          <t>This repository contains Java enum classes for defining different social flow states in WordPress Android app use cases.</t>
        </is>
      </c>
      <c r="I2457" t="n">
        <v>0.0108</v>
      </c>
      <c r="J2457" t="n">
        <v>0.0769</v>
      </c>
      <c r="K2457" t="n">
        <v>0.1111</v>
      </c>
      <c r="L2457" t="inlineStr">
        <is>
          <t>The `JetpackSocialFlow` enum in the `org.wordpress.android.usecase.social` package defines three possible states for social sharing flows within WordPress Android applications: `POST_SETTINGS`, `PRE_PUBLISHING`, and `DASHBOARD_CARD`. Each state corresponds to a specific phase or action related to social media integration during post creation or publishing processes.</t>
        </is>
      </c>
      <c r="M2457" t="n">
        <v>0.0043</v>
      </c>
      <c r="N2457" t="n">
        <v>0.0345</v>
      </c>
      <c r="O2457" t="n">
        <v>0.0435</v>
      </c>
    </row>
    <row r="2458">
      <c r="A2458" t="inlineStr">
        <is>
          <t>wordpress</t>
        </is>
      </c>
      <c r="B2458" t="inlineStr">
        <is>
          <t>WordPress/src/main/java/org/wordpress/android/usecase/social/GetJetpackSocialShareLimitStatusUseCase.kt</t>
        </is>
      </c>
      <c r="C2458">
        <f>HYPERLINK("https://github.com/wordpress-mobile/WordPress-Android/blob/master/WordPress/src/main/java/org/wordpress/android/usecase/social/GetJetpackSocialShareLimitStatusUseCase.kt")</f>
        <v/>
      </c>
      <c r="D2458" t="inlineStr">
        <is>
          <t>The `GetJetpackSocialShareLimitStatusUseCase` class in the `org.wordpress.android.usecase.social` package provides a function to determine whether a given WordPress site has social sharing enabled based on its plan features. The method checks if the site is a WP.com or WP.com Atomic site and then verifies if the "social shares" feature is active. If both conditions are met, it fetch</t>
        </is>
      </c>
      <c r="E2458" t="n">
        <v>0.0033</v>
      </c>
      <c r="F2458" t="n">
        <v>0.0571</v>
      </c>
      <c r="G2458" t="n">
        <v>0.0781</v>
      </c>
      <c r="H2458" t="inlineStr">
        <is>
          <t>This repository contains backend software components implementing core algorithms. The complexity is O(N), indicating linear time complexity for certain operations.</t>
        </is>
      </c>
      <c r="I2458" t="n">
        <v>0.0127</v>
      </c>
      <c r="J2458" t="n">
        <v>0.2759</v>
      </c>
      <c r="K2458" t="n">
        <v>0.3431</v>
      </c>
      <c r="L2458" t="inlineStr">
        <is>
          <t>This use case checks whether Jetpack social sharing limits are enabled for a given WordPress.com site. It first determines if the site is WP.com or WP.com Atomic. If not, it checks if the plan active features do not contain "social_shares_1000". Then, it fetches the Jetpack social data from the store and returns `ShareLimit.Enabled` if both conditions are</t>
        </is>
      </c>
      <c r="M2458" t="n">
        <v>0.0038</v>
      </c>
      <c r="N2458" t="n">
        <v>0.0563</v>
      </c>
      <c r="O2458" t="n">
        <v>0.1163</v>
      </c>
    </row>
    <row r="2459">
      <c r="A2459" t="inlineStr">
        <is>
          <t>wordpress</t>
        </is>
      </c>
      <c r="B2459" t="inlineStr">
        <is>
          <t>WordPress/src/main/java/org/wordpress/android/usecase/social/GetPublicizeConnectionsForUserUseCase.kt</t>
        </is>
      </c>
      <c r="C2459">
        <f>HYPERLINK("https://github.com/wordpress-mobile/WordPress-Android/blob/master/WordPress/src/main/java/org/wordpress/android/usecase/social/GetPublicizeConnectionsForUserUseCase.kt")</f>
        <v/>
      </c>
      <c r="D2459" t="inlineStr">
        <is>
          <t>The `GetPublicizeConnectionsForUserUseCase` class is a use case that retrieves a list of connections available for a user from the database using the `PublicizeTableWrapper`. It also updates any necessary services related to these connections using the `publicizeUpdateServicesV2` instance. The method uses coroutines with the IO thread dispatcher to perform asynchronous operations safely.</t>
        </is>
      </c>
      <c r="E2459" t="n">
        <v>0</v>
      </c>
      <c r="F2459" t="n">
        <v>0</v>
      </c>
      <c r="G2459" t="n">
        <v>0.0407</v>
      </c>
      <c r="H2459" t="inlineStr">
        <is>
          <t>The provided code is a Kotlin class that defines a use case to fetch a list of publicize service connections for a user from a database using coroutines. It uses dependency injection to inject necessary dependencies such as coroutine dispatchers, table wrappers, and update services. The method `getPublicizeConnectionsForUser` returns a list of `PublicizeConnection` objects.</t>
        </is>
      </c>
      <c r="I2459" t="n">
        <v>0.0034</v>
      </c>
      <c r="J2459" t="n">
        <v>0.0323</v>
      </c>
      <c r="K2459" t="n">
        <v>0.0794</v>
      </c>
      <c r="L2459" t="inlineStr">
        <is>
          <t>This use case retrieves a list of social media connections associated with a user from the database using `publicizeTableWrapper`. It then updates these connections by calling `publicizeUpdateServicesV2.updateServices` if necessary. The results are returned as a list of `PublicizeConnection` objects.</t>
        </is>
      </c>
      <c r="M2459" t="n">
        <v>0.0047</v>
      </c>
      <c r="N2459" t="n">
        <v>0.0417</v>
      </c>
      <c r="O2459" t="n">
        <v>0.0901</v>
      </c>
    </row>
    <row r="2460">
      <c r="A2460" t="inlineStr">
        <is>
          <t>wordpress</t>
        </is>
      </c>
      <c r="B2460" t="inlineStr">
        <is>
          <t>WordPress/src/main/java/org/wordpress/android/ui/JetpackConnectionWebViewActivity.java</t>
        </is>
      </c>
      <c r="C2460">
        <f>HYPERLINK("https://github.com/wordpress-mobile/WordPress-Android/blob/master/WordPress/src/main/java/org/wordpress/android/ui/JetpackConnectionWebViewActivity.java")</f>
        <v/>
      </c>
      <c r="D2460" t="inlineStr">
        <is>
          <t>The provided code is for an Android activity named `JetpackLoginActivity` within the WordPress Android app. It handles the process of initiating the Jetpack connection flow by launching the `LoginActivity`. The activity uses a custom WebView client (`JetpackConnectionWebViewClient`) with a listener to handle deep links related to Jetpack connections. When the user completes the login process in the `LoginActivity`, they</t>
        </is>
      </c>
      <c r="E2460" t="n">
        <v>0</v>
      </c>
      <c r="F2460" t="n">
        <v>0</v>
      </c>
      <c r="G2460" t="n">
        <v>0.0382</v>
      </c>
      <c r="H2460" t="inlineStr">
        <is>
          <t>The provided code is a Java class within the `org.wordpress.android.ui` package that handles the Jetpack connection process for WordPress sites. It includes methods for starting the Jetpack login flow, managing web views, and tracking analytics events related to this process. The complexity is high due to its extensive use of Android UI components and networking operations.</t>
        </is>
      </c>
      <c r="I2460" t="n">
        <v>0.0033</v>
      </c>
      <c r="J2460" t="n">
        <v>0.0597</v>
      </c>
      <c r="K2460" t="n">
        <v>0.1172</v>
      </c>
      <c r="L2460" t="inlineStr">
        <is>
          <t>This activity initiates the Jetpack connection process by launching a WebView for authentication. It handles deep links related to Jetpack connections and redirects users back to the StatsActivity upon successful completion. The activity uses the WordPress application's analytics tracker for tracking events during the login flow.</t>
        </is>
      </c>
      <c r="M2460" t="n">
        <v>0.0048</v>
      </c>
      <c r="N2460" t="n">
        <v>0.0727</v>
      </c>
      <c r="O2460" t="n">
        <v>0.1271</v>
      </c>
    </row>
    <row r="2461">
      <c r="A2461" t="inlineStr">
        <is>
          <t>wordpress</t>
        </is>
      </c>
      <c r="B2461" t="inlineStr">
        <is>
          <t>WordPress/src/main/java/org/wordpress/android/ui/ActivityLauncherWrapper.kt</t>
        </is>
      </c>
      <c r="C2461">
        <f>HYPERLINK("https://github.com/wordpress-mobile/WordPress-Android/blob/master/WordPress/src/main/java/org/wordpress/android/ui/ActivityLauncherWrapper.kt")</f>
        <v/>
      </c>
      <c r="D2461" t="inlineStr">
        <is>
          <t>The `ActivityLauncherWrapper` class provides an injectable wrapper for the `ActivityLauncher` interface, making it easier to test and mock in Android applications. It includes methods like `showActionableEmptyView`, which can be used to display an empty view with specific actions based on the given state and post title. The class uses Dagger for dependency injection and handles common UI operations such as displaying toast messages</t>
        </is>
      </c>
      <c r="E2461" t="n">
        <v>0.0029</v>
      </c>
      <c r="F2461" t="n">
        <v>0.0282</v>
      </c>
      <c r="G2461" t="n">
        <v>0.0741</v>
      </c>
      <c r="H2461" t="inlineStr">
        <is>
          <t>Manages launching activities in Android applications using Dagger for dependency injection. Provides a wrapper class `ActivityLauncherWrapper` that simplifies activity launch logic by making it easier to test and mock. The complexity lies in handling various actions and states within the application.</t>
        </is>
      </c>
      <c r="I2461" t="n">
        <v>0.0045</v>
      </c>
      <c r="J2461" t="n">
        <v>0.0408</v>
      </c>
      <c r="K2461" t="n">
        <v>0.0885</v>
      </c>
      <c r="L2461" t="inlineStr">
        <is>
          <t>This class provides a wrapper for `ActivityLauncher`, making it easier to test by abstracting away the static method calls. The primary function is to display an actionable empty view based on the specified state and post title.</t>
        </is>
      </c>
      <c r="M2461" t="n">
        <v>0.006</v>
      </c>
      <c r="N2461" t="n">
        <v>0.1333</v>
      </c>
      <c r="O2461" t="n">
        <v>0.1376</v>
      </c>
    </row>
    <row r="2462">
      <c r="A2462" t="inlineStr">
        <is>
          <t>wordpress</t>
        </is>
      </c>
      <c r="B2462" t="inlineStr">
        <is>
          <t>WordPress/src/main/java/org/wordpress/android/ui/RequestCodes.java</t>
        </is>
      </c>
      <c r="C2462">
        <f>HYPERLINK("https://github.com/wordpress-mobile/WordPress-Android/blob/master/WordPress/src/main/java/org/wordpress/android/ui/RequestCodes.java")</f>
        <v/>
      </c>
      <c r="D2462" t="inlineStr">
        <is>
          <t>The `RequestCodes` class in the `org.wordpress.android.ui` package defines global integer constants used as request codes for various intents within the WordPress Android application. These codes help identify different types of user interactions or actions that require specific handling by activities or fragments throughout the app. The constants include codes for adding accounts, reauthentication, settings, note details, site picker, post editing, landing page editing</t>
        </is>
      </c>
      <c r="E2462" t="n">
        <v>0</v>
      </c>
      <c r="F2462" t="n">
        <v>0</v>
      </c>
      <c r="G2462" t="n">
        <v>0.037</v>
      </c>
      <c r="H2462" t="inlineStr">
        <is>
          <t>Manages global intent identifiers for various operations in the WordPress Android app.</t>
        </is>
      </c>
      <c r="I2462" t="n">
        <v>0</v>
      </c>
      <c r="J2462" t="n">
        <v>0</v>
      </c>
      <c r="K2462" t="n">
        <v>0</v>
      </c>
      <c r="L2462" t="inlineStr">
        <is>
          <t>The `RequestCodes` class defines global integer constants representing different request codes used throughout the Android application for various intents such as adding accounts, reauthentication, app settings, note details, site picker, editing posts, remote previewing posts, creating sites, and more. These constants help manage and identify specific actions within the application's intent handling mechanism.</t>
        </is>
      </c>
      <c r="M2462" t="n">
        <v>0.0035</v>
      </c>
      <c r="N2462" t="n">
        <v>0.0323</v>
      </c>
      <c r="O2462" t="n">
        <v>0.08</v>
      </c>
    </row>
    <row r="2463">
      <c r="A2463" t="inlineStr">
        <is>
          <t>wordpress</t>
        </is>
      </c>
      <c r="B2463" t="inlineStr">
        <is>
          <t>WordPress/src/main/java/org/wordpress/android/ui/WebViewActivity.java</t>
        </is>
      </c>
      <c r="C2463">
        <f>HYPERLINK("https://github.com/wordpress-mobile/WordPress-Android/blob/master/WordPress/src/main/java/org/wordpress/android/ui/WebViewActivity.java")</f>
        <v/>
      </c>
      <c r="D2463" t="inlineStr">
        <is>
          <t>The provided code is a Java class `WebViewActivity` that extends `BaseAppCompatActivity`. It serves as a basic activity for displaying a `WebView`, which can be used to load and render HTML content in an Android application. The class includes methods for setting up the toolbar, handling back button presses, and managing user agent information. The primary purpose of this activity is to provide a consistent interface for displaying</t>
        </is>
      </c>
      <c r="E2463" t="n">
        <v>0.0027</v>
      </c>
      <c r="F2463" t="n">
        <v>0.0267</v>
      </c>
      <c r="G2463" t="n">
        <v>0.1079</v>
      </c>
      <c r="H2463" t="inlineStr">
        <is>
          <t>This repository contains backend software components implementing core algorithms. The complexity is O(N), indicating linear time complexity in relation to input size. The comments describe the implementation of these algorithms, while the commits include an initial codebase commit. The total code size is 1000 lines.</t>
        </is>
      </c>
      <c r="I2463" t="n">
        <v>0.0054</v>
      </c>
      <c r="J2463" t="n">
        <v>0.1481</v>
      </c>
      <c r="K2463" t="n">
        <v>0.1709</v>
      </c>
      <c r="L2463" t="inlineStr">
        <is>
          <t>This is a basic Android activity that displays a WebView. It includes methods for setting up the toolbar, handling back button presses, and managing user agent strings. The activity uses dependency injection for injecting dependencies such as `UserAgent`.</t>
        </is>
      </c>
      <c r="M2463" t="n">
        <v>0.0058</v>
      </c>
      <c r="N2463" t="n">
        <v>0.08699999999999999</v>
      </c>
      <c r="O2463" t="n">
        <v>0.1364</v>
      </c>
    </row>
    <row r="2464">
      <c r="A2464" t="inlineStr">
        <is>
          <t>wordpress</t>
        </is>
      </c>
      <c r="B2464" t="inlineStr">
        <is>
          <t>WordPress/src/main/java/org/wordpress/android/ui/WPLaunchActivity.kt</t>
        </is>
      </c>
      <c r="C2464">
        <f>HYPERLINK("https://github.com/wordpress-mobile/WordPress-Android/blob/master/WordPress/src/main/java/org/wordpress/android/ui/WPLaunchActivity.kt")</f>
        <v/>
      </c>
      <c r="D2464" t="inlineStr">
        <is>
          <t>The `WPLaunchActivity` class is an Android application component responsible for launching the previous active activity when the app starts. It checks if there are any missing splits using the `isMissingSplits` function from the `org.wordpress.android.util.MissingSplitsUtils` package. If missing splits are detected, it displays a dialog with a message indicating that the app requires certain features to be installed</t>
        </is>
      </c>
      <c r="E2464" t="n">
        <v>0</v>
      </c>
      <c r="F2464" t="n">
        <v>0.029</v>
      </c>
      <c r="G2464" t="n">
        <v>0.0388</v>
      </c>
      <c r="H2464" t="inlineStr">
        <is>
          <t>This repository contains backend software components implementing core algorithms with a time complexity of \(O(N)\). The README provides information about the project, including its purpose, complexity analysis, comments, commits, and code size.</t>
        </is>
      </c>
      <c r="I2464" t="n">
        <v>0.0083</v>
      </c>
      <c r="J2464" t="n">
        <v>0.2439</v>
      </c>
      <c r="K2464" t="n">
        <v>0.3577</v>
      </c>
      <c r="L2464" t="inlineStr">
        <is>
          <t>The `WPLaunchActivity` is a default activity in the WordPress Android app that launches the previous active activity upon startup. It checks for missing splits using the `isMissingSplits` method from the `MissingSplitsUtils` class and displays a dialog if necessary. The activity has no user interface elements.</t>
        </is>
      </c>
      <c r="M2464" t="n">
        <v>0.0041</v>
      </c>
      <c r="N2464" t="n">
        <v>0.0377</v>
      </c>
      <c r="O2464" t="n">
        <v>0.08550000000000001</v>
      </c>
    </row>
    <row r="2465">
      <c r="A2465" t="inlineStr">
        <is>
          <t>wordpress</t>
        </is>
      </c>
      <c r="B2465" t="inlineStr">
        <is>
          <t>WordPress/src/main/java/org/wordpress/android/ui/Shortcut.java</t>
        </is>
      </c>
      <c r="C2465">
        <f>HYPERLINK("https://github.com/wordpress-mobile/WordPress-Android/blob/master/WordPress/src/main/java/org/wordpress/android/ui/Shortcut.java")</f>
        <v/>
      </c>
      <c r="D2465" t="inlineStr">
        <is>
          <t>The `Shortcut` enum in the `org.wordpress.android.ui` package defines three constants representing different actions that can be performed using shortcuts: opening stats, creating a new post, and opening notifications. Each constant has two fields: `mId`, which is a string identifier, and `mAction`, which specifies the corresponding action to perform when the shortcut is triggered. The `fromActionString` method</t>
        </is>
      </c>
      <c r="E2465" t="n">
        <v>0.0033</v>
      </c>
      <c r="F2465" t="n">
        <v>0.0299</v>
      </c>
      <c r="G2465" t="n">
        <v>0.0781</v>
      </c>
      <c r="H2465" t="inlineStr">
        <is>
          <t>The code defines an `enum` called `Shortcut` in the package `org.wordpress.android.ui`. It includes three constants representing different shortcut actions with their corresponding IDs. The `fromActionString` method is used to retrieve a `Shortcut` instance based on its action string. This implementation focuses on providing efficient lookup capabilities for shortcut actions within the application.</t>
        </is>
      </c>
      <c r="I2465" t="n">
        <v>0.0035</v>
      </c>
      <c r="J2465" t="n">
        <v>0.0635</v>
      </c>
      <c r="K2465" t="n">
        <v>0.121</v>
      </c>
      <c r="L2465" t="inlineStr">
        <is>
          <t>The `Shortcut` enum in the given code defines constants representing different actions that can be performed through shortcuts. Each constant includes an ID and an associated action string. The `fromActionString` method allows retrieving a `Shortcut` instance based on the provided action string by comparing it case-insensitively against each defined action. This utility is useful for mapping shortcut strings to their corresponding actions within the application</t>
        </is>
      </c>
      <c r="M2465" t="n">
        <v>0.0033</v>
      </c>
      <c r="N2465" t="n">
        <v>0.027</v>
      </c>
      <c r="O2465" t="n">
        <v>0.1095</v>
      </c>
    </row>
    <row r="2466">
      <c r="A2466" t="inlineStr">
        <is>
          <t>wordpress</t>
        </is>
      </c>
      <c r="B2466" t="inlineStr">
        <is>
          <t>WordPress/src/main/java/org/wordpress/android/ui/ActionableEmptyView.kt</t>
        </is>
      </c>
      <c r="C2466">
        <f>HYPERLINK("https://github.com/wordpress-mobile/WordPress-Android/blob/master/WordPress/src/main/java/org/wordpress/android/ui/ActionableEmptyView.kt")</f>
        <v/>
      </c>
      <c r="D2466" t="inlineStr">
        <is>
          <t>The `ActionableEmptyView` class is a custom Android view designed to display an empty state with various elements such as an image, title, subtitle, button, and attribution logo. The view is intended to guide users on what actions they can take or provide additional information about why the content is currently unavailable. The layout includes optional components that can be customized based on specific use cases.</t>
        </is>
      </c>
      <c r="E2466" t="n">
        <v>0.0028</v>
      </c>
      <c r="F2466" t="n">
        <v>0.0274</v>
      </c>
      <c r="G2466" t="n">
        <v>0.073</v>
      </c>
      <c r="H2466" t="inlineStr">
        <is>
          <t>This repository contains backend software components implementing core algorithms. The complexity of these implementations is O(N), indicating they scale linearly with input size. The codebase has been initialized with the first commit.</t>
        </is>
      </c>
      <c r="I2466" t="n">
        <v>0.0077</v>
      </c>
      <c r="J2466" t="n">
        <v>0.1951</v>
      </c>
      <c r="K2466" t="n">
        <v>0.1923</v>
      </c>
      <c r="L2466" t="inlineStr">
        <is>
          <t>The `ActionableEmptyView` class is a custom view designed to display an empty state message with optional image, title, subtitle, button, and bottom image. It provides a simple interface for displaying error messages or informational states within Android applications. The view supports customization through various attributes such as image resources, text labels, and button actions.</t>
        </is>
      </c>
      <c r="M2466" t="n">
        <v>0.0034</v>
      </c>
      <c r="N2466" t="n">
        <v>0.0323</v>
      </c>
      <c r="O2466" t="n">
        <v>0.0397</v>
      </c>
    </row>
    <row r="2467">
      <c r="A2467" t="inlineStr">
        <is>
          <t>wordpress</t>
        </is>
      </c>
      <c r="B2467" t="inlineStr">
        <is>
          <t>WordPress/src/main/java/org/wordpress/android/ui/CollapseFullScreenDialogFragment.java</t>
        </is>
      </c>
      <c r="C2467">
        <f>HYPERLINK("https://github.com/wordpress-mobile/WordPress-Android/blob/master/WordPress/src/main/java/org/wordpress/android/ui/CollapseFullScreenDialogFragment.java")</f>
        <v/>
      </c>
      <c r="D2467" t="inlineStr">
        <is>
          <t>The provided code is part of a package named `org.wordpress.android.ui` in an Android application. It appears to be implementing a custom dialog component that extends `ComponentDialog`. The class includes methods for setting up the dialog's appearance, handling menu items, and managing back button behavior. The complexity of the implementation is O(1) as it involves basic operations such as setting attributes and callbacks. The</t>
        </is>
      </c>
      <c r="E2467" t="n">
        <v>0.0029</v>
      </c>
      <c r="F2467" t="n">
        <v>0.0526</v>
      </c>
      <c r="G2467" t="n">
        <v>0.1111</v>
      </c>
      <c r="H2467" t="inlineStr">
        <is>
          <t>Manages Android UI components for WordPress applications. Complexity is high due to extensive use of Android framework APIs and custom views. Contains implementations of various user interface elements such as dialogs, menus, and action bars. Code size is large due to numerous methods and classes involved in handling different UI interactions.</t>
        </is>
      </c>
      <c r="I2467" t="n">
        <v>0.0036</v>
      </c>
      <c r="J2467" t="n">
        <v>0.0678</v>
      </c>
      <c r="K2467" t="n">
        <v>0.122</v>
      </c>
      <c r="L2467" t="inlineStr">
        <is>
          <t>This Android fragment is designed to display a dialog that can be used as a component within an activity. It includes features such as setting up a custom title bar, handling menu items, managing back button presses, and applying styles from resources. The class extends `ComponentDialog` and implements necessary interfaces for lifecycle management and user interaction.</t>
        </is>
      </c>
      <c r="M2467" t="n">
        <v>0.0043</v>
      </c>
      <c r="N2467" t="n">
        <v>0.09379999999999999</v>
      </c>
      <c r="O2467" t="n">
        <v>0.1563</v>
      </c>
    </row>
    <row r="2468">
      <c r="A2468" t="inlineStr">
        <is>
          <t>wordpress</t>
        </is>
      </c>
      <c r="B2468" t="inlineStr">
        <is>
          <t>WordPress/src/main/java/org/wordpress/android/ui/WPTextViewDrawableCallback.kt</t>
        </is>
      </c>
      <c r="C2468">
        <f>HYPERLINK("https://github.com/wordpress-mobile/WordPress-Android/blob/master/WordPress/src/main/java/org/wordpress/android/ui/WPTextViewDrawableCallback.kt")</f>
        <v/>
      </c>
      <c r="D2468" t="inlineStr">
        <is>
          <t>The provided code defines a class `WPTextViewDrawableCallback` that implements the `Drawable.Callback` interface to handle callbacks for drawable objects in Android development. This is particularly useful when dealing with animated drawables like GIFs. The class uses a `WeakReference` to hold a reference to a `TextView`, allowing it to be garbage collected if no longer needed. It provides methods to invalidate the view associated</t>
        </is>
      </c>
      <c r="E2468" t="n">
        <v>0.0035</v>
      </c>
      <c r="F2468" t="n">
        <v>0.0282</v>
      </c>
      <c r="G2468" t="n">
        <v>0.1119</v>
      </c>
      <c r="H2468" t="inlineStr">
        <is>
          <t>Manages callbacks for animating drawables in a TextView to ensure proper invalidation when changes occur.</t>
        </is>
      </c>
      <c r="I2468" t="n">
        <v>0</v>
      </c>
      <c r="J2468" t="n">
        <v>0</v>
      </c>
      <c r="K2468" t="n">
        <v>0</v>
      </c>
      <c r="L2468" t="inlineStr">
        <is>
          <t>This class implements `Drawable.Callback` to enable animation for GIFs within a `TextView`. It uses a `WeakReference` to avoid memory leaks by keeping track of the associated `TextView`, ensuring that updates to the view's state are propagated correctly when the drawable is invalidated.</t>
        </is>
      </c>
      <c r="M2468" t="n">
        <v>0.0052</v>
      </c>
      <c r="N2468" t="n">
        <v>0.0769</v>
      </c>
      <c r="O2468" t="n">
        <v>0.1316</v>
      </c>
    </row>
    <row r="2469">
      <c r="A2469" t="inlineStr">
        <is>
          <t>wordpress</t>
        </is>
      </c>
      <c r="B2469" t="inlineStr">
        <is>
          <t>WordPress/src/main/java/org/wordpress/android/ui/JetpackConnectionWebViewClient.java</t>
        </is>
      </c>
      <c r="C2469">
        <f>HYPERLINK("https://github.com/wordpress-mobile/WordPress-Android/blob/master/WordPress/src/main/java/org/wordpress/android/ui/JetpackConnectionWebViewClient.java")</f>
        <v/>
      </c>
      <c r="D2469" t="inlineStr">
        <is>
          <t>The `JetpackConnectionWebViewClient` class is a custom WebView client designed to handle web navigation in Android applications related to WordPress connections. It includes methods for handling login redirects, checking if a page requires WP-Com or Jetpack login, and connecting to Jetpack services. The class uses error management techniques and interfaces to notify listeners about different connection states.</t>
        </is>
      </c>
      <c r="E2469" t="n">
        <v>0.0033</v>
      </c>
      <c r="F2469" t="n">
        <v>0.0308</v>
      </c>
      <c r="G2469" t="n">
        <v>0.0781</v>
      </c>
      <c r="H2469" t="inlineStr">
        <is>
          <t>The provided code is part of a WordPress Android application that handles web views for connecting to WordPress sites. It includes a custom `JetpackConnectionWebViewClient` class with interfaces for handling login requirements and successful connections. The client uses URL decoding to handle redirects and checks paths like `/wp-login.php`, `/wp-admin/admin.php`, and specific WordPress.com log in paths. The complexity is high due to its</t>
        </is>
      </c>
      <c r="I2469" t="n">
        <v>0.003</v>
      </c>
      <c r="J2469" t="n">
        <v>0.0267</v>
      </c>
      <c r="K2469" t="n">
        <v>0.0752</v>
      </c>
      <c r="L2469" t="inlineStr">
        <is>
          <t>The `JetpackConnectionWebViewClient` class is a custom WebView client designed for handling web navigation within WordPress Android applications. It manages login processes by intercepting requests to specific paths such as `/wp-login.php`, `/wp-admin/admin.php`, and redirects related to WordPress.com logins. The class uses error management techniques to handle network errors gracefully. It provides listeners for different types of login requirements and success</t>
        </is>
      </c>
      <c r="M2469" t="n">
        <v>0.0031</v>
      </c>
      <c r="N2469" t="n">
        <v>0.0274</v>
      </c>
      <c r="O2469" t="n">
        <v>0.07630000000000001</v>
      </c>
    </row>
    <row r="2470">
      <c r="A2470" t="inlineStr">
        <is>
          <t>wordpress</t>
        </is>
      </c>
      <c r="B2470" t="inlineStr">
        <is>
          <t>WordPress/src/main/java/org/wordpress/android/ui/TextInputDialogFragment.java</t>
        </is>
      </c>
      <c r="C2470">
        <f>HYPERLINK("https://github.com/wordpress-mobile/WordPress-Android/blob/master/WordPress/src/main/java/org/wordpress/android/ui/TextInputDialogFragment.java")</f>
        <v/>
      </c>
      <c r="D2470" t="inlineStr">
        <is>
          <t>The `TextInputDialogFragment` is a custom dialog fragment in Android that allows users to input text. It includes fields for title, initial text, hint, multiline option, and callback ID. The fragment uses Material Design styling and provides methods to set these properties and handle user interactions through callbacks.</t>
        </is>
      </c>
      <c r="E2470" t="n">
        <v>0.0039</v>
      </c>
      <c r="F2470" t="n">
        <v>0.0364</v>
      </c>
      <c r="G2470" t="n">
        <v>0.08400000000000001</v>
      </c>
      <c r="H2470" t="inlineStr">
        <is>
          <t>Manages text input dialogs for Android applications using Material Design components.</t>
        </is>
      </c>
      <c r="I2470" t="n">
        <v>0</v>
      </c>
      <c r="J2470" t="n">
        <v>0</v>
      </c>
      <c r="K2470" t="n">
        <v>0.0602</v>
      </c>
      <c r="L2470" t="inlineStr">
        <is>
          <t>This fragment is designed to display a dialog for inputting text, supporting both single-line and multi-line entries. It uses Material Design styling and includes options for setting a title, initial text, hint, and callback ID upon completion. The fragment can be used across different parts of the application by passing appropriate arguments through `newInstance`.</t>
        </is>
      </c>
      <c r="M2470" t="n">
        <v>0.004</v>
      </c>
      <c r="N2470" t="n">
        <v>0.0625</v>
      </c>
      <c r="O2470" t="n">
        <v>0.119</v>
      </c>
    </row>
    <row r="2471">
      <c r="A2471" t="inlineStr">
        <is>
          <t>wordpress</t>
        </is>
      </c>
      <c r="B2471" t="inlineStr">
        <is>
          <t>WordPress/src/main/java/org/wordpress/android/ui/Organization.kt</t>
        </is>
      </c>
      <c r="C2471">
        <f>HYPERLINK("https://github.com/wordpress-mobile/WordPress-Android/blob/master/WordPress/src/main/java/org/wordpress/android/ui/Organization.kt")</f>
        <v/>
      </c>
      <c r="D2471" t="inlineStr">
        <is>
          <t>The provided Kotlin code defines an `Organization` enum in the `org.wordpress.android.ui` package. The enum represents different organizations with associated IDs:
- **UNKNOWN**: Represents an unknown organization.
- **NO_ORGANIZATION**: Indicates no organization is assigned.
- **A8C**: Represents the Automattic 8th Circle (WordPress).
- **P2**: Represents the Platform for Privacy Preferences</t>
        </is>
      </c>
      <c r="E2471" t="n">
        <v>0</v>
      </c>
      <c r="F2471" t="n">
        <v>0</v>
      </c>
      <c r="G2471" t="n">
        <v>0</v>
      </c>
      <c r="H2471" t="inlineStr">
        <is>
          <t>The provided code defines an enumeration `Organization` in the package `org.wordpress.android.ui`. It includes four constants representing different organizations with their respective IDs. The enum also has a companion object that provides a method to retrieve an organization by its ID using a lookup table. This implementation is straightforward and efficient for mapping organization IDs to their corresponding names.</t>
        </is>
      </c>
      <c r="I2471" t="n">
        <v>0.0037</v>
      </c>
      <c r="J2471" t="n">
        <v>0.08699999999999999</v>
      </c>
      <c r="K2471" t="n">
        <v>0.1538</v>
      </c>
      <c r="L2471" t="inlineStr">
        <is>
          <t>This Kotlin enum class `Organization` defines different organization IDs for WordPress Android applications, including constants for unknown organizations, no organization, A8C (Automattic), and P2 (WordPress.com). It provides a method `fromOrgId` to retrieve the corresponding `Organization` instance based on the given ID, defaulting to `UNKNOWN` if the ID is not recognized. The implementation uses a</t>
        </is>
      </c>
      <c r="M2471" t="n">
        <v>0.004</v>
      </c>
      <c r="N2471" t="n">
        <v>0.0635</v>
      </c>
      <c r="O2471" t="n">
        <v>0.1587</v>
      </c>
    </row>
    <row r="2472">
      <c r="A2472" t="inlineStr">
        <is>
          <t>wordpress</t>
        </is>
      </c>
      <c r="B2472" t="inlineStr">
        <is>
          <t>WordPress/src/main/java/org/wordpress/android/ui/PagePostCreationSourcesDetail.kt</t>
        </is>
      </c>
      <c r="C2472">
        <f>HYPERLINK("https://github.com/wordpress-mobile/WordPress-Android/blob/master/WordPress/src/main/java/org/wordpress/android/ui/PagePostCreationSourcesDetail.kt")</f>
        <v/>
      </c>
      <c r="D2472" t="inlineStr">
        <is>
          <t>The provided code defines an enumeration `PagePostCreationSourcesDetail` within the package `org.wordpress.android.ui`. This enum represents different sources for creating posts or pages in the WordPress Android application. Each variant includes a descriptive string that indicates where the content was initially generated:
- **POST_FROM_SHORTCUT**: A post created by long-pressing the app icon.
- **POST_FROM_POSTS_LIST</t>
        </is>
      </c>
      <c r="E2472" t="n">
        <v>0.0035</v>
      </c>
      <c r="F2472" t="n">
        <v>0.0299</v>
      </c>
      <c r="G2472" t="n">
        <v>0.0403</v>
      </c>
      <c r="H2472" t="inlineStr">
        <is>
          <t>The provided code defines an enum class `PagePostCreationSourcesDetail` that represents different sources for creating posts or pages within the WordPress Android application. Each source is associated with a descriptive string label. The complexity of this implementation is O(N), where N is the number of entries in the enum, as each entry requires storage space.</t>
        </is>
      </c>
      <c r="I2472" t="n">
        <v>0</v>
      </c>
      <c r="J2472" t="n">
        <v>0.0635</v>
      </c>
      <c r="K2472" t="n">
        <v>0.0794</v>
      </c>
      <c r="L2472" t="inlineStr">
        <is>
          <t>This enum defines different sources for creating content such as posts, stories, and pages within WordPress Android applications. Each variant corresponds to a specific action that triggers the creation process, providing context about how users can initiate these actions through various user interfaces.</t>
        </is>
      </c>
      <c r="M2472" t="n">
        <v>0.0051</v>
      </c>
      <c r="N2472" t="n">
        <v>0.0784</v>
      </c>
      <c r="O2472" t="n">
        <v>0.08699999999999999</v>
      </c>
    </row>
    <row r="2473">
      <c r="A2473" t="inlineStr">
        <is>
          <t>wordpress</t>
        </is>
      </c>
      <c r="B2473" t="inlineStr">
        <is>
          <t>WordPress/src/main/java/org/wordpress/android/ui/PrivateAtCookieRefreshProgressDialog.kt</t>
        </is>
      </c>
      <c r="C2473">
        <f>HYPERLINK("https://github.com/wordpress-mobile/WordPress-Android/blob/master/WordPress/src/main/java/org/wordpress/android/ui/PrivateAtCookieRefreshProgressDialog.kt")</f>
        <v/>
      </c>
      <c r="D2473" t="inlineStr">
        <is>
          <t>The provided code defines a `PrivateAtCookieRefreshProgressDialog` class that extends `DialogFragment`. It displays a progress dialog with a message indicating "Media accessing progress". The dialog can be dismissed by clicking outside it or pressing the back button. The class includes an interface for handling dismissal events and a method to check if the dialog is currently visible. This component is used in Android applications to show loading indicators</t>
        </is>
      </c>
      <c r="E2473" t="n">
        <v>0.0032</v>
      </c>
      <c r="F2473" t="n">
        <v>0.0267</v>
      </c>
      <c r="G2473" t="n">
        <v>0.1079</v>
      </c>
      <c r="H2473" t="inlineStr">
        <is>
          <t>This repository contains backend software components implementing core algorithms. The complexity is O(N), indicating linear time complexity in relation to input size N. Comments describe the implementation of these algorithms. The commits include an initial codebase commit. The total code size is 1000 lines.</t>
        </is>
      </c>
      <c r="I2473" t="n">
        <v>0.0055</v>
      </c>
      <c r="J2473" t="n">
        <v>0.1509</v>
      </c>
      <c r="K2473" t="n">
        <v>0.1724</v>
      </c>
      <c r="L2473" t="inlineStr">
        <is>
          <t>This class `PrivateAtCookieRefreshProgressDialog` is a fragment that displays a progress dialog when refreshing private access cookies for media content. It uses Android's `ProgressDialog` to show a loading message while waiting for the refresh operation to complete. The dialog can be dismissed by clicking outside of it or pressing the back button. The fragment provides methods to check if the dialog is visible and handle dismissal events through an</t>
        </is>
      </c>
      <c r="M2473" t="n">
        <v>0.0032</v>
      </c>
      <c r="N2473" t="n">
        <v>0.0519</v>
      </c>
      <c r="O2473" t="n">
        <v>0.1071</v>
      </c>
    </row>
    <row r="2474">
      <c r="A2474" t="inlineStr">
        <is>
          <t>wordpress</t>
        </is>
      </c>
      <c r="B2474" t="inlineStr">
        <is>
          <t>WordPress/src/main/java/org/wordpress/android/ui/ActivityId.java</t>
        </is>
      </c>
      <c r="C2474">
        <f>HYPERLINK("https://github.com/wordpress-mobile/WordPress-Android/blob/master/WordPress/src/main/java/org/wordpress/android/ui/ActivityId.java")</f>
        <v/>
      </c>
      <c r="D2474" t="inlineStr">
        <is>
          <t>The provided Java code defines an `ActivityId` enumeration in the `org.wordpress.android.ui` package. This enumeration represents different types of activities or screens within the WordPress Android app, such as Reader, Notifications, Me, My Site, Posts, Media Library, Pages, Comments, Comment Detail, Comment Editor, Site Picker, Themes, Stats, Stats View All, Stats Post Details, View Site,</t>
        </is>
      </c>
      <c r="E2474" t="n">
        <v>0.0034</v>
      </c>
      <c r="F2474" t="n">
        <v>0.0308</v>
      </c>
      <c r="G2474" t="n">
        <v>0.0397</v>
      </c>
      <c r="H2474" t="inlineStr">
        <is>
          <t>Manages activity identifiers for WordPress Android app with various categories such as Reader, Notifications, Me, My Site, Posts, Media Library, Pages, Comments, Comment Detail, Comment Editor, Site Picker, Themes, Stats, etc., and tracks last active activities using AppLog.</t>
        </is>
      </c>
      <c r="I2474" t="n">
        <v>0.0049</v>
      </c>
      <c r="J2474" t="n">
        <v>0.0435</v>
      </c>
      <c r="K2474" t="n">
        <v>0.09089999999999999</v>
      </c>
      <c r="L2474" t="inlineStr">
        <is>
          <t>The `ActivityId` enum is used to represent different activity identifiers for various screens within the WordPress Android app. It includes constants for common activities such as Reader, Notifications, Me, My Site, Posts, Media Library, Pages, Comments, Comment Detail, Comment Editor, Site Picker, Themes, Stats, Stats View All, Stats Post Details, View Site, Post Editor, Login Screen, and Help</t>
        </is>
      </c>
      <c r="M2474" t="n">
        <v>0.0031</v>
      </c>
      <c r="N2474" t="n">
        <v>0.0303</v>
      </c>
      <c r="O2474" t="n">
        <v>0.0769</v>
      </c>
    </row>
    <row r="2475">
      <c r="A2475" t="inlineStr">
        <is>
          <t>wordpress</t>
        </is>
      </c>
      <c r="B2475" t="inlineStr">
        <is>
          <t>WordPress/src/main/java/org/wordpress/android/ui/WPWebView.kt</t>
        </is>
      </c>
      <c r="C2475">
        <f>HYPERLINK("https://github.com/wordpress-mobile/WordPress-Android/blob/master/WordPress/src/main/java/org/wordpress/android/ui/WPWebView.kt")</f>
        <v/>
      </c>
      <c r="D2475" t="inlineStr">
        <is>
          <t>The provided code defines a custom `WPWebView` class that extends Android's `WebView`. This class sets up the web view to be focusable both by touch and keyboard input. The class includes an initializer block where it configures the web view to be focusable with both modes enabled.</t>
        </is>
      </c>
      <c r="E2475" t="n">
        <v>0.0046</v>
      </c>
      <c r="F2475" t="n">
        <v>0.07140000000000001</v>
      </c>
      <c r="G2475" t="n">
        <v>0.08400000000000001</v>
      </c>
      <c r="H2475" t="inlineStr">
        <is>
          <t>This Java class extends `WebView` to provide additional functionality for WordPress Android UI components. It sets focusability properties to ensure it can be interacted with by users. The complexity is O(1), as it involves basic initialization logic without any loops or recursive operations.</t>
        </is>
      </c>
      <c r="I2475" t="n">
        <v>0.0051</v>
      </c>
      <c r="J2475" t="n">
        <v>0.1154</v>
      </c>
      <c r="K2475" t="n">
        <v>0.08699999999999999</v>
      </c>
      <c r="L2475" t="inlineStr">
        <is>
          <t>This code defines a custom `WPWebView` class that extends Android's built-in `WebView`. The class sets up basic properties such as focusability for both keyboard input and touch interactions, ensuring that users can interact with the web content within the view.</t>
        </is>
      </c>
      <c r="M2475" t="n">
        <v>0.0055</v>
      </c>
      <c r="N2475" t="n">
        <v>0.08</v>
      </c>
      <c r="O2475" t="n">
        <v>0.0893</v>
      </c>
    </row>
    <row r="2476">
      <c r="A2476" t="inlineStr">
        <is>
          <t>wordpress</t>
        </is>
      </c>
      <c r="B2476" t="inlineStr">
        <is>
          <t>WordPress/src/main/java/org/wordpress/android/ui/WPWebChromeClientWithFileChooser.java</t>
        </is>
      </c>
      <c r="C2476">
        <f>HYPERLINK("https://github.com/wordpress-mobile/WordPress-Android/blob/master/WordPress/src/main/java/org/wordpress/android/ui/WPWebChromeClientWithFileChooser.java")</f>
        <v/>
      </c>
      <c r="D2476" t="inlineStr">
        <is>
          <t>The `WPWebChromeClientWithFileChooser` class is a custom implementation of the `WPWebChromeClient` in Android for handling file uploads within web views. It integrates with the native file picker to allow users to select files from their device's storage. The class uses a `ValueCallback&lt;Uri[]&gt;` to handle the selected file(s) once they have been chosen by the user. This client</t>
        </is>
      </c>
      <c r="E2476" t="n">
        <v>0.0033</v>
      </c>
      <c r="F2476" t="n">
        <v>0.0299</v>
      </c>
      <c r="G2476" t="n">
        <v>0.1172</v>
      </c>
      <c r="H2476" t="inlineStr">
        <is>
          <t>This repository contains backend software components implementing core algorithms. The complexity is O(N), indicating linear time complexity for certain operations.</t>
        </is>
      </c>
      <c r="I2476" t="n">
        <v>0.0127</v>
      </c>
      <c r="J2476" t="n">
        <v>0.2759</v>
      </c>
      <c r="K2476" t="n">
        <v>0.3431</v>
      </c>
      <c r="L2476" t="inlineStr">
        <is>
          <t>This custom `WPWebChromeClient` extends the standard `WPWebChromeClient` for Android web views within WordPress Android applications. It integrates a file chooser mechanism using the `ValueCallback&lt;Uri[]&gt;` interface, allowing users to select multiple files from their device's storage. The client is designed to work alongside a progress bar to indicate upload status during file uploads. The implementation includes handling for showing the</t>
        </is>
      </c>
      <c r="M2476" t="n">
        <v>0.0031</v>
      </c>
      <c r="N2476" t="n">
        <v>0.058</v>
      </c>
      <c r="O2476" t="n">
        <v>0.1145</v>
      </c>
    </row>
    <row r="2477">
      <c r="A2477" t="inlineStr">
        <is>
          <t>wordpress</t>
        </is>
      </c>
      <c r="B2477" t="inlineStr">
        <is>
          <t>WordPress/src/main/java/org/wordpress/android/ui/ShareIntentReceiverActivity.java</t>
        </is>
      </c>
      <c r="C2477">
        <f>HYPERLINK("https://github.com/wordpress-mobile/WordPress-Android/blob/master/WordPress/src/main/java/org/wordpress/android/ui/ShareIntentReceiverActivity.java")</f>
        <v/>
      </c>
      <c r="D2477" t="inlineStr">
        <is>
          <t>The provided code is part of a WordPress Android application, specifically within the `org.wordpress.android.ui` package. It handles various UI functionalities related to sharing content on social media platforms. The key features include:
- **Share Intent Handling**: Manages intents for sharing posts or images from the app.
- **Preference Management**: Uses SharedPreferences to store user preferences related to sharing settings.
- **Analytics Tracking**:</t>
        </is>
      </c>
      <c r="E2477" t="n">
        <v>0</v>
      </c>
      <c r="F2477" t="n">
        <v>0.0286</v>
      </c>
      <c r="G2477" t="n">
        <v>0.0373</v>
      </c>
      <c r="H2477" t="inlineStr">
        <is>
          <t>The repository contains backend software components implementing core algorithms. Complexity is O(N), indicating linear time complexity for operations that depend on input size N. The README provides details about the implementation and commits made to the project.</t>
        </is>
      </c>
      <c r="I2477" t="n">
        <v>0.0066</v>
      </c>
      <c r="J2477" t="n">
        <v>0.1739</v>
      </c>
      <c r="K2477" t="n">
        <v>0.1835</v>
      </c>
      <c r="L2477" t="inlineStr">
        <is>
          <t>This Android application component handles sharing intents for media files within WordPress sites. It listens for share actions from other apps, retrieves site details using FluxC store, constructs appropriate intent URIs, and launches corresponding activities such as `MediaBrowserActivity` or `WPMainActivity`. The component also manages user preferences stored in SharedPreferences for customizing sharing behaviors.</t>
        </is>
      </c>
      <c r="M2477" t="n">
        <v>0.0041</v>
      </c>
      <c r="N2477" t="n">
        <v>0.06560000000000001</v>
      </c>
      <c r="O2477" t="n">
        <v>0.12</v>
      </c>
    </row>
    <row r="2478">
      <c r="A2478" t="inlineStr">
        <is>
          <t>wordpress</t>
        </is>
      </c>
      <c r="B2478" t="inlineStr">
        <is>
          <t>WordPress/src/main/java/org/wordpress/android/ui/AppLogViewerActivity.java</t>
        </is>
      </c>
      <c r="C2478">
        <f>HYPERLINK("https://github.com/wordpress-mobile/WordPress-Android/blob/master/WordPress/src/main/java/org/wordpress/android/ui/AppLogViewerActivity.java")</f>
        <v/>
      </c>
      <c r="D2478" t="inlineStr">
        <is>
          <t>The provided code is part of an Android application that displays a list of items in a `ListView`. It includes functionalities such as:
- Handling clipboard operations to copy text.
- Displaying a toolbar with options for copying selected item text.
- Using a custom adapter (`BaseAdapter`) to populate the list view with data.
- Logging events using `AppLog` from the WordPress Android library.
- Toast</t>
        </is>
      </c>
      <c r="E2478" t="n">
        <v>0</v>
      </c>
      <c r="F2478" t="n">
        <v>0.029</v>
      </c>
      <c r="G2478" t="n">
        <v>0.0362</v>
      </c>
      <c r="H2478" t="inlineStr">
        <is>
          <t>Manages a list view with items that can be copied to the clipboard when selected.</t>
        </is>
      </c>
      <c r="I2478" t="n">
        <v>0</v>
      </c>
      <c r="J2478" t="n">
        <v>0</v>
      </c>
      <c r="K2478" t="n">
        <v>0</v>
      </c>
      <c r="L2478" t="inlineStr">
        <is>
          <t>The provided code is part of a WordPress Android application's UI component that handles displaying and managing clipboard content within the app. It includes functionality for copying text from the clipboard to the device's clipboard and displaying a list of recent copied items. The class `ClipboardHistoryFragment` extends `BaseAppCompatActivity`, implementing methods to handle menu interactions, display a list view of copied texts, and copy selected text back</t>
        </is>
      </c>
      <c r="M2478" t="n">
        <v>0.0033</v>
      </c>
      <c r="N2478" t="n">
        <v>0.0526</v>
      </c>
      <c r="O2478" t="n">
        <v>0.1087</v>
      </c>
    </row>
    <row r="2479">
      <c r="A2479" t="inlineStr">
        <is>
          <t>wordpress</t>
        </is>
      </c>
      <c r="B2479" t="inlineStr">
        <is>
          <t>WordPress/src/main/java/org/wordpress/android/ui/PreviewModeSelectorPopup.kt</t>
        </is>
      </c>
      <c r="C2479">
        <f>HYPERLINK("https://github.com/wordpress-mobile/WordPress-Android/blob/master/WordPress/src/main/java/org/wordpress/android/ui/PreviewModeSelectorPopup.kt")</f>
        <v/>
      </c>
      <c r="D2479" t="inlineStr">
        <is>
          <t>The `PreviewModeSelectorPopup` class in the `org.wordpress.android.ui` package provides a custom implementation for displaying a dropdown menu (list popup window) that allows users to select different preview modes within the WordPress Android application. The constructor initializes various properties such as the view's dimensions, position relative to another view (`button`), and other UI settings like gravity and modal behavior. This class enhances user</t>
        </is>
      </c>
      <c r="E2479" t="n">
        <v>0.0036</v>
      </c>
      <c r="F2479" t="n">
        <v>0.0548</v>
      </c>
      <c r="G2479" t="n">
        <v>0.1128</v>
      </c>
      <c r="H2479" t="inlineStr">
        <is>
          <t>This repository contains backend software components with complex implementations of core algorithms. The complexity is O(N), indicating linear time complexity for certain operations. The README provides details about the project's purpose and structure.</t>
        </is>
      </c>
      <c r="I2479" t="n">
        <v>0.008</v>
      </c>
      <c r="J2479" t="n">
        <v>0.2326</v>
      </c>
      <c r="K2479" t="n">
        <v>0.2381</v>
      </c>
      <c r="L2479" t="inlineStr">
        <is>
          <t>The `PreviewModeSelectorPopup` class implements a dropdown list for selecting preview modes within a WordPress Android application. It uses Material Design elevation overlay for background color and sets up the popup window's position relative to a given button, ensuring it appears at the end of the screen with appropriate offsets. The popup displays various preview options that can be selected by users.</t>
        </is>
      </c>
      <c r="M2479" t="n">
        <v>0.0036</v>
      </c>
      <c r="N2479" t="n">
        <v>0.0571</v>
      </c>
      <c r="O2479" t="n">
        <v>0.1128</v>
      </c>
    </row>
    <row r="2480">
      <c r="A2480" t="inlineStr">
        <is>
          <t>wordpress</t>
        </is>
      </c>
      <c r="B2480" t="inlineStr">
        <is>
          <t>WordPress/src/main/java/org/wordpress/android/ui/JetpackConnectionSource.kt</t>
        </is>
      </c>
      <c r="C2480">
        <f>HYPERLINK("https://github.com/wordpress-mobile/WordPress-Android/blob/master/WordPress/src/main/java/org/wordpress/android/ui/JetpackConnectionSource.kt")</f>
        <v/>
      </c>
      <c r="D2480" t="inlineStr">
        <is>
          <t>The provided code defines an enumeration `JetpackConnectionSource` in the package `org.wordpress.android.ui`. This enum represents different sources for connecting to Jetpack features such as notifications or stats. The `toString()` method returns the string representation of each source, and there is a companion object with a static method `fromString()` that maps a given string back to the corresponding `JetpackConnectionSource`</t>
        </is>
      </c>
      <c r="E2480" t="n">
        <v>0.0038</v>
      </c>
      <c r="F2480" t="n">
        <v>0.0588</v>
      </c>
      <c r="G2480" t="n">
        <v>0.1163</v>
      </c>
      <c r="H2480" t="inlineStr">
        <is>
          <t>The provided Java code defines an enum `JetpackConnectionSource` in the package `org.wordpress.android.ui`. It includes two constants: `NOTIFICATIONS` with the string value "notifications" and `STATS` with the string value "stats". The enum provides a method to convert its string representation back into the corresponding enum constant using a static factory method `fromString`. This implementation is straightforward and</t>
        </is>
      </c>
      <c r="I2480" t="n">
        <v>0.0039</v>
      </c>
      <c r="J2480" t="n">
        <v>0.0896</v>
      </c>
      <c r="K2480" t="n">
        <v>0.1563</v>
      </c>
      <c r="L2480" t="inlineStr">
        <is>
          <t>The `JetpackConnectionSource` enum defines two constants representing different sources for connecting to Jetpack services: "notifications" and "stats". It provides methods to convert between string representations and retrieve the corresponding enum values. The implementation is straightforward and efficient, leveraging Kotlin's enum capabilities.</t>
        </is>
      </c>
      <c r="M2480" t="n">
        <v>0.0045</v>
      </c>
      <c r="N2480" t="n">
        <v>0.08</v>
      </c>
      <c r="O2480" t="n">
        <v>0.0885</v>
      </c>
    </row>
    <row r="2481">
      <c r="A2481" t="inlineStr">
        <is>
          <t>wordpress</t>
        </is>
      </c>
      <c r="B2481" t="inlineStr">
        <is>
          <t>WordPress/src/main/java/org/wordpress/android/ui/CommentFullScreenDialogViewModel.kt</t>
        </is>
      </c>
      <c r="C2481">
        <f>HYPERLINK("https://github.com/wordpress-mobile/WordPress-Android/blob/master/WordPress/src/main/java/org/wordpress/android/ui/CommentFullScreenDialogViewModel.kt")</f>
        <v/>
      </c>
      <c r="D2481" t="inlineStr">
        <is>
          <t>The `CommentFullScreenDialogViewModel` class is a simple Android ViewModel that manages a live data event for when the keyboard opens in a comment full-screen dialog. It uses a `MutableLiveData` to store this event and provides a method to post it. The complexity of the implementation is O(1) as it involves basic operations like posting events.</t>
        </is>
      </c>
      <c r="E2481" t="n">
        <v>0.0034</v>
      </c>
      <c r="F2481" t="n">
        <v>0.0625</v>
      </c>
      <c r="G2481" t="n">
        <v>0.1587</v>
      </c>
      <c r="H2481" t="inlineStr">
        <is>
          <t>Manages keyboard events in a comment full-screen dialog view model using Android Jetpack's Lifecycle library.</t>
        </is>
      </c>
      <c r="I2481" t="n">
        <v>0</v>
      </c>
      <c r="J2481" t="n">
        <v>0</v>
      </c>
      <c r="K2481" t="n">
        <v>0.0575</v>
      </c>
      <c r="L2481" t="inlineStr">
        <is>
          <t>This ViewModel manages keyboard visibility events for comment full-screen dialogs, emitting an event when the keyboard is opened. It initializes by posting an empty Event to indicate that the keyboard has been shown.</t>
        </is>
      </c>
      <c r="M2481" t="n">
        <v>0.0056</v>
      </c>
      <c r="N2481" t="n">
        <v>0.0476</v>
      </c>
      <c r="O2481" t="n">
        <v>0.0476</v>
      </c>
    </row>
    <row r="2482">
      <c r="A2482" t="inlineStr">
        <is>
          <t>wordpress</t>
        </is>
      </c>
      <c r="B2482" t="inlineStr">
        <is>
          <t>WordPress/src/main/java/org/wordpress/android/ui/ViewPagerFragment.kt</t>
        </is>
      </c>
      <c r="C2482">
        <f>HYPERLINK("https://github.com/wordpress-mobile/WordPress-Android/blob/master/WordPress/src/main/java/org/wordpress/android/ui/ViewPagerFragment.kt")</f>
        <v/>
      </c>
      <c r="D2482" t="inlineStr">
        <is>
          <t>The provided code defines an abstract `ViewPagerFragment` class that extends `androidx.fragment.app.Fragment`. It includes methods for restoring and setting unique IDs to views within the fragment's layout. The `restoreOriginalViewId` method retrieves the original ID from a tag and sets it back to the view, while the `setUniqueIdToView` method generates a new ID for the view and stores the original</t>
        </is>
      </c>
      <c r="E2482" t="n">
        <v>0.0031</v>
      </c>
      <c r="F2482" t="n">
        <v>0.0286</v>
      </c>
      <c r="G2482" t="n">
        <v>0.0385</v>
      </c>
      <c r="H2482" t="inlineStr">
        <is>
          <t>Manages unique IDs for views in ViewPager fragments to maintain their state across configuration changes.</t>
        </is>
      </c>
      <c r="I2482" t="n">
        <v>0</v>
      </c>
      <c r="J2482" t="n">
        <v>0</v>
      </c>
      <c r="K2482" t="n">
        <v>0</v>
      </c>
      <c r="L2482" t="inlineStr">
        <is>
          <t>This abstract `ViewPagerFragment` class manages fragments within a ViewPager UI component. It includes methods for restoring the original view ID and setting a unique ID to a view, which helps in maintaining state across fragment lifecycle changes. The class is part of the Android application's backend components and uses annotations for layout resource IDs.</t>
        </is>
      </c>
      <c r="M2482" t="n">
        <v>0.004</v>
      </c>
      <c r="N2482" t="n">
        <v>0.0635</v>
      </c>
      <c r="O2482" t="n">
        <v>0.119</v>
      </c>
    </row>
    <row r="2483">
      <c r="A2483" t="inlineStr">
        <is>
          <t>wordpress</t>
        </is>
      </c>
      <c r="B2483" t="inlineStr">
        <is>
          <t>WordPress/src/main/java/org/wordpress/android/ui/CommentFullScreenDialogFragment.kt</t>
        </is>
      </c>
      <c r="C2483">
        <f>HYPERLINK("https://github.com/wordpress-mobile/WordPress-Android/blob/master/WordPress/src/main/java/org/wordpress/android/ui/CommentFullScreenDialogFragment.kt")</f>
        <v/>
      </c>
      <c r="D2483" t="inlineStr">
        <is>
          <t>The provided code is part of an Android application that manages site suggestions for WordPress. It includes a fragment (`CollapseFullScreenDialogFragment`) with a text input field where users can enter search queries to find relevant sites. The fragment uses Dagger Hilt for dependency injection and Kotlin coroutines for asynchronous operations. When the user types in the text field, it triggers a coroutine to fetch and display site suggestions based on</t>
        </is>
      </c>
      <c r="E2483" t="n">
        <v>0.0026</v>
      </c>
      <c r="F2483" t="n">
        <v>0.026</v>
      </c>
      <c r="G2483" t="n">
        <v>0.0709</v>
      </c>
      <c r="H2483" t="inlineStr">
        <is>
          <t>The code is part of an Android application that handles site management within WordPress. It includes a fragment for user input related to sites, such as editing or adding new sites. The fragment uses Dagger Hilt for dependency injection and Kotlin coroutines for asynchronous operations. It also utilizes text watchers and input methods to handle user interactions with the UI elements.</t>
        </is>
      </c>
      <c r="I2483" t="n">
        <v>0.003</v>
      </c>
      <c r="J2483" t="n">
        <v>0.029</v>
      </c>
      <c r="K2483" t="n">
        <v>0.0752</v>
      </c>
      <c r="L2483" t="inlineStr">
        <is>
          <t>This fragment handles user input for site suggestions within a WordPress Android application. It uses text watchers to update the UI as users type, provides keyboard navigation support, and manages the visibility of a collapse dialog when needed. The implementation is optimized for performance, leveraging coroutines for asynchronous operations.</t>
        </is>
      </c>
      <c r="M2483" t="n">
        <v>0.0045</v>
      </c>
      <c r="N2483" t="n">
        <v>0.0702</v>
      </c>
      <c r="O2483" t="n">
        <v>0.1653</v>
      </c>
    </row>
    <row r="2484">
      <c r="A2484" t="inlineStr">
        <is>
          <t>wordpress</t>
        </is>
      </c>
      <c r="B2484" t="inlineStr">
        <is>
          <t>WordPress/src/main/java/org/wordpress/android/ui/WPWebViewUsageCategory.kt</t>
        </is>
      </c>
      <c r="C2484">
        <f>HYPERLINK("https://github.com/wordpress-mobile/WordPress-Android/blob/master/WordPress/src/main/java/org/wordpress/android/ui/WPWebViewUsageCategory.kt")</f>
        <v/>
      </c>
      <c r="D2484" t="inlineStr">
        <is>
          <t>The provided code defines an `enum` called `WPWebViewUsageCategory` within the `org.wordpress.android.ui` package. It includes three categories:
1. **WEBVIEW_STANDARD**: Represents standard web viewing without any special UI states or modifications.
2. **REMOTE_PREVIEW_NOT_AVAILABLE**: Indicates that remote preview is not available, setting specific menu states to hide all options except for refreshing.
3. **</t>
        </is>
      </c>
      <c r="E2484" t="n">
        <v>0</v>
      </c>
      <c r="F2484" t="n">
        <v>0</v>
      </c>
      <c r="G2484" t="n">
        <v>0</v>
      </c>
      <c r="H2484" t="inlineStr">
        <is>
          <t>The repository contains backend software components implementing core algorithms. Complexity is O(N), indicating linear time complexity for operations that depend on input size N. The README provides information about the project's purpose and structure.</t>
        </is>
      </c>
      <c r="I2484" t="n">
        <v>0.0072</v>
      </c>
      <c r="J2484" t="n">
        <v>0.1818</v>
      </c>
      <c r="K2484" t="n">
        <v>0.2978</v>
      </c>
      <c r="L2484" t="inlineStr">
        <is>
          <t>This enum defines categories for using `WPWebViewActivity`, each associated with specific UI states for menus and web preview fullscreen views. It allows flexibility in reusing the activity across different contexts by providing customizable options for menu visibility based on the current state.</t>
        </is>
      </c>
      <c r="M2484" t="n">
        <v>0.0052</v>
      </c>
      <c r="N2484" t="n">
        <v>0.08</v>
      </c>
      <c r="O2484" t="n">
        <v>0.1316</v>
      </c>
    </row>
    <row r="2485">
      <c r="A2485" t="inlineStr">
        <is>
          <t>wordpress</t>
        </is>
      </c>
      <c r="B2485" t="inlineStr">
        <is>
          <t>WordPress/src/main/java/org/wordpress/android/ui/JetpackConnectionUtils.java</t>
        </is>
      </c>
      <c r="C2485">
        <f>HYPERLINK("https://github.com/wordpress-mobile/WordPress-Android/blob/master/WordPress/src/main/java/org/wordpress/android/ui/JetpackConnectionUtils.java")</f>
        <v/>
      </c>
      <c r="D2485" t="inlineStr">
        <is>
          <t>The `JetpackConnectionUtils` class provides utility methods for tracking events related to Jetpack connections in WordPress Android applications using Google Analytics Tracker. The class includes two main methods:
1. **trackWithSource**: This method takes an `AnalyticsTracker.Stat` object and a `JetpackConnectionSource` enum value, then adds both values as parameters to the tracked event.
2. **trackFailureWith</t>
        </is>
      </c>
      <c r="E2485" t="n">
        <v>0.0042</v>
      </c>
      <c r="F2485" t="n">
        <v>0.06560000000000001</v>
      </c>
      <c r="G2485" t="n">
        <v>0.121</v>
      </c>
      <c r="H2485" t="inlineStr">
        <is>
          <t>Manages Jetpack connection utilities by adding source and reason parameters to tracked analytics events. Complexity is O(N), with comments indicating implementation of core algorithms.</t>
        </is>
      </c>
      <c r="I2485" t="n">
        <v>0.0094</v>
      </c>
      <c r="J2485" t="n">
        <v>0.1212</v>
      </c>
      <c r="K2485" t="n">
        <v>0.1562</v>
      </c>
      <c r="L2485" t="inlineStr">
        <is>
          <t>This Java class provides utility methods for tracking events related to Jetpack connections using Google Analytics. The `trackWithSource` method adds both a source and a reason (if applicable) to the event being tracked, while the `trackFailureWithSource` method only includes the source. These methods facilitate better data analysis by providing context about where and why certain actions occurred within the Jetpack integration.</t>
        </is>
      </c>
      <c r="M2485" t="n">
        <v>0.0036</v>
      </c>
      <c r="N2485" t="n">
        <v>0.058</v>
      </c>
      <c r="O2485" t="n">
        <v>0.1128</v>
      </c>
    </row>
    <row r="2486">
      <c r="A2486" t="inlineStr">
        <is>
          <t>wordpress</t>
        </is>
      </c>
      <c r="B2486" t="inlineStr">
        <is>
          <t>WordPress/src/main/java/org/wordpress/android/ui/WPBottomSheetDialogFragment.java</t>
        </is>
      </c>
      <c r="C2486">
        <f>HYPERLINK("https://github.com/wordpress-mobile/WordPress-Android/blob/master/WordPress/src/main/java/org/wordpress/android/ui/WPBottomSheetDialogFragment.java")</f>
        <v/>
      </c>
      <c r="D2486" t="inlineStr">
        <is>
          <t>The provided Java code defines a custom `WPBottomSheetDialogFragment` class that extends `BottomSheetDialogFragment`. This fragment is designed to be used as a bottom sheet in Android applications. It overrides methods from its superclass to customize the behavior when creating and displaying the dialog:
- **onCreateDialog**: Initializes a `BottomSheetDialog` with the current context and theme.
- **onResume**:</t>
        </is>
      </c>
      <c r="E2486" t="n">
        <v>0.004</v>
      </c>
      <c r="F2486" t="n">
        <v>0.06560000000000001</v>
      </c>
      <c r="G2486" t="n">
        <v>0.1181</v>
      </c>
      <c r="H2486" t="inlineStr">
        <is>
          <t>This repository contains backend software components that implement core algorithms. The complexity is O(N), indicating linear time complexity for certain operations. The comments describe the implementation of these algorithms. The commits include an initial codebase commit. The total size of the codebase is 1000 lines.</t>
        </is>
      </c>
      <c r="I2486" t="n">
        <v>0.0054</v>
      </c>
      <c r="J2486" t="n">
        <v>0.1481</v>
      </c>
      <c r="K2486" t="n">
        <v>0.1709</v>
      </c>
      <c r="L2486" t="inlineStr">
        <is>
          <t>This Android fragment is a bottom sheet dialog that inherits from `BottomSheetDialogFragment`. It overrides the `onCreateDialog` method to set up a bottom sheet dialog using the current context's theme. The `onResume` method ensures that the maximum width of the dialog is restricted when it appears by calling the `restrictMaxWidthForDialog` method.</t>
        </is>
      </c>
      <c r="M2486" t="n">
        <v>0.0037</v>
      </c>
      <c r="N2486" t="n">
        <v>0.0339</v>
      </c>
      <c r="O2486" t="n">
        <v>0.082</v>
      </c>
    </row>
    <row r="2487">
      <c r="A2487" t="inlineStr">
        <is>
          <t>wordpress</t>
        </is>
      </c>
      <c r="B2487" t="inlineStr">
        <is>
          <t>WordPress/src/main/java/org/wordpress/android/ui/ShortcutsNavigator.java</t>
        </is>
      </c>
      <c r="C2487">
        <f>HYPERLINK("https://github.com/wordpress-mobile/WordPress-Android/blob/master/WordPress/src/main/java/org/wordpress/android/ui/ShortcutsNavigator.java")</f>
        <v/>
      </c>
      <c r="D2487" t="inlineStr">
        <is>
          <t>The `ShortcutsNavigator` class in the `org.wordpress.android.ui` package handles navigation to target screens based on shortcuts launched by users. It uses dependency injection for its dependencies and includes methods to parse shortcut actions and display appropriate UI elements. The class logs errors using `AppLog` if no valid shortcut can be parsed.</t>
        </is>
      </c>
      <c r="E2487" t="n">
        <v>0.0037</v>
      </c>
      <c r="F2487" t="n">
        <v>0.0328</v>
      </c>
      <c r="G2487" t="n">
        <v>0.082</v>
      </c>
      <c r="H2487" t="inlineStr">
        <is>
          <t>This repository contains backend software components implementing core algorithms. Complexity is O(N), indicating linear time complexity for certain operations. The implementation includes comments explaining key functionalities. Initial codebase was committed to establish the project structure. The total size of the codebase is 1000 lines.</t>
        </is>
      </c>
      <c r="I2487" t="n">
        <v>0.0055</v>
      </c>
      <c r="J2487" t="n">
        <v>0.1887</v>
      </c>
      <c r="K2487" t="n">
        <v>0.1724</v>
      </c>
      <c r="L2487" t="inlineStr">
        <is>
          <t>The `ShortcutsNavigator` class manages navigation for shortcuts launched within the WordPress Android application. It injects dependencies such as `JetpackFeatureRemovalPhaseHelper`. The `showTargetScreen` method parses the shortcut action string, determines the target screen based on the action, and displays the appropriate UI component using the injected activity context and site model.</t>
        </is>
      </c>
      <c r="M2487" t="n">
        <v>0.0037</v>
      </c>
      <c r="N2487" t="n">
        <v>0.0351</v>
      </c>
      <c r="O2487" t="n">
        <v>0.08260000000000001</v>
      </c>
    </row>
    <row r="2488">
      <c r="A2488" t="inlineStr">
        <is>
          <t>wordpress</t>
        </is>
      </c>
      <c r="B2488" t="inlineStr">
        <is>
          <t>WordPress/src/main/java/org/wordpress/android/ui/FullscreenBottomSheetDialogFragment.kt</t>
        </is>
      </c>
      <c r="C2488">
        <f>HYPERLINK("https://github.com/wordpress-mobile/WordPress-Android/blob/master/WordPress/src/main/java/org/wordpress/android/ui/FullscreenBottomSheetDialogFragment.kt")</f>
        <v/>
      </c>
      <c r="D2488" t="inlineStr">
        <is>
          <t>The `FullscreenBottomSheetDialogFragment` is a custom implementation of a bottom sheet dialog fragment in Android that ensures it fills the entire screen when displayed. It extends `BottomSheetDialogFragment`, overriding methods to customize its behavior:
1. **closeModal**: An abstract method that must be implemented by subclasses to handle closing the dialog.
2. **onCancel**: Overrides the default cancel behavior to call `</t>
        </is>
      </c>
      <c r="E2488" t="n">
        <v>0</v>
      </c>
      <c r="F2488" t="n">
        <v>0.0308</v>
      </c>
      <c r="G2488" t="n">
        <v>0.0385</v>
      </c>
      <c r="H2488" t="inlineStr">
        <is>
          <t>The provided code defines a custom `FullscreenBottomSheetDialogFragment` class that extends `BottomSheetDialogFragment`. It is designed to customize bottom sheet dialogs by making them full-screen and allowing dragging. The fragment includes methods to close itself when canceled and sets up the dialog's appearance with specific window flags. This implementation is part of a larger repository containing backend software components.</t>
        </is>
      </c>
      <c r="I2488" t="n">
        <v>0.0042</v>
      </c>
      <c r="J2488" t="n">
        <v>0.0597</v>
      </c>
      <c r="K2488" t="n">
        <v>0.1938</v>
      </c>
      <c r="L2488" t="inlineStr">
        <is>
          <t>This custom `FullscreenBottomSheetDialogFragment` extends `BottomSheetDialogFragment`, providing a full-screen experience by setting the dialog's content view to fill the screen and removing dimming behind the dialog. It includes methods to close the dialog when cancelled and overrides the default behavior to ensure proper cleanup before closing. The implementation is designed to enhance user interface consistency across different parts of the application that require full-screen</t>
        </is>
      </c>
      <c r="M2488" t="n">
        <v>0.0034</v>
      </c>
      <c r="N2488" t="n">
        <v>0.0541</v>
      </c>
      <c r="O2488" t="n">
        <v>0.1481</v>
      </c>
    </row>
    <row r="2489">
      <c r="A2489" t="inlineStr">
        <is>
          <t>wordpress</t>
        </is>
      </c>
      <c r="B2489" t="inlineStr">
        <is>
          <t>WordPress/src/main/java/org/wordpress/android/ui/PreviewModeMenuAdapter.kt</t>
        </is>
      </c>
      <c r="C2489">
        <f>HYPERLINK("https://github.com/wordpress-mobile/WordPress-Android/blob/master/WordPress/src/main/java/org/wordpress/android/ui/PreviewModeMenuAdapter.kt")</f>
        <v/>
      </c>
      <c r="D2489" t="inlineStr">
        <is>
          <t>The `PreviewModeMenuAdapter` class is a custom adapter used to display different preview modes (mobile, tablet, desktop) in a list view within the WordPress Android app. It extends `BaseAdapter`, providing methods for populating and managing the items in the list based on the available preview modes. The adapter uses a layout file (`R.layout.preview_mode_menu_item`) to inflate views for each item</t>
        </is>
      </c>
      <c r="E2489" t="n">
        <v>0.0031</v>
      </c>
      <c r="F2489" t="n">
        <v>0.0282</v>
      </c>
      <c r="G2489" t="n">
        <v>0.0769</v>
      </c>
      <c r="H2489" t="inlineStr">
        <is>
          <t>Manages a list of preview modes for displaying thumbnails in Android applications.</t>
        </is>
      </c>
      <c r="I2489" t="n">
        <v>0</v>
      </c>
      <c r="J2489" t="n">
        <v>0</v>
      </c>
      <c r="K2489" t="n">
        <v>0</v>
      </c>
      <c r="L2489" t="inlineStr">
        <is>
          <t>This class implements an adapter for displaying different preview modes (mobile, tablet, desktop) as thumbnails within a popup menu. It uses Android's `BaseAdapter` to populate a list view with images representing each mode, allowing users to select one by clicking on the corresponding thumbnail. The adapter is initialized with a context and a currently selected preview mode, which determines which item will be highlighted in the list.</t>
        </is>
      </c>
      <c r="M2489" t="n">
        <v>0.0036</v>
      </c>
      <c r="N2489" t="n">
        <v>0.0789</v>
      </c>
      <c r="O2489" t="n">
        <v>0.1439</v>
      </c>
    </row>
    <row r="2490">
      <c r="A2490" t="inlineStr">
        <is>
          <t>wordpress</t>
        </is>
      </c>
      <c r="B2490" t="inlineStr">
        <is>
          <t>WordPress/src/main/java/org/wordpress/android/ui/ListDiffCallback.kt</t>
        </is>
      </c>
      <c r="C2490">
        <f>HYPERLINK("https://github.com/wordpress-mobile/WordPress-Android/blob/master/WordPress/src/main/java/org/wordpress/android/ui/ListDiffCallback.kt")</f>
        <v/>
      </c>
      <c r="D2490" t="inlineStr">
        <is>
          <t>A `ListDiffCallback` class that extends `DiffUtil.Callback`, used to calculate differences between two lists in Android RecyclerViews. It provides methods to determine if items or their contents have changed based on custom comparison functions. The complexity is O(N), where N is the number of elements in the list.</t>
        </is>
      </c>
      <c r="E2490" t="n">
        <v>0</v>
      </c>
      <c r="F2490" t="n">
        <v>0.0351</v>
      </c>
      <c r="G2490" t="n">
        <v>0.042</v>
      </c>
      <c r="H2490" t="inlineStr">
        <is>
          <t>This class implements `DiffUtil.Callback` to compare two lists (`oldList` and `newList`) for changes in their contents using custom comparison functions `areItemsTheSame` and `areContentsTheSame`. It calculates the size of both lists and determines if items at specific positions are equal based on these functions. The complexity is O(N) due to potential comparisons across all elements in the lists</t>
        </is>
      </c>
      <c r="I2490" t="n">
        <v>0.0042</v>
      </c>
      <c r="J2490" t="n">
        <v>0.1194</v>
      </c>
      <c r="K2490" t="n">
        <v>0.155</v>
      </c>
      <c r="L2490" t="inlineStr">
        <is>
          <t>This class implements `DiffUtil.Callback` for comparing two lists (`oldList` and `newList`) based on custom item equality checks defined by `areItemsTheSame` and `areContentsTheSame`. It calculates the difference between these lists efficiently using `DiffUtil`, which is useful for updating UIs when data changes without rebuilding them entirely.</t>
        </is>
      </c>
      <c r="M2490" t="n">
        <v>0.0054</v>
      </c>
      <c r="N2490" t="n">
        <v>0.1111</v>
      </c>
      <c r="O2490" t="n">
        <v>0.1709</v>
      </c>
    </row>
    <row r="2491">
      <c r="A2491" t="inlineStr">
        <is>
          <t>wordpress</t>
        </is>
      </c>
      <c r="B2491" t="inlineStr">
        <is>
          <t>WordPress/src/main/java/org/wordpress/android/ui/ScrollableViewInitializedListener.kt</t>
        </is>
      </c>
      <c r="C2491">
        <f>HYPERLINK("https://github.com/wordpress-mobile/WordPress-Android/blob/master/WordPress/src/main/java/org/wordpress/android/ui/ScrollableViewInitializedListener.kt")</f>
        <v/>
      </c>
      <c r="D2491" t="inlineStr">
        <is>
          <t>The provided code defines an interface `ScrollableViewInitializedListener` with a single method `onScrollableViewInitialized`, which takes an integer parameter `containerId`. This listener is intended to be used in Android applications where scrollable views need to notify listeners when they have been initialized. The complexity of this implementation is O(1) since it involves a simple function call without any loops or recursive operations.</t>
        </is>
      </c>
      <c r="E2491" t="n">
        <v>0.003</v>
      </c>
      <c r="F2491" t="n">
        <v>0.08699999999999999</v>
      </c>
      <c r="G2491" t="n">
        <v>0.1136</v>
      </c>
      <c r="H2491" t="inlineStr">
        <is>
          <t>Interface for listening to when a scrollable view is initialized in Android.</t>
        </is>
      </c>
      <c r="I2491" t="n">
        <v>0</v>
      </c>
      <c r="J2491" t="n">
        <v>0</v>
      </c>
      <c r="K2491" t="n">
        <v>0</v>
      </c>
      <c r="L2491" t="inlineStr">
        <is>
          <t>The `ScrollableViewInitializedListener` interface defines a method that is called when a scrollable view has been initialized. It takes an integer parameter representing the container ID associated with the scrollable view. The primary purpose of this interface is to facilitate communication between different parts of the application when a scrollable view becomes available for use.</t>
        </is>
      </c>
      <c r="M2491" t="n">
        <v>0</v>
      </c>
      <c r="N2491" t="n">
        <v>0.0323</v>
      </c>
      <c r="O2491" t="n">
        <v>0.0794</v>
      </c>
    </row>
    <row r="2492">
      <c r="A2492" t="inlineStr">
        <is>
          <t>wordpress</t>
        </is>
      </c>
      <c r="B2492" t="inlineStr">
        <is>
          <t>WordPress/src/main/java/org/wordpress/android/ui/ActivityNavigator.kt</t>
        </is>
      </c>
      <c r="C2492">
        <f>HYPERLINK("https://github.com/wordpress-mobile/WordPress-Android/blob/master/WordPress/src/main/java/org/wordpress/android/ui/ActivityNavigator.kt")</f>
        <v/>
      </c>
      <c r="D2492" t="inlineStr">
        <is>
          <t>The provided code is part of the WordPress Android app's UI package, specifically handling application password management and Blaze campaign flow. It includes activities for displaying dialogs related to application passwords, reauthentication, and required dialogues. The code also uses custom tabs for web browsing within the app. The complexity is O(N), indicating linear time complexity in relation to input size, though specific details on N are not provided</t>
        </is>
      </c>
      <c r="E2492" t="n">
        <v>0.0027</v>
      </c>
      <c r="F2492" t="n">
        <v>0.0256</v>
      </c>
      <c r="G2492" t="n">
        <v>0.07140000000000001</v>
      </c>
      <c r="H2492" t="inlineStr">
        <is>
          <t>The provided code is part of a WordPress Android application that handles various UI-related functionalities such as launching custom tabs, building task stacks, and managing login flows for application passwords and Blaze campaigns. The complexity is high due to its extensive use of Android APIs and business logic related to user authentication and navigation within the app.</t>
        </is>
      </c>
      <c r="I2492" t="n">
        <v>0.0032</v>
      </c>
      <c r="J2492" t="n">
        <v>0.09089999999999999</v>
      </c>
      <c r="K2492" t="n">
        <v>0.0775</v>
      </c>
      <c r="L2492" t="inlineStr">
        <is>
          <t>The code package `org.wordpress.android.ui` is responsible for handling various UI-related functionalities within the WordPress Android application. It includes methods for launching custom tabs, managing activity stacks, displaying dialogs related to application passwords, initiating Blaze Flow campaigns, and tracking analytics events. The code complexity is moderate (O(N)), with existing comments indicating implementation of core algorithms.</t>
        </is>
      </c>
      <c r="M2492" t="n">
        <v>0.004</v>
      </c>
      <c r="N2492" t="n">
        <v>0.0597</v>
      </c>
      <c r="O2492" t="n">
        <v>0.1587</v>
      </c>
    </row>
    <row r="2493">
      <c r="A2493" t="inlineStr">
        <is>
          <t>wordpress</t>
        </is>
      </c>
      <c r="B2493" t="inlineStr">
        <is>
          <t>WordPress/src/main/java/org/wordpress/android/ui/InterceptingFrameLayout.kt</t>
        </is>
      </c>
      <c r="C2493">
        <f>HYPERLINK("https://github.com/wordpress-mobile/WordPress-Android/blob/master/WordPress/src/main/java/org/wordpress/android/ui/InterceptingFrameLayout.kt")</f>
        <v/>
      </c>
      <c r="D2493" t="inlineStr">
        <is>
          <t>The `InterceptingFrameLayout` class is a custom Android layout that intercepts all touch events to prevent them from being passed down to its child views. This is useful for scenarios where you want to handle touch interactions at the top level of the layout without allowing any nested views to receive them. The class extends `FrameLayout`, which means it can contain other views as children. By overriding the</t>
        </is>
      </c>
      <c r="E2493" t="n">
        <v>0.0027</v>
      </c>
      <c r="F2493" t="n">
        <v>0.0267</v>
      </c>
      <c r="G2493" t="n">
        <v>0.07190000000000001</v>
      </c>
      <c r="H2493" t="inlineStr">
        <is>
          <t>This repository contains backend software components implementing core algorithms.</t>
        </is>
      </c>
      <c r="I2493" t="n">
        <v>0.0316</v>
      </c>
      <c r="J2493" t="n">
        <v>0.4706</v>
      </c>
      <c r="K2493" t="n">
        <v>0.3897</v>
      </c>
      <c r="L2493" t="inlineStr">
        <is>
          <t>This class extends `FrameLayout` and overrides the `onInterceptTouchEvent` method to intercept all touch events, effectively preventing any child views from receiving them. The primary purpose is to handle touch events at the top level of the layout, which can be useful for implementing custom gesture handling or avoiding conflicts between parent and child view interactions.</t>
        </is>
      </c>
      <c r="M2493" t="n">
        <v>0.004</v>
      </c>
      <c r="N2493" t="n">
        <v>0.09520000000000001</v>
      </c>
      <c r="O2493" t="n">
        <v>0.1969</v>
      </c>
    </row>
    <row r="2494">
      <c r="A2494" t="inlineStr">
        <is>
          <t>wordpress</t>
        </is>
      </c>
      <c r="B2494" t="inlineStr">
        <is>
          <t>WordPress/src/main/java/org/wordpress/android/ui/WPWebViewActivity.java</t>
        </is>
      </c>
      <c r="C2494">
        <f>HYPERLINK("https://github.com/wordpress-mobile/WordPress-Android/blob/master/WordPress/src/main/java/org/wordpress/android/ui/WPWebViewActivity.java")</f>
        <v/>
      </c>
      <c r="D2494" t="inlineStr">
        <is>
          <t>The provided code is part of a WordPress Android application that handles web content display within an activity. It includes features such as displaying a WebView to load web pages, handling back button presses, managing cookies, and providing a toolbar for navigation. The code uses Android's lifecycle management with ViewModelProvider and implements basic UI elements like progress bars and text views.</t>
        </is>
      </c>
      <c r="E2494" t="n">
        <v>0.0036</v>
      </c>
      <c r="F2494" t="n">
        <v>0.0571</v>
      </c>
      <c r="G2494" t="n">
        <v>0.1128</v>
      </c>
      <c r="H2494" t="inlineStr">
        <is>
          <t>This repository contains backend software components implementing core algorithms. The complexity is O(N), indicating linear time complexity for certain operations. The code size is 1000 lines, which suggests it includes multiple modules or classes with various functionalities.</t>
        </is>
      </c>
      <c r="I2494" t="n">
        <v>0.0066</v>
      </c>
      <c r="J2494" t="n">
        <v>0.2174</v>
      </c>
      <c r="K2494" t="n">
        <v>0.3413</v>
      </c>
      <c r="L2494" t="inlineStr">
        <is>
          <t>This Android activity manages web content within a WebView, handling navigation, progress updates, and back button interactions. It uses ViewModel for data management and implements custom WebViewClient for URL loading and cookie management. The UI includes a Toolbar, ProgressBar, and TextView for displaying error messages.</t>
        </is>
      </c>
      <c r="M2494" t="n">
        <v>0.0054</v>
      </c>
      <c r="N2494" t="n">
        <v>0.1132</v>
      </c>
      <c r="O2494" t="n">
        <v>0.1709</v>
      </c>
    </row>
    <row r="2495">
      <c r="A2495" t="inlineStr">
        <is>
          <t>wordpress</t>
        </is>
      </c>
      <c r="B2495" t="inlineStr">
        <is>
          <t>WordPress/src/main/java/org/wordpress/android/ui/ActivityLauncher.java</t>
        </is>
      </c>
      <c r="C2495">
        <f>HYPERLINK("https://github.com/wordpress-mobile/WordPress-Android/blob/master/WordPress/src/main/java/org/wordpress/android/ui/ActivityLauncher.java")</f>
        <v/>
      </c>
      <c r="D2495" t="inlineStr">
        <is>
          <t>The provided code is part of the WordPress Android application, specifically within the `org.wordpress.android.ui` package. It includes methods for handling intents, managing pending intents, and interacting with reader posts in the app's database. The code also involves analytics tracking using the `AnalyticsTracker` class and uses the FluxC library to manage data models such as `SiteModel`, `PostModel`, and `Post</t>
        </is>
      </c>
      <c r="E2495" t="n">
        <v>0.0031</v>
      </c>
      <c r="F2495" t="n">
        <v>0.0286</v>
      </c>
      <c r="G2495" t="n">
        <v>0.0769</v>
      </c>
      <c r="H2495" t="inlineStr">
        <is>
          <t>This repository contains backend software components implementing core algorithms. Complexity is O(N), indicating linear time complexity in relation to input size. The README provides details on the implementation of these algorithms, including their purpose and usage within the system.</t>
        </is>
      </c>
      <c r="I2495" t="n">
        <v>0.0067</v>
      </c>
      <c r="J2495" t="n">
        <v>0.2083</v>
      </c>
      <c r="K2495" t="n">
        <v>0.2252</v>
      </c>
      <c r="L2495" t="inlineStr">
        <is>
          <t>This Android package contains backend software components for WordPress applications, focusing on handling reader posts and analytics tracking. The code is designed to manage post data from Reader tables using FluxC models and track various analytics events related to blogging prompts. It includes methods for launching activities and building task stacks, as well as parsing URLs and resolving intents.</t>
        </is>
      </c>
      <c r="M2495" t="n">
        <v>0.0041</v>
      </c>
      <c r="N2495" t="n">
        <v>0.0896</v>
      </c>
      <c r="O2495" t="n">
        <v>0.1527</v>
      </c>
    </row>
    <row r="2496">
      <c r="A2496" t="inlineStr">
        <is>
          <t>wordpress</t>
        </is>
      </c>
      <c r="B2496" t="inlineStr">
        <is>
          <t>WordPress/src/main/java/org/wordpress/android/ui/JetpackConnectionResultActivity.java</t>
        </is>
      </c>
      <c r="C2496">
        <f>HYPERLINK("https://github.com/wordpress-mobile/WordPress-Android/blob/master/WordPress/src/main/java/org/wordpress/android/ui/JetpackConnectionResultActivity.java")</f>
        <v/>
      </c>
      <c r="D2496" t="inlineStr">
        <is>
          <t>The provided code is part of the WordPress Android app's UI package. It handles various functionalities such as setting up the toolbar for navigation, managing site actions using FluxC (a state management library), handling back button presses, and launching login flows based on certain conditions. The code uses annotations like `@Nullable` to indicate optional parameters in method signatures.</t>
        </is>
      </c>
      <c r="E2496" t="n">
        <v>0.0031</v>
      </c>
      <c r="F2496" t="n">
        <v>0.0597</v>
      </c>
      <c r="G2496" t="n">
        <v>0.0769</v>
      </c>
      <c r="H2496" t="inlineStr">
        <is>
          <t>Manages backend software components with core algorithm implementations. Complexity is O(N).</t>
        </is>
      </c>
      <c r="I2496" t="n">
        <v>0.0224</v>
      </c>
      <c r="J2496" t="n">
        <v>0.2</v>
      </c>
      <c r="K2496" t="n">
        <v>0.1205</v>
      </c>
      <c r="L2496" t="inlineStr">
        <is>
          <t>This Android application component handles site management within WordPress for Android users. It includes functionalities such as navigating back from the activity stack using `OnBackPressedCallback`, displaying a toolbar with navigation options, managing site actions like logging out and refreshing stats, and handling login flows if necessary. The code is structured to be modular and adheres to best practices for readability and maintainability.</t>
        </is>
      </c>
      <c r="M2496" t="n">
        <v>0.0035</v>
      </c>
      <c r="N2496" t="n">
        <v>0.0857</v>
      </c>
      <c r="O2496" t="n">
        <v>0.1119</v>
      </c>
    </row>
    <row r="2497">
      <c r="A2497" t="inlineStr">
        <is>
          <t>wordpress</t>
        </is>
      </c>
      <c r="B2497" t="inlineStr">
        <is>
          <t>WordPress/src/main/java/org/wordpress/android/ui/WPWebViewMenuUiState.kt</t>
        </is>
      </c>
      <c r="C2497">
        <f>HYPERLINK("https://github.com/wordpress-mobile/WordPress-Android/blob/master/WordPress/src/main/java/org/wordpress/android/ui/WPWebViewMenuUiState.kt")</f>
        <v/>
      </c>
      <c r="D2497" t="inlineStr">
        <is>
          <t>The `WPWebViewMenuUiState` data class models the user interface state for the menu in the `WPWebViewActivity`. It includes properties for visibility and show-as-action settings for various menus such as browser, share, and refresh. The complexity is O(1) since it represents fixed-size boolean values.</t>
        </is>
      </c>
      <c r="E2497" t="n">
        <v>0.0044</v>
      </c>
      <c r="F2497" t="n">
        <v>0.037</v>
      </c>
      <c r="G2497" t="n">
        <v>0.0439</v>
      </c>
      <c r="H2497" t="inlineStr">
        <is>
          <t>Models the UI state for the menu in the WPWebViewActivity with various visibility options for different menus.</t>
        </is>
      </c>
      <c r="I2497" t="n">
        <v>0</v>
      </c>
      <c r="J2497" t="n">
        <v>0</v>
      </c>
      <c r="K2497" t="n">
        <v>0</v>
      </c>
      <c r="L2497" t="inlineStr">
        <is>
          <t>This data class represents the user interface state for the menu in the `WPWebViewActivity`. It includes properties for visibility and action mode settings for various menus such as the browser menu, share menu, and refresh menu. The class uses Kotlin's data class syntax, which automatically generates equals, hashCode, toString methods, and provides a primary constructor.</t>
        </is>
      </c>
      <c r="M2497" t="n">
        <v>0.004</v>
      </c>
      <c r="N2497" t="n">
        <v>0.0625</v>
      </c>
      <c r="O2497" t="n">
        <v>0.1181</v>
      </c>
    </row>
    <row r="2498">
      <c r="A2498" t="inlineStr">
        <is>
          <t>wordpress</t>
        </is>
      </c>
      <c r="B2498" t="inlineStr">
        <is>
          <t>WordPress/src/main/java/org/wordpress/android/ui/AddQuickPressShortcutActivity.java</t>
        </is>
      </c>
      <c r="C2498">
        <f>HYPERLINK("https://github.com/wordpress-mobile/WordPress-Android/blob/master/WordPress/src/main/java/org/wordpress/android/ui/AddQuickPressShortcutActivity.java")</f>
        <v/>
      </c>
      <c r="D2498" t="inlineStr">
        <is>
          <t>The provided code is part of an Android application that manages shortcuts for WordPress posts or pages. It includes:
- A `BaseAdapter` to display a list of posts or pages.
- An `OnItemClickListener` to handle item clicks in the list.
- An `AlertDialog.Builder` to prompt user confirmation before deleting a shortcut.
- Methods to add new shortcuts using `ShortcutManagerCompat`.
- Support for</t>
        </is>
      </c>
      <c r="E2498" t="n">
        <v>0</v>
      </c>
      <c r="F2498" t="n">
        <v>0</v>
      </c>
      <c r="G2498" t="n">
        <v>0.0373</v>
      </c>
      <c r="H2498" t="inlineStr">
        <is>
          <t>Manages Android UI elements for displaying and interacting with lists in a WordPress application. Uses Volley for network requests and Material Design components. Complexity is high due to handling multiple views and interactions.</t>
        </is>
      </c>
      <c r="I2498" t="n">
        <v>0.0056</v>
      </c>
      <c r="J2498" t="n">
        <v>0.0488</v>
      </c>
      <c r="K2498" t="n">
        <v>0.09520000000000001</v>
      </c>
      <c r="L2498" t="inlineStr">
        <is>
          <t>This Android fragment displays a list of items using a `ListView`. It includes features such as item selection handling, context menu for deleting items, and shortcut creation through the system's Shortcut Manager. The fragment uses Volley for network image loading and Material Design components for UI elements like dialogs and toolbars.</t>
        </is>
      </c>
      <c r="M2498" t="n">
        <v>0.0043</v>
      </c>
      <c r="N2498" t="n">
        <v>0.0667</v>
      </c>
      <c r="O2498" t="n">
        <v>0.122</v>
      </c>
    </row>
    <row r="2499">
      <c r="A2499" t="inlineStr">
        <is>
          <t>wordpress</t>
        </is>
      </c>
      <c r="B2499" t="inlineStr">
        <is>
          <t>WordPress/src/main/java/org/wordpress/android/ui/FullScreenDialogFragment.java</t>
        </is>
      </c>
      <c r="C2499">
        <f>HYPERLINK("https://github.com/wordpress-mobile/WordPress-Android/blob/master/WordPress/src/main/java/org/wordpress/android/ui/FullScreenDialogFragment.java")</f>
        <v/>
      </c>
      <c r="D2499" t="inlineStr">
        <is>
          <t>The provided code is part of an Android application's UI package (`org.wordpress.android.ui`). It defines a custom dialog fragment class called `CustomAlertDialog`. This dialog fragment extends `ComponentDialog` and provides methods to set various properties such as title, message, icon, color resources, style resource, menu items, and back button behavior. The class includes annotations for accessibility and lifecycle management, making it suitable</t>
        </is>
      </c>
      <c r="E2499" t="n">
        <v>0.0036</v>
      </c>
      <c r="F2499" t="n">
        <v>0.0556</v>
      </c>
      <c r="G2499" t="n">
        <v>0.1136</v>
      </c>
      <c r="H2499" t="inlineStr">
        <is>
          <t>This repository contains backend software components implementing core algorithms. Complexity is O(N), with comments indicating implementation details. The initial codebase was committed. The total size of the codebase is 1000 lines.</t>
        </is>
      </c>
      <c r="I2499" t="n">
        <v>0.007900000000000001</v>
      </c>
      <c r="J2499" t="n">
        <v>0.2</v>
      </c>
      <c r="K2499" t="n">
        <v>0.1942</v>
      </c>
      <c r="L2499" t="inlineStr">
        <is>
          <t>The provided code is a custom dialog fragment for Android that extends `ComponentDialog`. It includes methods for setting up the dialog's appearance, handling menu items, and managing back button presses. The class uses various annotations and resources to customize the dialog's UI elements such as title, icon, and colors. The code is designed to be used within an activity context and provides flexibility through customizable styles and color resources</t>
        </is>
      </c>
      <c r="M2499" t="n">
        <v>0.0026</v>
      </c>
      <c r="N2499" t="n">
        <v>0.0253</v>
      </c>
      <c r="O2499" t="n">
        <v>0.0709</v>
      </c>
    </row>
    <row r="2500">
      <c r="A2500" t="inlineStr">
        <is>
          <t>wordpress</t>
        </is>
      </c>
      <c r="B2500" t="inlineStr">
        <is>
          <t>WordPress/src/main/java/org/wordpress/android/ui/FilteredRecyclerView.java</t>
        </is>
      </c>
      <c r="C2500">
        <f>HYPERLINK("https://github.com/wordpress-mobile/WordPress-Android/blob/master/WordPress/src/main/java/org/wordpress/android/ui/FilteredRecyclerView.java")</f>
        <v/>
      </c>
      <c r="D2500" t="inlineStr">
        <is>
          <t>The provided code is part of a package in the `org.wordpress.android.ui` namespace, which likely contains UI-related classes for a WordPress Android application. The main functionalities include:
- **Toolbar**: Manages the top toolbar with options like navigation buttons and title.
- **AppBarLayout**: Provides a flexible layout that can expand or collapse based on scroll events.
- **RecyclerView**: A view group used to</t>
        </is>
      </c>
      <c r="E2500" t="n">
        <v>0.003</v>
      </c>
      <c r="F2500" t="n">
        <v>0.0571</v>
      </c>
      <c r="G2500" t="n">
        <v>0.0752</v>
      </c>
      <c r="H2500" t="inlineStr">
        <is>
          <t>Manages UI elements for a WordPress Android app, including toolbar, spinner, progress bar, and RecyclerView. Complexity is high due to extensive use of layout management and data binding.</t>
        </is>
      </c>
      <c r="I2500" t="n">
        <v>0.0067</v>
      </c>
      <c r="J2500" t="n">
        <v>0.0556</v>
      </c>
      <c r="K2500" t="n">
        <v>0.1</v>
      </c>
      <c r="L2500" t="inlineStr">
        <is>
          <t>This Android UI component is a custom toolbar that includes a spinner for selecting items from a menu, a progress bar, and text views for displaying titles and descriptions. It uses RecyclerViews for dynamic content display and supports customization through attributes such as background drawable, title, description, and item selection listener. The component integrates seamlessly into a larger app architecture by leveraging Material Design elements and supporting various layout configurations.</t>
        </is>
      </c>
      <c r="M2500" t="n">
        <v>0.0031</v>
      </c>
      <c r="N2500" t="n">
        <v>0.0513</v>
      </c>
      <c r="O2500" t="n">
        <v>0.1056</v>
      </c>
    </row>
    <row r="2501">
      <c r="A2501" t="inlineStr">
        <is>
          <t>wordpress</t>
        </is>
      </c>
      <c r="B2501" t="inlineStr">
        <is>
          <t>WordPress/src/main/java/org/wordpress/android/ui/EmptyViewMessageType.java</t>
        </is>
      </c>
      <c r="C2501">
        <f>HYPERLINK("https://github.com/wordpress-mobile/WordPress-Android/blob/master/WordPress/src/main/java/org/wordpress/android/ui/EmptyViewMessageType.java")</f>
        <v/>
      </c>
      <c r="D2501" t="inlineStr">
        <is>
          <t>The code defines an `enum` called `EmptyViewMessageType` with five possible message types: `LOADING`, `NO_CONTENT`, `NETWORK_ERROR`, `PERMISSION_ERROR`, and `GENERIC_ERROR`. It also includes a method `getEnumFromString` that takes a string input and returns the corresponding `EmptyViewMessageType` enum constant. If no match is found, it defaults to `NO</t>
        </is>
      </c>
      <c r="E2501" t="n">
        <v>0.0041</v>
      </c>
      <c r="F2501" t="n">
        <v>0.0351</v>
      </c>
      <c r="G2501" t="n">
        <v>0.0427</v>
      </c>
      <c r="H2501" t="inlineStr">
        <is>
          <t>Provides an enumeration of empty view message types with a method to retrieve the corresponding type from a string representation. Complexity is O(N), as it iterates over all possible values in the enumeration.</t>
        </is>
      </c>
      <c r="I2501" t="n">
        <v>0</v>
      </c>
      <c r="J2501" t="n">
        <v>0</v>
      </c>
      <c r="K2501" t="n">
        <v>0</v>
      </c>
      <c r="L2501" t="inlineStr">
        <is>
          <t>The `EmptyViewMessageType` enum defines various types of messages that can be displayed when there is no content available in an empty view. The `getEnumFromString` method converts a string representation of a message type into its corresponding enum constant. If the input string doesn't match any known type, it defaults to returning `NO_CONTENT`.</t>
        </is>
      </c>
      <c r="M2501" t="n">
        <v>0</v>
      </c>
      <c r="N2501" t="n">
        <v>0</v>
      </c>
      <c r="O2501" t="n">
        <v>0</v>
      </c>
    </row>
    <row r="2502">
      <c r="A2502" t="inlineStr">
        <is>
          <t>wordpress</t>
        </is>
      </c>
      <c r="B2502" t="inlineStr">
        <is>
          <t>WordPress/src/main/java/org/wordpress/android/ui/ShareIntentReceiverFragment.java</t>
        </is>
      </c>
      <c r="C2502">
        <f>HYPERLINK("https://github.com/wordpress-mobile/WordPress-Android/blob/master/WordPress/src/main/java/org/wordpress/android/ui/ShareIntentReceiverFragment.java")</f>
        <v/>
      </c>
      <c r="D2502" t="inlineStr">
        <is>
          <t>The provided Java code is part of an Android application that manages site selection for WordPress users. It includes:
- A `Fragment` named `Shar`, which likely handles UI interactions related to selecting sites.
- An adapter (`SitePickerAdapter`) used in a `RecyclerView` to display a list of available sites.
- The adapter uses a `ViewHolderHandler` to handle view binding and click events on each</t>
        </is>
      </c>
      <c r="E2502" t="n">
        <v>0.0029</v>
      </c>
      <c r="F2502" t="n">
        <v>0.0294</v>
      </c>
      <c r="G2502" t="n">
        <v>0.0741</v>
      </c>
      <c r="H2502" t="inlineStr">
        <is>
          <t>Manages site picker functionality in WordPress Android app.</t>
        </is>
      </c>
      <c r="I2502" t="n">
        <v>0.0278</v>
      </c>
      <c r="J2502" t="n">
        <v>0.125</v>
      </c>
      <c r="K2502" t="n">
        <v>0.0625</v>
      </c>
      <c r="L2502" t="inlineStr">
        <is>
          <t>This fragment is part of the WordPress Android app's UI layer, responsible for displaying a list of sites associated with the user's account. It uses a RecyclerView to render a grid of site records, each containing details such as the site name and logo. The fragment handles navigation when a site item is clicked by launching a new activity (`SiteDetailActivity`). The `AccountStore` is used to fetch the</t>
        </is>
      </c>
      <c r="M2502" t="n">
        <v>0.0032</v>
      </c>
      <c r="N2502" t="n">
        <v>0.0519</v>
      </c>
      <c r="O2502" t="n">
        <v>0.1079</v>
      </c>
    </row>
    <row r="2503">
      <c r="A2503" t="inlineStr">
        <is>
          <t>wordpress</t>
        </is>
      </c>
      <c r="B2503" t="inlineStr">
        <is>
          <t>WordPress/src/main/java/org/wordpress/android/ui/PreviewMode.kt</t>
        </is>
      </c>
      <c r="C2503">
        <f>HYPERLINK("https://github.com/wordpress-mobile/WordPress-Android/blob/master/WordPress/src/main/java/org/wordpress/android/ui/PreviewMode.kt")</f>
        <v/>
      </c>
      <c r="D2503" t="inlineStr">
        <is>
          <t>The code defines an enum `PreviewMode` with three values representing different preview or thumbnail sizes ("mobile", "tablet", and "desktop") along with their corresponding widths. It also includes an interface `PreviewModeHandler` that requires implementations to provide methods for retrieving the currently selected preview mode and notifying about changes in the preview mode. The README file indicates this is part of a larger repository containing backend software</t>
        </is>
      </c>
      <c r="E2503" t="n">
        <v>0.0033</v>
      </c>
      <c r="F2503" t="n">
        <v>0.0548</v>
      </c>
      <c r="G2503" t="n">
        <v>0.1825</v>
      </c>
      <c r="H2503" t="inlineStr">
        <is>
          <t>The code defines an enum `PreviewMode` with three values representing different preview modes ("mobile," "tablet," "desktop") along with their respective rendering widths. It also includes an interface `PreviewModeHandler` that provides methods to get the currently selected preview mode and handle changes in the preview mode. The README describes this as part of a larger backend software component repository, indicating it involves implementing core algorithms</t>
        </is>
      </c>
      <c r="I2503" t="n">
        <v>0.0037</v>
      </c>
      <c r="J2503" t="n">
        <v>0.1111</v>
      </c>
      <c r="K2503" t="n">
        <v>0.3135</v>
      </c>
      <c r="L2503" t="inlineStr">
        <is>
          <t>The `PreviewMode` enum defines three predefined preview modes ("mobile," "tablet," and "desktop") with associated keys and widths for rendering previews. The `PreviewModeHandler` interface outlines methods for retrieving the currently selected preview mode and notifying listeners when the mode changes.</t>
        </is>
      </c>
      <c r="M2503" t="n">
        <v>0.0047</v>
      </c>
      <c r="N2503" t="n">
        <v>0.0426</v>
      </c>
      <c r="O2503" t="n">
        <v>0.045</v>
      </c>
    </row>
    <row r="2504">
      <c r="A2504" t="inlineStr">
        <is>
          <t>wordpress</t>
        </is>
      </c>
      <c r="B2504" t="inlineStr">
        <is>
          <t>WordPress/src/main/java/org/wordpress/android/ui/postsrs/PostRsListActivity.kt</t>
        </is>
      </c>
      <c r="C2504">
        <f>HYPERLINK("https://github.com/wordpress-mobile/WordPress-Android/blob/master/WordPress/src/main/java/org/wordpress/android/ui/postsrs/PostRsListActivity.kt")</f>
        <v/>
      </c>
      <c r="D2504" t="inlineStr">
        <is>
          <t>The provided code is part of a WordPress Android application that handles post creation in the Reader app. It uses Jetpack Compose for UI rendering and Hilt for dependency injection. The `MainActivity` class extends `BaseAppCompatActivity` and manages the lifecycle of the activity using LiveData and ViewModel. It also includes a navigation graph with screens such as `PostRsListScreen`. The code imports necessary classes from</t>
        </is>
      </c>
      <c r="E2504" t="n">
        <v>0.0029</v>
      </c>
      <c r="F2504" t="n">
        <v>0.0282</v>
      </c>
      <c r="G2504" t="n">
        <v>0.0741</v>
      </c>
      <c r="H2504" t="inlineStr">
        <is>
          <t>This repository contains backend software components that implement core algorithms. The complexity is O(N), indicating linear time complexity in relation to input size.</t>
        </is>
      </c>
      <c r="I2504" t="n">
        <v>0.0109</v>
      </c>
      <c r="J2504" t="n">
        <v>0.25</v>
      </c>
      <c r="K2504" t="n">
        <v>0.3322</v>
      </c>
      <c r="L2504" t="inlineStr">
        <is>
          <t>This Android application component is a `BaseAppCompatActivity` that manages the lifecycle of a post creation screen for WordPress. It uses Hilt dependency injection and Compose for UI rendering. The activity handles navigation between different screens related to post creation, including listing posts, selecting sources, and viewing reader content. The `MainActivityViewModel` is used to manage state and data flows.</t>
        </is>
      </c>
      <c r="M2504" t="n">
        <v>0.0037</v>
      </c>
      <c r="N2504" t="n">
        <v>0.0606</v>
      </c>
      <c r="O2504" t="n">
        <v>0.1154</v>
      </c>
    </row>
    <row r="2505">
      <c r="A2505" t="inlineStr">
        <is>
          <t>wordpress</t>
        </is>
      </c>
      <c r="B2505" t="inlineStr">
        <is>
          <t>WordPress/src/main/java/org/wordpress/android/ui/postsrs/PostRsErrorUtils.kt</t>
        </is>
      </c>
      <c r="C2505">
        <f>HYPERLINK("https://github.com/wordpress-mobile/WordPress-Android/blob/master/WordPress/src/main/java/org/wordpress/android/ui/postsrs/PostRsErrorUtils.kt")</f>
        <v/>
      </c>
      <c r="D2505" t="inlineStr">
        <is>
          <t>The `PostRsErrorUtils` class provides shared error handling utilities for the RS post screens in the WordPress Android application. It includes methods to extract the underlying `WpApiException` from a `FetchException.Api` wrapper and determine if an exception represents an authentication failure. The complexity of this utility is O(1) due to its straightforward logic.</t>
        </is>
      </c>
      <c r="E2505" t="n">
        <v>0.0043</v>
      </c>
      <c r="F2505" t="n">
        <v>0.06560000000000001</v>
      </c>
      <c r="G2505" t="n">
        <v>0.122</v>
      </c>
      <c r="H2505" t="inlineStr">
        <is>
          <t>The repository contains backend software components implementing core algorithms with a complexity of \(O(N)\). The README provides information about the project's structure and includes comments explaining the implementation details.</t>
        </is>
      </c>
      <c r="I2505" t="n">
        <v>0.008500000000000001</v>
      </c>
      <c r="J2505" t="n">
        <v>0.2051</v>
      </c>
      <c r="K2505" t="n">
        <v>0.198</v>
      </c>
      <c r="L2505" t="inlineStr">
        <is>
          <t>The `PostRsErrorUtils` class provides shared error handling utilities for the RS post screens in the WordPress Android application. It includes methods to extract the underlying `WpApiException` from a `FetchException.Api`, determine if an exception represents an authentication failure, and handle various network-related errors using `NetworkUtilsWrapper`. The class helps manage different types of exceptions that occur during API requests related to</t>
        </is>
      </c>
      <c r="M2505" t="n">
        <v>0.0031</v>
      </c>
      <c r="N2505" t="n">
        <v>0.029</v>
      </c>
      <c r="O2505" t="n">
        <v>0.07630000000000001</v>
      </c>
    </row>
    <row r="2506">
      <c r="A2506" t="inlineStr">
        <is>
          <t>wordpress</t>
        </is>
      </c>
      <c r="B2506" t="inlineStr">
        <is>
          <t>WordPress/src/main/java/org/wordpress/android/ui/postsrs/UriToFileMapper.kt</t>
        </is>
      </c>
      <c r="C2506">
        <f>HYPERLINK("https://github.com/wordpress-mobile/WordPress-Android/blob/master/WordPress/src/main/java/org/wordpress/android/ui/postsrs/UriToFileMapper.kt")</f>
        <v/>
      </c>
      <c r="D2506" t="inlineStr">
        <is>
          <t>The `UriToFileMapper` class in the `org.wordpress.android.ui.postsrs` package provides functionality to convert a URI representing a file into a temporary local file on the device's cache directory. It uses Android's content resolver to open the input stream from the given URI, determines the MIME type to infer the appropriate extension for the file, creates a new temporary file with that extension in the application's</t>
        </is>
      </c>
      <c r="E2506" t="n">
        <v>0.0029</v>
      </c>
      <c r="F2506" t="n">
        <v>0.0256</v>
      </c>
      <c r="G2506" t="n">
        <v>0.037</v>
      </c>
      <c r="H2506" t="inlineStr">
        <is>
          <t>The code provides a utility class `UriToFileMapper` that maps URIs to temporary files on disk using Android's content resolver. It handles file type detection based on MIME types and saves the file in the application's cache directory. The method uses Java Streams for efficient handling of input streams.</t>
        </is>
      </c>
      <c r="I2506" t="n">
        <v>0.0038</v>
      </c>
      <c r="J2506" t="n">
        <v>0.0345</v>
      </c>
      <c r="K2506" t="n">
        <v>0.0833</v>
      </c>
      <c r="L2506" t="inlineStr">
        <is>
          <t>The `UriToFileMapper` class provides functionality to convert a content URI into a temporary file for use as a featured image. It uses Dagger Hilt for dependency injection to access the application context. The method `copyUriToTempFile` takes a content URI, determines the MIME type, extracts the extension from the MIME type (or defaults to `.jpg`), creates a temporary file in the cache</t>
        </is>
      </c>
      <c r="M2506" t="n">
        <v>0.003</v>
      </c>
      <c r="N2506" t="n">
        <v>0.029</v>
      </c>
      <c r="O2506" t="n">
        <v>0.0376</v>
      </c>
    </row>
    <row r="2507">
      <c r="A2507" t="inlineStr">
        <is>
          <t>wordpress</t>
        </is>
      </c>
      <c r="B2507" t="inlineStr">
        <is>
          <t>WordPress/src/main/java/org/wordpress/android/ui/postsrs/PostRsSettingsUiState.kt</t>
        </is>
      </c>
      <c r="C2507">
        <f>HYPERLINK("https://github.com/wordpress-mobile/WordPress-Android/blob/master/WordPress/src/main/java/org/wordpress/android/ui/postsrs/PostRsSettingsUiState.kt")</f>
        <v/>
      </c>
      <c r="D2507" t="inlineStr">
        <is>
          <t>The provided code defines a `PostRsSettingsUiState` data class that represents the UI state for managing settings related to posts in WordPress Android app. It includes fields such as loading states, errors, post details like title and publication date, author information, and search functionalities. The `FieldState` sealed interface manages different states of text fields (empty, loading, loaded, or with an error).</t>
        </is>
      </c>
      <c r="E2507" t="n">
        <v>0.003</v>
      </c>
      <c r="F2507" t="n">
        <v>0.0294</v>
      </c>
      <c r="G2507" t="n">
        <v>0.0379</v>
      </c>
      <c r="H2507" t="inlineStr">
        <is>
          <t>This repository contains backend software components implementing core algorithms for managing posts and authors in WordPress Android applications. The complexity is O(N), indicating linear time complexity with respect to input size.</t>
        </is>
      </c>
      <c r="I2507" t="n">
        <v>0.008500000000000001</v>
      </c>
      <c r="J2507" t="n">
        <v>0.25</v>
      </c>
      <c r="K2507" t="n">
        <v>0.3612</v>
      </c>
      <c r="L2507" t="inlineStr">
        <is>
          <t>This Java package `org.wordpress.android.ui.postsrs` provides UI state management for WordPress posts using REST client functionalities from `PostRsRestClient`. It includes fields such as loading states, errors, post details like title and date, and lists of authors. The `FieldState` sealed interface manages different states (empty, loading, loaded, error). The `PostRsSettingsUiState` class encaps</t>
        </is>
      </c>
      <c r="M2507" t="n">
        <v>0.0044</v>
      </c>
      <c r="N2507" t="n">
        <v>0.0968</v>
      </c>
      <c r="O2507" t="n">
        <v>0.123</v>
      </c>
    </row>
    <row r="2508">
      <c r="A2508" t="inlineStr">
        <is>
          <t>wordpress</t>
        </is>
      </c>
      <c r="B2508" t="inlineStr">
        <is>
          <t>WordPress/src/main/java/org/wordpress/android/ui/postsrs/PostRsDateFormatter.kt</t>
        </is>
      </c>
      <c r="C2508">
        <f>HYPERLINK("https://github.com/wordpress-mobile/WordPress-Android/blob/master/WordPress/src/main/java/org/wordpress/android/ui/postsrs/PostRsDateFormatter.kt")</f>
        <v/>
      </c>
      <c r="D2508" t="inlineStr">
        <is>
          <t>The `PostRsDateFormatter` class provides methods to format post dates from the WordPress-RS API for display in a post list. It handles different date formats based on whether the post is scheduled or recent:
- **Scheduled posts**: Displays an abbreviated absolute date.
- **Posts within the last year**: Shows relative time (e.g., "2 hours ago").
- **Older posts**: Displays</t>
        </is>
      </c>
      <c r="E2508" t="n">
        <v>0</v>
      </c>
      <c r="F2508" t="n">
        <v>0</v>
      </c>
      <c r="G2508" t="n">
        <v>0</v>
      </c>
      <c r="H2508" t="inlineStr">
        <is>
          <t>This repository contains backend software components that implement core algorithms. The complexity is O(N), indicating linear time complexity with respect to input size.</t>
        </is>
      </c>
      <c r="I2508" t="n">
        <v>0.0109</v>
      </c>
      <c r="J2508" t="n">
        <v>0.25</v>
      </c>
      <c r="K2508" t="n">
        <v>0.3322</v>
      </c>
      <c r="L2508" t="inlineStr">
        <is>
          <t>The `PostRsDateFormatter` class formats post dates from the WordPress-RS API for display in the post list. It uses different date formats based on whether the post is scheduled, recent (less than one year), or older. The function handles these cases by comparing the current time with the post's GMT timestamp and applying appropriate date formatting.</t>
        </is>
      </c>
      <c r="M2508" t="n">
        <v>0.0033</v>
      </c>
      <c r="N2508" t="n">
        <v>0.0615</v>
      </c>
      <c r="O2508" t="n">
        <v>0.07870000000000001</v>
      </c>
    </row>
    <row r="2509">
      <c r="A2509" t="inlineStr">
        <is>
          <t>wordpress</t>
        </is>
      </c>
      <c r="B2509" t="inlineStr">
        <is>
          <t>WordPress/src/main/java/org/wordpress/android/ui/postsrs/PostRsListTab.kt</t>
        </is>
      </c>
      <c r="C2509">
        <f>HYPERLINK("https://github.com/wordpress-mobile/WordPress-Android/blob/master/WordPress/src/main/java/org/wordpress/android/ui/postsrs/PostRsListTab.kt")</f>
        <v/>
      </c>
      <c r="D2509" t="inlineStr">
        <is>
          <t>The provided code defines an enumeration `PostRsListTab` in the package `org.wordpress.android.ui.postsrs`. This enum represents different tabs for displaying posts on a WordPress site's dashboard, each with its own label, empty message, post statuses, and sorting order. The enum includes three instances:
- **PUBLISHED**: Displays published and private posts.
- **DRAFTS**: Displays draft</t>
        </is>
      </c>
      <c r="E2509" t="n">
        <v>0.0042</v>
      </c>
      <c r="F2509" t="n">
        <v>0.0635</v>
      </c>
      <c r="G2509" t="n">
        <v>0.0806</v>
      </c>
      <c r="H2509" t="inlineStr">
        <is>
          <t>Manages different post list tabs with labels, empty messages, status filters, and sorting orders for WordPress posts.</t>
        </is>
      </c>
      <c r="I2509" t="n">
        <v>0.0115</v>
      </c>
      <c r="J2509" t="n">
        <v>0.08</v>
      </c>
      <c r="K2509" t="n">
        <v>0.0562</v>
      </c>
      <c r="L2509" t="inlineStr">
        <is>
          <t>This enum defines different tabs for displaying posts in WordPress Android app, each associated with specific post statuses and sorting orders.</t>
        </is>
      </c>
      <c r="M2509" t="n">
        <v>0.0109</v>
      </c>
      <c r="N2509" t="n">
        <v>0.1379</v>
      </c>
      <c r="O2509" t="n">
        <v>0.1075</v>
      </c>
    </row>
    <row r="2510">
      <c r="A2510" t="inlineStr">
        <is>
          <t>wordpress</t>
        </is>
      </c>
      <c r="B2510" t="inlineStr">
        <is>
          <t>WordPress/src/main/java/org/wordpress/android/ui/postsrs/PostRsListUiState.kt</t>
        </is>
      </c>
      <c r="C2510">
        <f>HYPERLINK("https://github.com/wordpress-mobile/WordPress-Android/blob/master/WordPress/src/main/java/org/wordpress/android/ui/postsrs/PostRsListUiState.kt")</f>
        <v/>
      </c>
      <c r="D2510" t="inlineStr">
        <is>
          <t>The provided code defines several classes and interfaces related to managing post-related UI states in a WordPress Android application:
- **SnackbarMessage**: A data class representing a message that can optionally include an action label and a callback for when the action is triggered.
- **PendingConfirmation**: An sealed interface with three subclasses representing different types of confirmation actions (Trash, Delete, MoveToDraft), each associated with a</t>
        </is>
      </c>
      <c r="E2510" t="n">
        <v>0.0028</v>
      </c>
      <c r="F2510" t="n">
        <v>0.0282</v>
      </c>
      <c r="G2510" t="n">
        <v>0.0368</v>
      </c>
      <c r="H2510" t="inlineStr">
        <is>
          <t>This repository contains backend software components with implementations of core algorithms. The complexity is O(N), indicating linear time operations based on input size. The comments describe the implementation process, while the commits document the initial creation of the codebase. The total code size is 1000 lines.</t>
        </is>
      </c>
      <c r="I2510" t="n">
        <v>0.0053</v>
      </c>
      <c r="J2510" t="n">
        <v>0.1455</v>
      </c>
      <c r="K2510" t="n">
        <v>0.1695</v>
      </c>
      <c r="L2510" t="inlineStr">
        <is>
          <t>The code defines classes for displaying messages in snackbars, handling user confirmations for post actions (trash, delete, move to draft), and managing UI state for post tabs. It includes methods for converting between different types of post entities and statuses, as well as utilities for HTML parsing. The code is designed to be used within the WordPress Android app's backend components.</t>
        </is>
      </c>
      <c r="M2510" t="n">
        <v>0.003</v>
      </c>
      <c r="N2510" t="n">
        <v>0.0286</v>
      </c>
      <c r="O2510" t="n">
        <v>0.0752</v>
      </c>
    </row>
    <row r="2511">
      <c r="A2511" t="inlineStr">
        <is>
          <t>wordpress</t>
        </is>
      </c>
      <c r="B2511" t="inlineStr">
        <is>
          <t>WordPress/src/main/java/org/wordpress/android/ui/postsrs/PostRsSettingsViewModel.kt</t>
        </is>
      </c>
      <c r="C2511">
        <f>HYPERLINK("https://github.com/wordpress-mobile/WordPress-Android/blob/master/WordPress/src/main/java/org/wordpress/android/ui/postsrs/PostRsSettingsViewModel.kt")</f>
        <v/>
      </c>
      <c r="D2511" t="inlineStr">
        <is>
          <t>The provided code is part of a WordPress Android application's ViewModel for handling post-related operations in RSS feeds. It includes functionalities such as fetching posts from an RSS feed using the `WpApiClientProvider`, managing site selection with `SelectedSiteRepository`, and tracking analytics events using `AnalyticsTracker`. The code uses coroutines for asynchronous data processing and state management through LiveData flows.</t>
        </is>
      </c>
      <c r="E2511" t="n">
        <v>0.0032</v>
      </c>
      <c r="F2511" t="n">
        <v>0.0597</v>
      </c>
      <c r="G2511" t="n">
        <v>0.0775</v>
      </c>
      <c r="H2511" t="inlineStr">
        <is>
          <t>Manages site selection in WordPress Android app using Hilt for dependency injection, LiveData for state management, and coroutines for asynchronous operations. Handles network requests to fetch site data from WP-API RS. Complexity is high due to extensive logic and dependencies.</t>
        </is>
      </c>
      <c r="I2511" t="n">
        <v>0.0046</v>
      </c>
      <c r="J2511" t="n">
        <v>0.08160000000000001</v>
      </c>
      <c r="K2511" t="n">
        <v>0.0893</v>
      </c>
      <c r="L2511" t="inlineStr">
        <is>
          <t>This ViewModel manages post-related data for Android applications using Hilt dependency injection. It fetches posts from a REST API using `WpApiClientProvider`, handles saved state, and updates UI states such as loading indicators and error messages. The ViewModel uses coroutines for asynchronous operations and channels to communicate between different parts of the application.</t>
        </is>
      </c>
      <c r="M2511" t="n">
        <v>0.0042</v>
      </c>
      <c r="N2511" t="n">
        <v>0.06560000000000001</v>
      </c>
      <c r="O2511" t="n">
        <v>0.121</v>
      </c>
    </row>
    <row r="2512">
      <c r="A2512" t="inlineStr">
        <is>
          <t>wordpress</t>
        </is>
      </c>
      <c r="B2512" t="inlineStr">
        <is>
          <t>WordPress/src/main/java/org/wordpress/android/ui/postsrs/PostRsListViewModel.kt</t>
        </is>
      </c>
      <c r="C2512">
        <f>HYPERLINK("https://github.com/wordpress-mobile/WordPress-Android/blob/master/WordPress/src/main/java/org/wordpress/android/ui/postsrs/PostRsListViewModel.kt")</f>
        <v/>
      </c>
      <c r="D2512" t="inlineStr">
        <is>
          <t>The provided code is part of a ViewModel in the WordPress Android app that handles post-related operations such as fetching posts from a site's database. It uses coroutines for asynchronous data processing and LiveData to manage UI state changes. The ViewModel observes changes in the current site model and filters out posts based on their status (e.g., published). It also debounces input events to prevent excessive API calls when typing</t>
        </is>
      </c>
      <c r="E2512" t="n">
        <v>0.0026</v>
      </c>
      <c r="F2512" t="n">
        <v>0.0247</v>
      </c>
      <c r="G2512" t="n">
        <v>0.0704</v>
      </c>
      <c r="H2512" t="inlineStr">
        <is>
          <t>This repository contains backend software components with implementations of core algorithms. The complexity is O(N), indicating linear time complexity for certain operations.</t>
        </is>
      </c>
      <c r="I2512" t="n">
        <v>0.0114</v>
      </c>
      <c r="J2512" t="n">
        <v>0.2581</v>
      </c>
      <c r="K2512" t="n">
        <v>0.2128</v>
      </c>
      <c r="L2512" t="inlineStr">
        <is>
          <t>This ViewModel manages post-related data for Android applications using Hilt dependency injection. It handles fetching posts from a site, updating their statuses, and managing UI state changes through LiveData flows. The ViewModel uses coroutines for asynchronous operations and channels for communication between different parts of the application.</t>
        </is>
      </c>
      <c r="M2512" t="n">
        <v>0.0046</v>
      </c>
      <c r="N2512" t="n">
        <v>0.07140000000000001</v>
      </c>
      <c r="O2512" t="n">
        <v>0.1261</v>
      </c>
    </row>
    <row r="2513">
      <c r="A2513" t="inlineStr">
        <is>
          <t>wordpress</t>
        </is>
      </c>
      <c r="B2513" t="inlineStr">
        <is>
          <t>WordPress/src/main/java/org/wordpress/android/ui/postsrs/PostRsSettingsActivity.kt</t>
        </is>
      </c>
      <c r="C2513">
        <f>HYPERLINK("https://github.com/wordpress-mobile/WordPress-Android/blob/master/WordPress/src/main/java/org/wordpress/android/ui/postsrs/PostRsSettingsActivity.kt")</f>
        <v/>
      </c>
      <c r="D2513" t="inlineStr">
        <is>
          <t>The provided code is part of an Android application that handles media picker functionality for WordPress posts in the Android platform. It uses Dagger Hilt for dependency injection and Compose for UI development. The `MediaPickerActivity` allows users to select images or videos from their device's gallery. The activity sets up edge-to-edge design using `enableEdgeToEdge()`. It utilizes an `ActivityResultLauncher` with</t>
        </is>
      </c>
      <c r="E2513" t="n">
        <v>0.0037</v>
      </c>
      <c r="F2513" t="n">
        <v>0.0571</v>
      </c>
      <c r="G2513" t="n">
        <v>0.07630000000000001</v>
      </c>
      <c r="H2513" t="inlineStr">
        <is>
          <t>The provided code is a Java class annotated with `@AndroidEntryPoint` from Hilt, which initializes a view model using `viewModels()`. It extends `BaseAppCompatActivity`, enabling edge-to-edge design. The activity handles media picker intents for selecting images or videos based on specified types (e.g., photos). It uses lifecycle-aware components to manage UI updates efficiently. The complexity is O(N)</t>
        </is>
      </c>
      <c r="I2513" t="n">
        <v>0</v>
      </c>
      <c r="J2513" t="n">
        <v>0</v>
      </c>
      <c r="K2513" t="n">
        <v>0.0394</v>
      </c>
      <c r="L2513" t="inlineStr">
        <is>
          <t>This Android application component is part of the WordPress Android app's post editing feature. It allows users to select media from their device for use in posts by launching a Media Picker activity. The component uses Hilt dependency injection, Compose UI for user interface rendering, and LiveData for data binding. When triggered, it enables edge-to-edge mode, sets up the media picker with specific configurations (e.g.,</t>
        </is>
      </c>
      <c r="M2513" t="n">
        <v>0.0033</v>
      </c>
      <c r="N2513" t="n">
        <v>0.0519</v>
      </c>
      <c r="O2513" t="n">
        <v>0.1095</v>
      </c>
    </row>
    <row r="2514">
      <c r="A2514" t="inlineStr">
        <is>
          <t>wordpress</t>
        </is>
      </c>
      <c r="B2514" t="inlineStr">
        <is>
          <t>WordPress/src/main/java/org/wordpress/android/ui/postsrs/PostRsListEvent.kt</t>
        </is>
      </c>
      <c r="C2514">
        <f>HYPERLINK("https://github.com/wordpress-mobile/WordPress-Android/blob/master/WordPress/src/main/java/org/wordpress/android/ui/postsrs/PostRsListEvent.kt")</f>
        <v/>
      </c>
      <c r="D2514" t="inlineStr">
        <is>
          <t>The provided code defines a sealed interface `PostRsListEvent` in the package `org.wordpress.android.ui.postsrs`. This interface represents different events related to managing posts on WordPress sites using the Android application's FluxC model for handling site and post information. The interface includes several data classes that correspond to specific actions such as editing, creating, viewing, reading, sharing, promoting with Blaze, viewing stats</t>
        </is>
      </c>
      <c r="E2514" t="n">
        <v>0.0037</v>
      </c>
      <c r="F2514" t="n">
        <v>0.0556</v>
      </c>
      <c r="G2514" t="n">
        <v>0.1145</v>
      </c>
      <c r="H2514" t="inlineStr">
        <is>
          <t>Manages various events related to posts in WordPress Android app's RS (Readiness Status) list.</t>
        </is>
      </c>
      <c r="I2514" t="n">
        <v>0</v>
      </c>
      <c r="J2514" t="n">
        <v>0</v>
      </c>
      <c r="K2514" t="n">
        <v>0</v>
      </c>
      <c r="L2514" t="inlineStr">
        <is>
          <t>This sealed interface defines events for managing posts in the WordPress Android app's RSS section, including editing, creating, viewing, reading, sharing, promoting with Blaze, viewing stats, and viewing comments. Each event includes relevant parameters such as `site`, `post`, `blogId`, `postId`, `url`, `title`, etc., encapsulating actions related to posts within the RSS context.</t>
        </is>
      </c>
      <c r="M2514" t="n">
        <v>0.0042</v>
      </c>
      <c r="N2514" t="n">
        <v>0.06560000000000001</v>
      </c>
      <c r="O2514" t="n">
        <v>0.0806</v>
      </c>
    </row>
    <row r="2515">
      <c r="A2515" t="inlineStr">
        <is>
          <t>wordpress</t>
        </is>
      </c>
      <c r="B2515" t="inlineStr">
        <is>
          <t>WordPress/src/main/java/org/wordpress/android/ui/postsrs/screens/PostRsListItem.kt</t>
        </is>
      </c>
      <c r="C2515">
        <f>HYPERLINK("https://github.com/wordpress-mobile/WordPress-Android/blob/master/WordPress/src/main/java/org/wordpress/android/ui/postsrs/screens/PostRsListItem.kt")</f>
        <v/>
      </c>
      <c r="D2515" t="inlineStr">
        <is>
          <t>The provided code is part of a package in the `org.wordpress.android` project that deals with UI screens for posts in a WordPress application. It includes animations, clickable elements, and layout structures using Jetpack Compose. The code does not contain any complex logic or comments; it primarily focuses on visual presentation and user interactions within the post screen interface.</t>
        </is>
      </c>
      <c r="E2515" t="n">
        <v>0.0031</v>
      </c>
      <c r="F2515" t="n">
        <v>0.0588</v>
      </c>
      <c r="G2515" t="n">
        <v>0.0769</v>
      </c>
      <c r="H2515" t="inlineStr">
        <is>
          <t>The provided code is part of a repository containing backend software components that implement core algorithms. The complexity of this code is O(N), indicating it scales linearly with input size N. It includes comments explaining its implementation and commits detailing the initial creation of the codebase. The total size of the code is 1000 lines.</t>
        </is>
      </c>
      <c r="I2515" t="n">
        <v>0.0044</v>
      </c>
      <c r="J2515" t="n">
        <v>0.125</v>
      </c>
      <c r="K2515" t="n">
        <v>0.2362</v>
      </c>
      <c r="L2515" t="inlineStr">
        <is>
          <t>The code is part of a WordPress Android application's UI component for displaying posts. It uses Compose framework to create a visually appealing layout that includes clickable elements such as icons and text boxes. The animation system is used to animate certain properties like background color transitions infinitely. The component is designed to be responsive and user-friendly, providing previews through annotations.</t>
        </is>
      </c>
      <c r="M2515" t="n">
        <v>0.003</v>
      </c>
      <c r="N2515" t="n">
        <v>0.0282</v>
      </c>
      <c r="O2515" t="n">
        <v>0.0752</v>
      </c>
    </row>
    <row r="2516">
      <c r="A2516" t="inlineStr">
        <is>
          <t>wordpress</t>
        </is>
      </c>
      <c r="B2516" t="inlineStr">
        <is>
          <t>WordPress/src/main/java/org/wordpress/android/ui/postsrs/screens/PostRsSettingsScreen.kt</t>
        </is>
      </c>
      <c r="C2516">
        <f>HYPERLINK("https://github.com/wordpress-mobile/WordPress-Android/blob/master/WordPress/src/main/java/org/wordpress/android/ui/postsrs/screens/PostRsSettingsScreen.kt")</f>
        <v/>
      </c>
      <c r="D2516" t="inlineStr">
        <is>
          <t>The provided code is part of a package in an Android application that handles post-related screens. It includes various UI elements such as boxes, columns, rows, and flow rows to display content related to posts. The `BackHandler` component allows for handling back button presses, while animations like infinite repetition with tweening are used for smooth transitions between different views. The complexity of this code is O(N),</t>
        </is>
      </c>
      <c r="E2516" t="n">
        <v>0.0028</v>
      </c>
      <c r="F2516" t="n">
        <v>0.0263</v>
      </c>
      <c r="G2516" t="n">
        <v>0.1087</v>
      </c>
      <c r="H2516" t="inlineStr">
        <is>
          <t>The repository contains backend software components implementing core algorithms. Complexity is O(N), with comments indicating implementation details. Initial codebase commit was made. The total size of the codebase is 1000 lines.</t>
        </is>
      </c>
      <c r="I2516" t="n">
        <v>0.0072</v>
      </c>
      <c r="J2516" t="n">
        <v>0.15</v>
      </c>
      <c r="K2516" t="n">
        <v>0.1456</v>
      </c>
      <c r="L2516" t="inlineStr">
        <is>
          <t>This code is part of a WordPress Android app's post screen component. It uses Jetpack Compose to create a UI that includes a box containing various elements such as text, images, buttons, and clickable areas. The `BackHandler` ensures navigation back when pressing the back button. The animation system is used for smooth transitions between different states within the UI. The layout arrangement allows for flexible placement of</t>
        </is>
      </c>
      <c r="M2516" t="n">
        <v>0.0032</v>
      </c>
      <c r="N2516" t="n">
        <v>0.0526</v>
      </c>
      <c r="O2516" t="n">
        <v>0.1079</v>
      </c>
    </row>
    <row r="2517">
      <c r="A2517" t="inlineStr">
        <is>
          <t>wordpress</t>
        </is>
      </c>
      <c r="B2517" t="inlineStr">
        <is>
          <t>WordPress/src/main/java/org/wordpress/android/ui/postsrs/screens/PostRsTabListScreen.kt</t>
        </is>
      </c>
      <c r="C2517">
        <f>HYPERLINK("https://github.com/wordpress-mobile/WordPress-Android/blob/master/WordPress/src/main/java/org/wordpress/android/ui/postsrs/screens/PostRsTabListScreen.kt")</f>
        <v/>
      </c>
      <c r="D2517" t="inlineStr">
        <is>
          <t>The provided code is part of a package in the `org.wordpress.android` project that handles screens related to posts or similar content on a WordPress platform. It uses Jetpack Compose for UI development with Material 3 components. The main functionalities include:
- **UI Components**: Uses `Box`, `Column`, `Spacer`, `Button`, and `CircularProgressIndicator` from Material 3.
-</t>
        </is>
      </c>
      <c r="E2517" t="n">
        <v>0.0034</v>
      </c>
      <c r="F2517" t="n">
        <v>0.0645</v>
      </c>
      <c r="G2517" t="n">
        <v>0.0794</v>
      </c>
      <c r="H2517" t="inlineStr">
        <is>
          <t>This repository contains backend software components implementing core algorithms.</t>
        </is>
      </c>
      <c r="I2517" t="n">
        <v>0.0316</v>
      </c>
      <c r="J2517" t="n">
        <v>0.4706</v>
      </c>
      <c r="K2517" t="n">
        <v>0.3897</v>
      </c>
      <c r="L2517" t="inlineStr">
        <is>
          <t>This package contains the implementation of a screen for displaying posts in a list format using Jetpack Compose. The screen includes features such as lazy loading, vertical scrolling, and pull-to-refresh functionality. It utilizes Material 3 components for UI elements like buttons, progress indicators, and text. The code is designed to be efficient with a time complexity of O(N), where N represents the number of items in</t>
        </is>
      </c>
      <c r="M2517" t="n">
        <v>0.0033</v>
      </c>
      <c r="N2517" t="n">
        <v>0.1039</v>
      </c>
      <c r="O2517" t="n">
        <v>0.1449</v>
      </c>
    </row>
    <row r="2518">
      <c r="A2518" t="inlineStr">
        <is>
          <t>wordpress</t>
        </is>
      </c>
      <c r="B2518" t="inlineStr">
        <is>
          <t>WordPress/src/main/java/org/wordpress/android/ui/postsrs/screens/PostRsListScreen.kt</t>
        </is>
      </c>
      <c r="C2518">
        <f>HYPERLINK("https://github.com/wordpress-mobile/WordPress-Android/blob/master/WordPress/src/main/java/org/wordpress/android/ui/postsrs/screens/PostRsListScreen.kt")</f>
        <v/>
      </c>
      <c r="D2518" t="inlineStr">
        <is>
          <t>The provided code is part of a package in the `org.wordpress.android` project that deals with screens related to posts or similar content management features. It includes a `HorizontalPager` component for displaying multiple pages of content, along with various UI elements such as icons, text fields, and padding. The complexity of the implementation is O(N), indicating it may involve processing N items. The comments suggest this</t>
        </is>
      </c>
      <c r="E2518" t="n">
        <v>0.0028</v>
      </c>
      <c r="F2518" t="n">
        <v>0.0263</v>
      </c>
      <c r="G2518" t="n">
        <v>0.146</v>
      </c>
      <c r="H2518" t="inlineStr">
        <is>
          <t>The code is part of a repository containing backend software components that implement core algorithms. The complexity is O(N), indicating linear time complexity in relation to input size N. The comments describe the implementation of these core algorithms.</t>
        </is>
      </c>
      <c r="I2518" t="n">
        <v>0.0058</v>
      </c>
      <c r="J2518" t="n">
        <v>0.1277</v>
      </c>
      <c r="K2518" t="n">
        <v>0.1818</v>
      </c>
      <c r="L2518" t="inlineStr">
        <is>
          <t>The code is part of a WordPress Android application's UI for managing posts. It includes a screen that displays a horizontal pager with different sections such as "Posts," "Categories," and "Tags." The user can navigate through these sections using swipe gestures or buttons. Each section has a header with icons representing actions like adding new items, searching, and viewing profile details. The `HorizontalPager` component manages</t>
        </is>
      </c>
      <c r="M2518" t="n">
        <v>0.0028</v>
      </c>
      <c r="N2518" t="n">
        <v>0.027</v>
      </c>
      <c r="O2518" t="n">
        <v>0.073</v>
      </c>
    </row>
    <row r="2519">
      <c r="A2519" t="inlineStr">
        <is>
          <t>wordpress</t>
        </is>
      </c>
      <c r="B2519" t="inlineStr">
        <is>
          <t>WordPress/src/main/java/org/wordpress/android/ui/postsrs/screens/PostRsBadges.kt</t>
        </is>
      </c>
      <c r="C2519">
        <f>HYPERLINK("https://github.com/wordpress-mobile/WordPress-Android/blob/master/WordPress/src/main/java/org/wordpress/android/ui/postsrs/screens/PostRsBadges.kt")</f>
        <v/>
      </c>
      <c r="D2519" t="inlineStr">
        <is>
          <t>The `BadgeRow` composable function in the `org.wordpress.android.ui.postsrs.screens` package displays a list of badge labels as a row using Compose UI. It takes a list of integer resource IDs for the badge labels and applies padding and spacing between them. Each badge is rendered as a `Text` component with a specified typography style from the Material 3 theme. The function uses</t>
        </is>
      </c>
      <c r="E2519" t="n">
        <v>0.003</v>
      </c>
      <c r="F2519" t="n">
        <v>0.0548</v>
      </c>
      <c r="G2519" t="n">
        <v>0.07580000000000001</v>
      </c>
      <c r="H2519" t="inlineStr">
        <is>
          <t>This repository contains backend software components implementing core algorithms with a complexity of O(N). The README provides information about the implementation and commits made to the project.</t>
        </is>
      </c>
      <c r="I2519" t="n">
        <v>0.009900000000000001</v>
      </c>
      <c r="J2519" t="n">
        <v>0.2778</v>
      </c>
      <c r="K2519" t="n">
        <v>0.2525</v>
      </c>
      <c r="L2519" t="inlineStr">
        <is>
          <t>This composable function `BadgeRow` displays a row of badge labels using Compose UI. It takes a list of integer resource IDs for the badge texts and renders them as `Text` elements within a `FlowRow`, spaced by 4 dp. The badges are styled with rounded corners and use the default typography from Material Theme.</t>
        </is>
      </c>
      <c r="M2519" t="n">
        <v>0.0041</v>
      </c>
      <c r="N2519" t="n">
        <v>0.0984</v>
      </c>
      <c r="O2519" t="n">
        <v>0.12</v>
      </c>
    </row>
    <row r="2520">
      <c r="A2520" t="inlineStr">
        <is>
          <t>wordpress</t>
        </is>
      </c>
      <c r="B2520" t="inlineStr">
        <is>
          <t>WordPress/src/main/java/org/wordpress/android/ui/postsrs/terms/TermSelectionModels.kt</t>
        </is>
      </c>
      <c r="C2520">
        <f>HYPERLINK("https://github.com/wordpress-mobile/WordPress-Android/blob/master/WordPress/src/main/java/org/wordpress/android/ui/postsrs/terms/TermSelectionModels.kt")</f>
        <v/>
      </c>
      <c r="D2520" t="inlineStr">
        <is>
          <t>The provided code defines three classes:
1. `SelectableTerm`: Represents a term with its ID, name, level in the hierarchy, and whether it's currently selected.
2. `TermSelectionUiState`: Manages the UI state for selecting terms, including loading indicators, search status, pagination, errors, term lists, search query, creation flags, dialog visibility, parent options, hierarchical structure,</t>
        </is>
      </c>
      <c r="E2520" t="n">
        <v>0.0035</v>
      </c>
      <c r="F2520" t="n">
        <v>0.0328</v>
      </c>
      <c r="G2520" t="n">
        <v>0.0403</v>
      </c>
      <c r="H2520" t="inlineStr">
        <is>
          <t>This repository contains backend software components with implementations of core algorithms. The complexity is O(N), indicating linear time complexity for certain operations.</t>
        </is>
      </c>
      <c r="I2520" t="n">
        <v>0.0114</v>
      </c>
      <c r="J2520" t="n">
        <v>0.2581</v>
      </c>
      <c r="K2520" t="n">
        <v>0.2128</v>
      </c>
      <c r="L2520" t="inlineStr">
        <is>
          <t>The `SelectableTerm` class represents individual selectable terms with properties for ID, name, level, and selection status. The `TermSelectionUiState` class manages the UI state of term selections, including loading indicators, search states, error messages, and lists of selectable terms. It also handles events such as finishing the selection process, showing snackbar messages, and managing hierarchical options. The `TermSelection</t>
        </is>
      </c>
      <c r="M2520" t="n">
        <v>0.0032</v>
      </c>
      <c r="N2520" t="n">
        <v>0.0308</v>
      </c>
      <c r="O2520" t="n">
        <v>0.0388</v>
      </c>
    </row>
    <row r="2521">
      <c r="A2521" t="inlineStr">
        <is>
          <t>wordpress</t>
        </is>
      </c>
      <c r="B2521" t="inlineStr">
        <is>
          <t>WordPress/src/main/java/org/wordpress/android/ui/postsrs/terms/TermSelectionScreen.kt</t>
        </is>
      </c>
      <c r="C2521">
        <f>HYPERLINK("https://github.com/wordpress-mobile/WordPress-Android/blob/master/WordPress/src/main/java/org/wordpress/android/ui/postsrs/terms/TermSelectionScreen.kt")</f>
        <v/>
      </c>
      <c r="D2521" t="inlineStr">
        <is>
          <t>The provided code is part of a package in the `org.wordpress.android` project that deals with managing terms for posts in WordPress Android applications using Jetpack Compose. The main functionalities include:
- **Lazy Column**: A composable layout used to display a list of items efficiently.
- **Items**: Represents individual elements within the lazy column, likely representing different categories or tags associated with posts.
- **</t>
        </is>
      </c>
      <c r="E2521" t="n">
        <v>0</v>
      </c>
      <c r="F2521" t="n">
        <v>0.0286</v>
      </c>
      <c r="G2521" t="n">
        <v>0.0368</v>
      </c>
      <c r="H2521" t="inlineStr">
        <is>
          <t>The provided code is part of a repository containing backend software components for managing terms in WordPress posts. It includes various UI elements such as columns, rows, boxes, and lazy lists to display and interact with term data. The code also utilizes Material Design components like checkboxes, progress indicators, and dialogs for user interaction. The complexity of this component is O(N), indicating that it may involve processing or iterating over</t>
        </is>
      </c>
      <c r="I2521" t="n">
        <v>0.0031</v>
      </c>
      <c r="J2521" t="n">
        <v>0.0506</v>
      </c>
      <c r="K2521" t="n">
        <v>0.1408</v>
      </c>
      <c r="L2521" t="inlineStr">
        <is>
          <t>The code is part of a WordPress Android application's post terms screen. It uses Jetpack Compose for UI development, implementing features such as navigation back, adding new terms, searching for existing ones, displaying term checkboxes, and showing loading indicators. The code handles user interactions like clicking on items, toggling checkbox states, and managing dialogs for actions.</t>
        </is>
      </c>
      <c r="M2521" t="n">
        <v>0.0033</v>
      </c>
      <c r="N2521" t="n">
        <v>0.0615</v>
      </c>
      <c r="O2521" t="n">
        <v>0.1172</v>
      </c>
    </row>
    <row r="2522">
      <c r="A2522" t="inlineStr">
        <is>
          <t>wordpress</t>
        </is>
      </c>
      <c r="B2522" t="inlineStr">
        <is>
          <t>WordPress/src/main/java/org/wordpress/android/ui/postsrs/terms/TermSelectionActivity.kt</t>
        </is>
      </c>
      <c r="C2522">
        <f>HYPERLINK("https://github.com/wordpress-mobile/WordPress-Android/blob/master/WordPress/src/main/java/org/wordpress/android/ui/postsrs/terms/TermSelectionActivity.kt")</f>
        <v/>
      </c>
      <c r="D2522" t="inlineStr">
        <is>
          <t>The `TermSelectionActivity` is a component in the WordPress Android app that handles term selection for posts or pages. It uses Jetpack Compose for UI rendering and Hilt for dependency injection. The activity enables edge-to-edge design and displays terms based on the selected endpoint type (e.g., categories, tags). It collects data from the ViewModel to update the UI dynamically as lifecycle events occur. The</t>
        </is>
      </c>
      <c r="E2522" t="n">
        <v>0.0029</v>
      </c>
      <c r="F2522" t="n">
        <v>0.027</v>
      </c>
      <c r="G2522" t="n">
        <v>0.0741</v>
      </c>
      <c r="H2522" t="inlineStr">
        <is>
          <t>Manages term selection in WordPress Android app using Compose UI and Dagger Hilt for dependency injection.</t>
        </is>
      </c>
      <c r="I2522" t="n">
        <v>0.0123</v>
      </c>
      <c r="J2522" t="n">
        <v>0.0833</v>
      </c>
      <c r="K2522" t="n">
        <v>0.1136</v>
      </c>
      <c r="L2522" t="inlineStr">
        <is>
          <t>This activity is part of the WordPress Android app's post management feature. It allows users to select terms from different endpoints (e.g., categories, tags). The activity uses Compose for UI rendering and Dagger Hilt for dependency injection. Upon creation, it initializes the ViewModel and sets up edge-to-edge content display using `enableEdgeToEdge`. The lifecycle scope is used to observe changes in the ViewModel</t>
        </is>
      </c>
      <c r="M2522" t="n">
        <v>0.0035</v>
      </c>
      <c r="N2522" t="n">
        <v>0.0541</v>
      </c>
      <c r="O2522" t="n">
        <v>0.1119</v>
      </c>
    </row>
    <row r="2523">
      <c r="A2523" t="inlineStr">
        <is>
          <t>wordpress</t>
        </is>
      </c>
      <c r="B2523" t="inlineStr">
        <is>
          <t>WordPress/src/main/java/org/wordpress/android/ui/postsrs/terms/TermSelectionViewModel.kt</t>
        </is>
      </c>
      <c r="C2523">
        <f>HYPERLINK("https://github.com/wordpress-mobile/WordPress-Android/blob/master/WordPress/src/main/java/org/wordpress/android/ui/postsrs/terms/TermSelectionViewModel.kt")</f>
        <v/>
      </c>
      <c r="D2523" t="inlineStr">
        <is>
          <t>The provided code is a ViewModel in Android that handles fetching terms related to posts from a REST API using Dagger Hilt for dependency injection. It manages state with LiveData and uses coroutines for asynchronous operations. The ViewModel updates its UI based on network requests and error handling.</t>
        </is>
      </c>
      <c r="E2523" t="n">
        <v>0.0038</v>
      </c>
      <c r="F2523" t="n">
        <v>0.0357</v>
      </c>
      <c r="G2523" t="n">
        <v>0.0833</v>
      </c>
      <c r="H2523" t="inlineStr">
        <is>
          <t>The provided code is a Hilt ViewModel for managing post-related terms in WordPress Android app. It uses coroutines to handle asynchronous operations such as network requests and state updates. The ViewModel interacts with repositories like `SelectedSiteRepository` and `PostRsRestClient`, and it manages UI states using Flow and Channels. Complexity is high due to its extensive use of coroutines and data flow management.</t>
        </is>
      </c>
      <c r="I2523" t="n">
        <v>0.003</v>
      </c>
      <c r="J2523" t="n">
        <v>0.0286</v>
      </c>
      <c r="K2523" t="n">
        <v>0.0752</v>
      </c>
      <c r="L2523" t="inlineStr">
        <is>
          <t>This ViewModel manages the state for managing terms related to posts in WordPress sites using Retrofit for network requests. It handles saved states, fetches term data from the server, updates UI elements based on changes, and provides error handling mechanisms. The implementation is designed to be efficient with a time complexity of O(N), where N represents the number of terms fetched.</t>
        </is>
      </c>
      <c r="M2523" t="n">
        <v>0.0036</v>
      </c>
      <c r="N2523" t="n">
        <v>0.0571</v>
      </c>
      <c r="O2523" t="n">
        <v>0.1504</v>
      </c>
    </row>
    <row r="2524">
      <c r="A2524" t="inlineStr">
        <is>
          <t>wordpress</t>
        </is>
      </c>
      <c r="B2524" t="inlineStr">
        <is>
          <t>WordPress/src/main/java/org/wordpress/android/ui/postsrs/data/WpServiceProvider.kt</t>
        </is>
      </c>
      <c r="C2524">
        <f>HYPERLINK("https://github.com/wordpress-mobile/WordPress-Android/blob/master/WordPress/src/main/java/org/wordpress/android/ui/postsrs/data/WpServiceProvider.kt")</f>
        <v/>
      </c>
      <c r="D2524" t="inlineStr">
        <is>
          <t>The provided code is part of a WordPress Android application that sets up and manages `WpService` instances using Dagger Hilt dependency injection. It includes:
- **Dependencies**: Injected dependencies such as `@ApplicationContext Context`, `AccountStore`, `SiteModel`, `WpNetworkAvailabilityProvider`, `createWpComAuthProvider`, `DatabaseChangeNotifier`, `WordPressApiCache`, `Wp</t>
        </is>
      </c>
      <c r="E2524" t="n">
        <v>0.0047</v>
      </c>
      <c r="F2524" t="n">
        <v>0.0435</v>
      </c>
      <c r="G2524" t="n">
        <v>0.0901</v>
      </c>
      <c r="H2524" t="inlineStr">
        <is>
          <t>This repository contains backend software components that implement core algorithms using Java and Kotlin. The complexity is high due to the large number of files and classes involved in the implementation. The comments provide detailed explanations of each class and method, while the commits document the initial creation of the codebase. The total size of the codebase is 1000 lines.</t>
        </is>
      </c>
      <c r="I2524" t="n">
        <v>0.0043</v>
      </c>
      <c r="J2524" t="n">
        <v>0.1471</v>
      </c>
      <c r="K2524" t="n">
        <v>0.323</v>
      </c>
      <c r="L2524" t="inlineStr">
        <is>
          <t>This code package provides a service layer that creates and caches `WpService` instances using Dagger Hilt dependency injection. It includes components such as `AccountStore`, `WpNetworkAvailabilityProvider`, `WpAppNotifierHandler`, `DatabaseChangeNotifier`, `WordPressApiCache`, `WpRequestExecutor`, and integrates with WordPress API middleware pipelines (`WpApiMiddlewarePipeline`) and client delegates</t>
        </is>
      </c>
      <c r="M2524" t="n">
        <v>0.0055</v>
      </c>
      <c r="N2524" t="n">
        <v>0.0833</v>
      </c>
      <c r="O2524" t="n">
        <v>0.1339</v>
      </c>
    </row>
    <row r="2525">
      <c r="A2525" t="inlineStr">
        <is>
          <t>wordpress</t>
        </is>
      </c>
      <c r="B2525" t="inlineStr">
        <is>
          <t>WordPress/src/main/java/org/wordpress/android/ui/postsrs/data/PostRsRestClient.kt</t>
        </is>
      </c>
      <c r="C2525">
        <f>HYPERLINK("https://github.com/wordpress-mobile/WordPress-Android/blob/master/WordPress/src/main/java/org/wordpress/android/ui/postsrs/data/PostRsRestClient.kt")</f>
        <v/>
      </c>
      <c r="D2525" t="inlineStr">
        <is>
          <t>The provided code is part of a WordPress Android application's data layer, specifically within the `org.wordpress.android.ui.postsrs.data` package. It includes classes for handling site-related operations such as fetching author information, managing media lists, creating terms (categories or tags), listing themes with various parameters, retrieving user lists, and more. The implementation uses Dagger Hilt for dependency injection and interacts with REST APIs</t>
        </is>
      </c>
      <c r="E2525" t="n">
        <v>0.003</v>
      </c>
      <c r="F2525" t="n">
        <v>0.0533</v>
      </c>
      <c r="G2525" t="n">
        <v>0.1136</v>
      </c>
      <c r="H2525" t="inlineStr">
        <is>
          <t>The provided code is part of a backend software component that implements core algorithms for WordPress-related operations. It includes classes and methods for interacting with REST APIs, managing site models, handling author information, and more. The complexity is high due to its extensive functionality and integration with various WordPress features.</t>
        </is>
      </c>
      <c r="I2525" t="n">
        <v>0.0116</v>
      </c>
      <c r="J2525" t="n">
        <v>0.1695</v>
      </c>
      <c r="K2525" t="n">
        <v>0.3656</v>
      </c>
      <c r="L2525" t="inlineStr">
        <is>
          <t>This package contains data-related classes for WordPress Android UI posts, utilizing Dagger Hilt for dependency injection. It includes methods for interacting with REST API endpoints related to sites, authors, media, terms (categories, tags), themes, users, and post formats. The implementation is optimized for performance with a time complexity of \(O(N)\).</t>
        </is>
      </c>
      <c r="M2525" t="n">
        <v>0.0044</v>
      </c>
      <c r="N2525" t="n">
        <v>0.0667</v>
      </c>
      <c r="O2525" t="n">
        <v>0.123</v>
      </c>
    </row>
    <row r="2526">
      <c r="A2526" t="inlineStr">
        <is>
          <t>wordpress</t>
        </is>
      </c>
      <c r="B2526" t="inlineStr">
        <is>
          <t>WordPress/src/main/java/org/wordpress/android/ui/publicize/PublicizeTwitterDeprecationNoticeConstants.kt</t>
        </is>
      </c>
      <c r="C2526">
        <f>HYPERLINK("https://github.com/wordpress-mobile/WordPress-Android/blob/master/WordPress/src/main/java/org/wordpress/android/ui/publicize/PublicizeTwitterDeprecationNoticeConstants.kt")</f>
        <v/>
      </c>
      <c r="D2526" t="inlineStr">
        <is>
          <t>The provided code is part of a WordPress Android application's publicize module. It defines a constant `TWITTER_DEPRECATION_FIND_OUT_MORE_URL` which points to a blog post about Twitter auto-sharing being deprecated on WordPress.com. The complexity of this code is O(1) as it only involves defining a single constant. There are no comments or commits in the given snippet. The total size of</t>
        </is>
      </c>
      <c r="E2526" t="n">
        <v>0</v>
      </c>
      <c r="F2526" t="n">
        <v>0.0263</v>
      </c>
      <c r="G2526" t="n">
        <v>0.07630000000000001</v>
      </c>
      <c r="H2526" t="inlineStr">
        <is>
          <t>The provided code defines a constant string for a URL related to Twitter deprecation information in the WordPress Android app's publicize module. The README describes it as part of the backend software components with complexity O(N), indicating that its performance depends on the size of the input data. Comments explain the implementation of core algorithms, while commits refer to the initial creation of the codebase. The total code size is</t>
        </is>
      </c>
      <c r="I2526" t="n">
        <v>0.0031</v>
      </c>
      <c r="J2526" t="n">
        <v>0.075</v>
      </c>
      <c r="K2526" t="n">
        <v>0.1408</v>
      </c>
      <c r="L2526" t="inlineStr">
        <is>
          <t>This package contains backend software components for publicizing content across various platforms, including Twitter. The `TWITTER_DEPRECATION_FIND_OUT_MORE_URL` constant provides a link to information about why Twitter auto-sharing is being deprecated.</t>
        </is>
      </c>
      <c r="M2526" t="n">
        <v>0.0077</v>
      </c>
      <c r="N2526" t="n">
        <v>0.093</v>
      </c>
      <c r="O2526" t="n">
        <v>0.099</v>
      </c>
    </row>
    <row r="2527">
      <c r="A2527" t="inlineStr">
        <is>
          <t>wordpress</t>
        </is>
      </c>
      <c r="B2527" t="inlineStr">
        <is>
          <t>WordPress/src/main/java/org/wordpress/android/ui/publicize/PublicizeBaseFragment.java</t>
        </is>
      </c>
      <c r="C2527">
        <f>HYPERLINK("https://github.com/wordpress-mobile/WordPress-Android/blob/master/WordPress/src/main/java/org/wordpress/android/ui/publicize/PublicizeBaseFragment.java")</f>
        <v/>
      </c>
      <c r="D2527" t="inlineStr">
        <is>
          <t>The `PublicizeBaseFragment` class is a base fragment that provides methods to manage a toolbar's title and navigation icon in Android applications. It includes:
- A method `getToolbar()` to retrieve the toolbar from the activity.
- Methods `setTitle(int)` and `setTitle(String)` to set the title of the toolbar using either a resource ID or a string directly.
- A method `setNavigation</t>
        </is>
      </c>
      <c r="E2527" t="n">
        <v>0.0031</v>
      </c>
      <c r="F2527" t="n">
        <v>0.0299</v>
      </c>
      <c r="G2527" t="n">
        <v>0.07630000000000001</v>
      </c>
      <c r="H2527" t="inlineStr">
        <is>
          <t>Manages navigation icons and titles in publicize fragments using Android's Toolbar component.</t>
        </is>
      </c>
      <c r="I2527" t="n">
        <v>0.017</v>
      </c>
      <c r="J2527" t="n">
        <v>0.09520000000000001</v>
      </c>
      <c r="K2527" t="n">
        <v>0.119</v>
      </c>
      <c r="L2527" t="inlineStr">
        <is>
          <t>This class provides base functionality for publicizing content within WordPress Android applications. It includes methods to retrieve the toolbar from the activity, set titles for both the fragment's UI and the activity itself, and manage navigation icons. The implementation is designed to be reusable across different fragments that require similar publicization features.</t>
        </is>
      </c>
      <c r="M2527" t="n">
        <v>0.0046</v>
      </c>
      <c r="N2527" t="n">
        <v>0.0984</v>
      </c>
      <c r="O2527" t="n">
        <v>0.1613</v>
      </c>
    </row>
    <row r="2528">
      <c r="A2528" t="inlineStr">
        <is>
          <t>wordpress</t>
        </is>
      </c>
      <c r="B2528" t="inlineStr">
        <is>
          <t>WordPress/src/main/java/org/wordpress/android/ui/publicize/PublicizeTwitterDeprecationNoticeWarningView.kt</t>
        </is>
      </c>
      <c r="C2528">
        <f>HYPERLINK("https://github.com/wordpress-mobile/WordPress-Android/blob/master/WordPress/src/main/java/org/wordpress/android/ui/publicize/PublicizeTwitterDeprecationNoticeWarningView.kt")</f>
        <v/>
      </c>
      <c r="D2528" t="inlineStr">
        <is>
          <t>The provided code defines a custom Android view class `PublicizeTwitterDeprecationNoticeWarningView` that displays a warning about Twitter deprecation in the WordPress app's publicize feature. The view includes a header with a title and a description, both styled to be clickable. It uses XML layout inflation for its structure and supports setting these properties programmatically through methods like `setTitle` and `setDescription`.</t>
        </is>
      </c>
      <c r="E2528" t="n">
        <v>0.0031</v>
      </c>
      <c r="F2528" t="n">
        <v>0.0294</v>
      </c>
      <c r="G2528" t="n">
        <v>0.07630000000000001</v>
      </c>
      <c r="H2528" t="inlineStr">
        <is>
          <t>This repository contains backend software components that implement core algorithms. The complexity is O(N), indicating linear time complexity for certain operations. The implementation includes comments explaining key parts of the code, with the first commit being the initial creation of the codebase. The total size of the codebase is 1000 lines.</t>
        </is>
      </c>
      <c r="I2528" t="n">
        <v>0.0047</v>
      </c>
      <c r="J2528" t="n">
        <v>0.1333</v>
      </c>
      <c r="K2528" t="n">
        <v>0.2033</v>
      </c>
      <c r="L2528" t="inlineStr">
        <is>
          <t>This class is a layout component for displaying a warning about Twitter deprecation notices within the WordPress Android app's publicize feature. It uses a `ConstraintLayout` as its base and includes a header title and description that can be customized via methods. The view supports setting these attributes through XML attributes or programmatically by calling the `setTitle` and `setDescription` functions.</t>
        </is>
      </c>
      <c r="M2528" t="n">
        <v>0.0037</v>
      </c>
      <c r="N2528" t="n">
        <v>0.0588</v>
      </c>
      <c r="O2528" t="n">
        <v>0.1145</v>
      </c>
    </row>
    <row r="2529">
      <c r="A2529" t="inlineStr">
        <is>
          <t>wordpress</t>
        </is>
      </c>
      <c r="B2529" t="inlineStr">
        <is>
          <t>WordPress/src/main/java/org/wordpress/android/ui/publicize/PublicizeAccountChooserListAdapter.java</t>
        </is>
      </c>
      <c r="C2529">
        <f>HYPERLINK("https://github.com/wordpress-mobile/WordPress-Android/blob/master/WordPress/src/main/java/org/wordpress/android/ui/publicize/PublicizeAccountChooserListAdapter.java")</f>
        <v/>
      </c>
      <c r="D2529" t="inlineStr">
        <is>
          <t>The `PublicizeAccountChooserListAdapter` is a RecyclerView adapter used to display a list of publicize connections in an Android application. It handles the binding of data from a list of `PublicizeConnection` objects to views within each item of the RecyclerView. The adapter uses injection for dependency management with Dagger 2, specifically injecting an instance of `ImageManager`. Each view holder includes an image view,</t>
        </is>
      </c>
      <c r="E2529" t="n">
        <v>0</v>
      </c>
      <c r="F2529" t="n">
        <v>0</v>
      </c>
      <c r="G2529" t="n">
        <v>0.0376</v>
      </c>
      <c r="H2529" t="inlineStr">
        <is>
          <t>Manages a list of publicize connections in a RecyclerView, allowing users to select one for sharing content on various platforms. Uses dependency injection for image management and implements basic adapter logic with support for item click listeners.</t>
        </is>
      </c>
      <c r="I2529" t="n">
        <v>0.006</v>
      </c>
      <c r="J2529" t="n">
        <v>0.08890000000000001</v>
      </c>
      <c r="K2529" t="n">
        <v>0.1376</v>
      </c>
      <c r="L2529" t="inlineStr">
        <is>
          <t>This adapter is part of the WordPress Android app's publicize feature, designed to display a list of connected social media accounts for users to choose from when sharing content publicly. It uses a RecyclerView to efficiently manage and render these connections. The adapter takes a list of `PublicizeConnection` objects as input and provides views that show account names and icons. Users can select an account by tapping on it,</t>
        </is>
      </c>
      <c r="M2529" t="n">
        <v>0.0031</v>
      </c>
      <c r="N2529" t="n">
        <v>0.0513</v>
      </c>
      <c r="O2529" t="n">
        <v>0.1064</v>
      </c>
    </row>
    <row r="2530">
      <c r="A2530" t="inlineStr">
        <is>
          <t>wordpress</t>
        </is>
      </c>
      <c r="B2530" t="inlineStr">
        <is>
          <t>WordPress/src/main/java/org/wordpress/android/ui/publicize/PublicizeErrorDialogFragment.kt</t>
        </is>
      </c>
      <c r="C2530">
        <f>HYPERLINK("https://github.com/wordpress-mobile/WordPress-Android/blob/master/WordPress/src/main/java/org/wordpress/android/ui/publicize/PublicizeErrorDialogFragment.kt")</f>
        <v/>
      </c>
      <c r="D2530" t="inlineStr">
        <is>
          <t>The `PublicizeErrorDialogFragment` class extends `DialogFragment` in Android and is used to display error dialogs related to publicizing content on WordPress sites. It specifically handles cases where users attempt to share to Facebook but do not have any available Facebook Pages. The fragment uses a `MaterialAlertDialogBuilder` to create a dialog with a message indicating that the user must have at least one Facebook Page before</t>
        </is>
      </c>
      <c r="E2530" t="n">
        <v>0.0028</v>
      </c>
      <c r="F2530" t="n">
        <v>0.0278</v>
      </c>
      <c r="G2530" t="n">
        <v>0.0735</v>
      </c>
      <c r="H2530" t="inlineStr">
        <is>
          <t>This repository contains backend software components that implement core algorithms. The complexity of these implementations is O(N), indicating linear time performance for typical use cases. The code size is 1000 lines, making it relatively large in terms of source code.</t>
        </is>
      </c>
      <c r="I2530" t="n">
        <v>0.0061</v>
      </c>
      <c r="J2530" t="n">
        <v>0.1633</v>
      </c>
      <c r="K2530" t="n">
        <v>0.2232</v>
      </c>
      <c r="L2530" t="inlineStr">
        <is>
          <t>This fragment displays a dialog informing users that they need at least one Facebook Page to share content via Facebook. The dialog uses a `MaterialAlertDialogBuilder` from Google's Material Components library. It takes a string resource ID as input to determine the message displayed based on the error reason.</t>
        </is>
      </c>
      <c r="M2530" t="n">
        <v>0.0038</v>
      </c>
      <c r="N2530" t="n">
        <v>0.0351</v>
      </c>
      <c r="O2530" t="n">
        <v>0.0833</v>
      </c>
    </row>
    <row r="2531">
      <c r="A2531" t="inlineStr">
        <is>
          <t>wordpress</t>
        </is>
      </c>
      <c r="B2531" t="inlineStr">
        <is>
          <t>WordPress/src/main/java/org/wordpress/android/ui/publicize/PublicizeListViewModel.kt</t>
        </is>
      </c>
      <c r="C2531">
        <f>HYPERLINK("https://github.com/wordpress-mobile/WordPress-Android/blob/master/WordPress/src/main/java/org/wordpress/android/ui/publicize/PublicizeListViewModel.kt")</f>
        <v/>
      </c>
      <c r="D2531" t="inlineStr">
        <is>
          <t>The `PublicizeListViewModel` class is a scoped view model in Android that manages the list of publicize connections for a WordPress site. It uses coroutines to update services asynchronously and handles events through an event bus. The ViewModel interacts with various models such as `SiteModel`, `AccountStore`, and `PublicizeConnection`. It provides LiveData objects for managing UI updates related to publicize connections and</t>
        </is>
      </c>
      <c r="E2531" t="n">
        <v>0.003</v>
      </c>
      <c r="F2531" t="n">
        <v>0.0294</v>
      </c>
      <c r="G2531" t="n">
        <v>0.07580000000000001</v>
      </c>
      <c r="H2531" t="inlineStr">
        <is>
          <t>Manages the list of publicize connections for WordPress sites using LiveData and Coroutines. Handles service updates and events through EventBusWrapper. Uses AccountStore to fetch site models. Complexity is O(N) due to potential data processing requirements.</t>
        </is>
      </c>
      <c r="I2531" t="n">
        <v>0.0053</v>
      </c>
      <c r="J2531" t="n">
        <v>0.0455</v>
      </c>
      <c r="K2531" t="n">
        <v>0.0935</v>
      </c>
      <c r="L2531" t="inlineStr">
        <is>
          <t>This ViewModel manages the list of publicize connections for WordPress sites. It fetches site data from FluxC, updates connection status using `PublicizeUpdateServicesV2`, and handles events related to publicize services through EventBusWrapper. The viewModel is designed to be used in Android applications and utilizes coroutines for background tasks.</t>
        </is>
      </c>
      <c r="M2531" t="n">
        <v>0.0046</v>
      </c>
      <c r="N2531" t="n">
        <v>0.0727</v>
      </c>
      <c r="O2531" t="n">
        <v>0.1261</v>
      </c>
    </row>
    <row r="2532">
      <c r="A2532" t="inlineStr">
        <is>
          <t>wordpress</t>
        </is>
      </c>
      <c r="B2532" t="inlineStr">
        <is>
          <t>WordPress/src/main/java/org/wordpress/android/ui/publicize/PublicizeConstants.java</t>
        </is>
      </c>
      <c r="C2532">
        <f>HYPERLINK("https://github.com/wordpress-mobile/WordPress-Android/blob/master/WordPress/src/main/java/org/wordpress/android/ui/publicize/PublicizeConstants.java")</f>
        <v/>
      </c>
      <c r="D2532" t="inlineStr">
        <is>
          <t>The `PublicizeConstants` class in the `org.wordpress.android.ui.publicize` package defines several constants used throughout the WordPress Android app for managing social media connections. These include:
1. **Argument Keys**: 
   - `ARG_SERVICE_ID`: A string key for passing service IDs.
   - `ARG_CONNECTION_ID`: A string key for passing connection IDs.
   - `ARG_CONNECTION_ARRAY_JSON</t>
        </is>
      </c>
      <c r="E2532" t="n">
        <v>0</v>
      </c>
      <c r="F2532" t="n">
        <v>0</v>
      </c>
      <c r="G2532" t="n">
        <v>0.0424</v>
      </c>
      <c r="H2532" t="inlineStr">
        <is>
          <t>The provided Java code defines constants for various services used in WordPress's publicize feature, including service IDs, connection IDs, and JSON arrays related to connections. It also includes an enumeration for different connect actions such as connecting, disconnecting, reconnecting, or connecting another account. The README file describes this repository as containing backend software components with complexity O(N), indicating that it may involve processing data structures or</t>
        </is>
      </c>
      <c r="I2532" t="n">
        <v>0.0033</v>
      </c>
      <c r="J2532" t="n">
        <v>0.0526</v>
      </c>
      <c r="K2532" t="n">
        <v>0.1449</v>
      </c>
      <c r="L2532" t="inlineStr">
        <is>
          <t>This Java class defines constants used for publicizing content across various social media platforms within WordPress Android applications. It includes service IDs, connection identifiers, JSON arrays for connections, platform-specific IDs (Google+, Facebook, Twitter, LinkedIn), and a support link for Facebook sharing. The `ConnectAction` enumeration specifies possible actions related to connecting, disconnecting, reconnecting, and connecting another account through these services.</t>
        </is>
      </c>
      <c r="M2532" t="n">
        <v>0.0037</v>
      </c>
      <c r="N2532" t="n">
        <v>0.0588</v>
      </c>
      <c r="O2532" t="n">
        <v>0.1145</v>
      </c>
    </row>
    <row r="2533">
      <c r="A2533" t="inlineStr">
        <is>
          <t>wordpress</t>
        </is>
      </c>
      <c r="B2533" t="inlineStr">
        <is>
          <t>WordPress/src/main/java/org/wordpress/android/ui/publicize/PublicizeListFragment.java</t>
        </is>
      </c>
      <c r="C2533">
        <f>HYPERLINK("https://github.com/wordpress-mobile/WordPress-Android/blob/master/WordPress/src/main/java/org/wordpress/android/ui/publicize/PublicizeListFragment.java")</f>
        <v/>
      </c>
      <c r="D2533" t="inlineStr">
        <is>
          <t>The provided code is part of a WordPress Android application that handles publicizing content to various services like social media platforms. It includes:
- A fragment (`PublicizeListFragment`) for displaying a list of publicization options.
- An activity (`WPWebViewActivity`) for handling web views within the app.
- A bottom sheet fragment (`JetpackPoweredBottomSheetFragment`) for displaying Jetpack-powered screen information</t>
        </is>
      </c>
      <c r="E2533" t="n">
        <v>0</v>
      </c>
      <c r="F2533" t="n">
        <v>0</v>
      </c>
      <c r="G2533" t="n">
        <v>0.0391</v>
      </c>
      <c r="H2533" t="inlineStr">
        <is>
          <t>Manages Jetpack-powered screens for WordPress sites in Android applications.</t>
        </is>
      </c>
      <c r="I2533" t="n">
        <v>0</v>
      </c>
      <c r="J2533" t="n">
        <v>0</v>
      </c>
      <c r="K2533" t="n">
        <v>0</v>
      </c>
      <c r="L2533" t="inlineStr">
        <is>
          <t>This Android fragment displays a list of publicize services available for Jetpack-powered sites within WordPress.com. It uses a RecyclerView to show each service's icon and name, allowing users to select one for integration. The fragment is part of the Publicize feature in the WordPress app and requires a SiteModel to fetch data about the site's capabilities.</t>
        </is>
      </c>
      <c r="M2533" t="n">
        <v>0.0039</v>
      </c>
      <c r="N2533" t="n">
        <v>0.0588</v>
      </c>
      <c r="O2533" t="n">
        <v>0.1172</v>
      </c>
    </row>
    <row r="2534">
      <c r="A2534" t="inlineStr">
        <is>
          <t>wordpress</t>
        </is>
      </c>
      <c r="B2534" t="inlineStr">
        <is>
          <t>WordPress/src/main/java/org/wordpress/android/ui/publicize/PublicizeEvents.java</t>
        </is>
      </c>
      <c r="C2534">
        <f>HYPERLINK("https://github.com/wordpress-mobile/WordPress-Android/blob/master/WordPress/src/main/java/org/wordpress/android/ui/publicize/PublicizeEvents.java")</f>
        <v/>
      </c>
      <c r="D2534" t="inlineStr">
        <is>
          <t>The provided code defines a package `org.wordpress.android.ui.publicize` containing two main classes: `PublicizeEvents` and its nested classes `ConnectionsChanged` and `ActionCompleted`. 
- **PublicizeEvents**: This class serves as a container for various events related to WordPress publicization features within the Android application. It includes:
  - A private constructor to prevent instantiation outside the package.</t>
        </is>
      </c>
      <c r="E2534" t="n">
        <v>0.0043</v>
      </c>
      <c r="F2534" t="n">
        <v>0.0328</v>
      </c>
      <c r="G2534" t="n">
        <v>0.0813</v>
      </c>
      <c r="H2534" t="inlineStr">
        <is>
          <t>This repository contains backend software components that implement core algorithms.</t>
        </is>
      </c>
      <c r="I2534" t="n">
        <v>0.0278</v>
      </c>
      <c r="J2534" t="n">
        <v>0.4444</v>
      </c>
      <c r="K2534" t="n">
        <v>0.3849</v>
      </c>
      <c r="L2534" t="inlineStr">
        <is>
          <t>The `PublicizeEvents` package contains two main event classes: `ConnectionsChanged` and `ActionCompleted`. The `ConnectionsChanged` event indicates that there has been a change in the list of connected services. The `ActionCompleted` event provides details about the completion of a publicize action, including whether it was successful, which action was performed, the name of the service involved, and optionally a</t>
        </is>
      </c>
      <c r="M2534" t="n">
        <v>0.0032</v>
      </c>
      <c r="N2534" t="n">
        <v>0.0308</v>
      </c>
      <c r="O2534" t="n">
        <v>0.0388</v>
      </c>
    </row>
    <row r="2535">
      <c r="A2535" t="inlineStr">
        <is>
          <t>wordpress</t>
        </is>
      </c>
      <c r="B2535" t="inlineStr">
        <is>
          <t>WordPress/src/main/java/org/wordpress/android/ui/publicize/PublicizeListActivity.java</t>
        </is>
      </c>
      <c r="C2535">
        <f>HYPERLINK("https://github.com/wordpress-mobile/WordPress-Android/blob/master/WordPress/src/main/java/org/wordpress/android/ui/publicize/PublicizeListActivity.java")</f>
        <v/>
      </c>
      <c r="D2535" t="inlineStr">
        <is>
          <t>The provided code is part of the WordPress Android app's Publicize feature, which allows users to share content on various social media platforms. The code includes:
- A `ProgressDialog` for displaying loading indicators.
- An `ActionBar` with a toolbar that can be used to navigate back or display menu items.
- A `MaterialAlertDialogBuilder` for creating dialogs.
- Event bus subscriptions for handling events related</t>
        </is>
      </c>
      <c r="E2535" t="n">
        <v>0</v>
      </c>
      <c r="F2535" t="n">
        <v>0</v>
      </c>
      <c r="G2535" t="n">
        <v>0.0368</v>
      </c>
      <c r="H2535" t="inlineStr">
        <is>
          <t>Manages publicize features in WordPress Android app by handling UI elements like progress dialogs, toolbars, and fragment transactions. Uses EventBus for communication between different parts of the application. Implements core algorithms related to site modifications. Complexity is high due to extensive logic and event handling.</t>
        </is>
      </c>
      <c r="I2535" t="n">
        <v>0.0049</v>
      </c>
      <c r="J2535" t="n">
        <v>0.1132</v>
      </c>
      <c r="K2535" t="n">
        <v>0.2698</v>
      </c>
      <c r="L2535" t="inlineStr">
        <is>
          <t>This Android fragment manages publicize integration for WordPress sites within the app. It handles toolbar interactions, displays progress dialogs, and processes site modifications using EventBus events. The fragment is part of the publicize feature implementation in the WordPress Android app.</t>
        </is>
      </c>
      <c r="M2535" t="n">
        <v>0.0055</v>
      </c>
      <c r="N2535" t="n">
        <v>0.0833</v>
      </c>
      <c r="O2535" t="n">
        <v>0.1786</v>
      </c>
    </row>
    <row r="2536">
      <c r="A2536" t="inlineStr">
        <is>
          <t>wordpress</t>
        </is>
      </c>
      <c r="B2536" t="inlineStr">
        <is>
          <t>WordPress/src/main/java/org/wordpress/android/ui/publicize/ConnectButton.java</t>
        </is>
      </c>
      <c r="C2536">
        <f>HYPERLINK("https://github.com/wordpress-mobile/WordPress-Android/blob/master/WordPress/src/main/java/org/wordpress/android/ui/publicize/ConnectButton.java")</f>
        <v/>
      </c>
      <c r="D2536" t="inlineStr">
        <is>
          <t>The `ConnectButton` class is a custom material design button used in the WordPress Android app for managing publicize connections. It supports three actions: connecting, disconnecting, or reconnecting. The button's appearance and behavior change based on its current action state. The class updates its UI to reflect these states by setting appropriate text resources using the `updateView()` method.</t>
        </is>
      </c>
      <c r="E2536" t="n">
        <v>0.0032</v>
      </c>
      <c r="F2536" t="n">
        <v>0.0303</v>
      </c>
      <c r="G2536" t="n">
        <v>0.0775</v>
      </c>
      <c r="H2536" t="inlineStr">
        <is>
          <t>This repository contains backend software components that implement core algorithms. The complexity is O(N), indicating linear time complexity for certain operations. The implementation includes comments explaining the purpose of each part of the code. The commits indicate the initial creation of the codebase. The total size of the code is 1000 lines.</t>
        </is>
      </c>
      <c r="I2536" t="n">
        <v>0.0046</v>
      </c>
      <c r="J2536" t="n">
        <v>0.1311</v>
      </c>
      <c r="K2536" t="n">
        <v>0.2016</v>
      </c>
      <c r="L2536" t="inlineStr">
        <is>
          <t>This Android UI component is a `MaterialButton` that serves as a toggle for connecting, disconnecting, or reconnecting to a service using the WordPress.com Publicize feature. It updates its appearance based on whether the connection state is "CONNECT," "DISCONNECT," or "RECONNECT." The button's text changes dynamically according to these states, providing feedback to the user about the current connection status.</t>
        </is>
      </c>
      <c r="M2536" t="n">
        <v>0.0031</v>
      </c>
      <c r="N2536" t="n">
        <v>0.029</v>
      </c>
      <c r="O2536" t="n">
        <v>0.07630000000000001</v>
      </c>
    </row>
    <row r="2537">
      <c r="A2537" t="inlineStr">
        <is>
          <t>wordpress</t>
        </is>
      </c>
      <c r="B2537" t="inlineStr">
        <is>
          <t>WordPress/src/main/java/org/wordpress/android/ui/publicize/PublicizeTwitterDeprecationNoticeAnalyticsTracker.kt</t>
        </is>
      </c>
      <c r="C2537">
        <f>HYPERLINK("https://github.com/wordpress-mobile/WordPress-Android/blob/master/WordPress/src/main/java/org/wordpress/android/ui/publicize/PublicizeTwitterDeprecationNoticeAnalyticsTracker.kt")</f>
        <v/>
      </c>
      <c r="D2537" t="inlineStr">
        <is>
          <t>The `PublicizeTwitterDeprecationNoticeAnalyticsTracker` class is an Android component that tracks events related to tapping on links in Twitter deprecation notices within the WordPress app. It uses dependency injection for the `AnalyticsTrackerWrapper`, which allows it to send tracking data to Google Analytics. The class includes a method `trackTwitterNoticeLinkTapped` that logs when a user taps on a link in</t>
        </is>
      </c>
      <c r="E2537" t="n">
        <v>0</v>
      </c>
      <c r="F2537" t="n">
        <v>0</v>
      </c>
      <c r="G2537" t="n">
        <v>0.0391</v>
      </c>
      <c r="H2537" t="inlineStr">
        <is>
          <t>Manages analytics tracking for Twitter deprecation notices in WordPress Android app. Tracks link taps on notice sources (list or detail). Uses dependency injection for analytics tracker wrapper. Contains constants for source key. Complexity is O(N), but this refers to the number of operations performed within methods rather than overall complexity.</t>
        </is>
      </c>
      <c r="I2537" t="n">
        <v>0</v>
      </c>
      <c r="J2537" t="n">
        <v>0.0339</v>
      </c>
      <c r="K2537" t="n">
        <v>0.082</v>
      </c>
      <c r="L2537" t="inlineStr">
        <is>
          <t>The `PublicizeTwitterDeprecationNoticeAnalyticsTracker` class is responsible for tracking when users tap links related to Twitter deprecation notices within the WordPress Android app. It uses dependency injection to inject an instance of `AnalyticsTrackerWrapper`. The class provides a method `trackTwitterNoticeLinkTapped` that logs an event using the specified `AnalyticsTracker`, passing the tapped link's source as metadata.</t>
        </is>
      </c>
      <c r="M2537" t="n">
        <v>0</v>
      </c>
      <c r="N2537" t="n">
        <v>0</v>
      </c>
      <c r="O2537" t="n">
        <v>0.0403</v>
      </c>
    </row>
    <row r="2538">
      <c r="A2538" t="inlineStr">
        <is>
          <t>wordpress</t>
        </is>
      </c>
      <c r="B2538" t="inlineStr">
        <is>
          <t>WordPress/src/main/java/org/wordpress/android/ui/publicize/PublicizeButtonPrefsFragment.java</t>
        </is>
      </c>
      <c r="C2538">
        <f>HYPERLINK("https://github.com/wordpress-mobile/WordPress-Android/blob/master/WordPress/src/main/java/org/wordpress/android/ui/publicize/PublicizeButtonPrefsFragment.java")</f>
        <v/>
      </c>
      <c r="D2538" t="inlineStr">
        <is>
          <t>The provided code is part of a WordPress Android application that handles publicizing content to various social media platforms. It includes classes for managing publicize buttons, handling site settings, and performing network operations. The complexity of the implementation is O(N), where N represents the number of elements being processed or manipulated. The code uses JSON parsing, networking utilities, and analytics tracking functionalities within the WordPress Android framework.</t>
        </is>
      </c>
      <c r="E2538" t="n">
        <v>0.0027</v>
      </c>
      <c r="F2538" t="n">
        <v>0.0526</v>
      </c>
      <c r="G2538" t="n">
        <v>0.1079</v>
      </c>
      <c r="H2538" t="inlineStr">
        <is>
          <t>Manages site settings for WordPress Android app.</t>
        </is>
      </c>
      <c r="I2538" t="n">
        <v>0</v>
      </c>
      <c r="J2538" t="n">
        <v>0</v>
      </c>
      <c r="K2538" t="n">
        <v>0</v>
      </c>
      <c r="L2538" t="inlineStr">
        <is>
          <t>This Android fragment handles publicizing content from WordPress sites using various social media platforms. It processes JSON data received from the server, updates site settings accordingly, and tracks analytics events for each publication attempt. The fragment is designed to be scrollable and provides feedback through Toast messages when publications succeed or fail.</t>
        </is>
      </c>
      <c r="M2538" t="n">
        <v>0.0042</v>
      </c>
      <c r="N2538" t="n">
        <v>0.0667</v>
      </c>
      <c r="O2538" t="n">
        <v>0.121</v>
      </c>
    </row>
    <row r="2539">
      <c r="A2539" t="inlineStr">
        <is>
          <t>wordpress</t>
        </is>
      </c>
      <c r="B2539" t="inlineStr">
        <is>
          <t>WordPress/src/main/java/org/wordpress/android/ui/publicize/PublicizeDetailFragment.java</t>
        </is>
      </c>
      <c r="C2539">
        <f>HYPERLINK("https://github.com/wordpress-mobile/WordPress-Android/blob/master/WordPress/src/main/java/org/wordpress/android/ui/publicize/PublicizeDetailFragment.java")</f>
        <v/>
      </c>
      <c r="D2539" t="inlineStr">
        <is>
          <t>The provided code is part of a WordPress Android application that handles publicizing content to various services such as Twitter. It includes functionalities for displaying a list of connected services, handling service connections, and managing deprecation notices related to Twitter integration. The code uses RecyclerView to display the list of services and interacts with the WPWebViewActivity for web-based operations.</t>
        </is>
      </c>
      <c r="E2539" t="n">
        <v>0.0031</v>
      </c>
      <c r="F2539" t="n">
        <v>0.0588</v>
      </c>
      <c r="G2539" t="n">
        <v>0.07630000000000001</v>
      </c>
      <c r="H2539" t="inlineStr">
        <is>
          <t>Manages publicizing services for WordPress sites in Android applications.</t>
        </is>
      </c>
      <c r="I2539" t="n">
        <v>0</v>
      </c>
      <c r="J2539" t="n">
        <v>0</v>
      </c>
      <c r="K2539" t="n">
        <v>0</v>
      </c>
      <c r="L2539" t="inlineStr">
        <is>
          <t>The provided code is part of the WordPress Android app's publicize feature, specifically handling Twitter integration within the app. It manages the UI for displaying connected Twitter accounts and provides options to connect new ones. The code uses RecyclerView to display a list of connected services (including Twitter), handles user interactions such as connecting new services, and tracks analytics related to Twitter deprecation notices.</t>
        </is>
      </c>
      <c r="M2539" t="n">
        <v>0.0028</v>
      </c>
      <c r="N2539" t="n">
        <v>0.0274</v>
      </c>
      <c r="O2539" t="n">
        <v>0.0735</v>
      </c>
    </row>
    <row r="2540">
      <c r="A2540" t="inlineStr">
        <is>
          <t>wordpress</t>
        </is>
      </c>
      <c r="B2540" t="inlineStr">
        <is>
          <t>WordPress/src/main/java/org/wordpress/android/ui/publicize/PublicizeWebViewFragment.java</t>
        </is>
      </c>
      <c r="C2540">
        <f>HYPERLINK("https://github.com/wordpress-mobile/WordPress-Android/blob/master/WordPress/src/main/java/org/wordpress/android/ui/publicize/PublicizeWebViewFragment.java")</f>
        <v/>
      </c>
      <c r="D2540" t="inlineStr">
        <is>
          <t>The provided code is part of the WordPress Android app's Publicize feature, which allows users to share their posts on various social media platforms. The class `PublicizeWebFragment` handles displaying web content related to publicizing posts through a WebView component. It initializes the WebView with necessary settings and loads URLs based on user-selected services. The fragment also includes a ProgressBar for loading indicators and implements methods to handle</t>
        </is>
      </c>
      <c r="E2540" t="n">
        <v>0.0032</v>
      </c>
      <c r="F2540" t="n">
        <v>0.026</v>
      </c>
      <c r="G2540" t="n">
        <v>0.1079</v>
      </c>
      <c r="H2540" t="inlineStr">
        <is>
          <t>Manages backend software components with core algorithm implementations.</t>
        </is>
      </c>
      <c r="I2540" t="n">
        <v>0.033</v>
      </c>
      <c r="J2540" t="n">
        <v>0.25</v>
      </c>
      <c r="K2540" t="n">
        <v>0.125</v>
      </c>
      <c r="L2540" t="inlineStr">
        <is>
          <t>This Android fragment displays publicize connections for a WordPress site using a WebView to render HTML content. It retrieves connection data from the database, sets up Web settings, loads the necessary JavaScript files, and handles navigation within the WebView. The fragment also listens for scroll view initialization events to ensure proper layout adjustments.</t>
        </is>
      </c>
      <c r="M2540" t="n">
        <v>0.0041</v>
      </c>
      <c r="N2540" t="n">
        <v>0.06560000000000001</v>
      </c>
      <c r="O2540" t="n">
        <v>0.12</v>
      </c>
    </row>
    <row r="2541">
      <c r="A2541" t="inlineStr">
        <is>
          <t>wordpress</t>
        </is>
      </c>
      <c r="B2541" t="inlineStr">
        <is>
          <t>WordPress/src/main/java/org/wordpress/android/ui/publicize/PublicizeActions.java</t>
        </is>
      </c>
      <c r="C2541">
        <f>HYPERLINK("https://github.com/wordpress-mobile/WordPress-Android/blob/master/WordPress/src/main/java/org/wordpress/android/ui/publicize/PublicizeActions.java")</f>
        <v/>
      </c>
      <c r="D2541" t="inlineStr">
        <is>
          <t>The provided Java code is part of a WordPress Android application that handles publicize service connections and disconnections. It uses Volley for network requests and EventBus for event handling. The `PublicizeAc` class manages these operations by interacting with the WordPress REST API through RestRequest. Key functionalities include:
- Connecting or disconnecting publicize services.
- Handling errors using Volley's error listener.
- Posting events when</t>
        </is>
      </c>
      <c r="E2541" t="n">
        <v>0.0028</v>
      </c>
      <c r="F2541" t="n">
        <v>0.0286</v>
      </c>
      <c r="G2541" t="n">
        <v>0.0735</v>
      </c>
      <c r="H2541" t="inlineStr">
        <is>
          <t>Manages API calls for connecting and disconnecting publicize services in WordPress Android app.</t>
        </is>
      </c>
      <c r="I2541" t="n">
        <v>0.0155</v>
      </c>
      <c r="J2541" t="n">
        <v>0.09520000000000001</v>
      </c>
      <c r="K2541" t="n">
        <v>0.0588</v>
      </c>
      <c r="L2541" t="inlineStr">
        <is>
          <t>This Java class handles API calls for connecting and disconnecting publicize services within WordPress Android app. It uses Volley library for network requests and EventBus for event handling. The class interacts with local database using PublicizeTable and models such as PublicizeConnection and PublicizeService. It processes JSON responses from RESTful APIs and updates UI accordingly through events.</t>
        </is>
      </c>
      <c r="M2541" t="n">
        <v>0.0039</v>
      </c>
      <c r="N2541" t="n">
        <v>0.0625</v>
      </c>
      <c r="O2541" t="n">
        <v>0.1172</v>
      </c>
    </row>
    <row r="2542">
      <c r="A2542" t="inlineStr">
        <is>
          <t>wordpress</t>
        </is>
      </c>
      <c r="B2542" t="inlineStr">
        <is>
          <t>WordPress/src/main/java/org/wordpress/android/ui/publicize/PublicizeServiceIcon.kt</t>
        </is>
      </c>
      <c r="C2542">
        <f>HYPERLINK("https://github.com/wordpress-mobile/WordPress-Android/blob/master/WordPress/src/main/java/org/wordpress/android/ui/publicize/PublicizeServiceIcon.kt")</f>
        <v/>
      </c>
      <c r="D2542" t="inlineStr">
        <is>
          <t>The code defines an `enum` called `PublicizeServiceIcon` that maps publicize service IDs to their corresponding local icon resource IDs. This allows for easy access to custom icons for each service in the WordPress Android app. Each enum constant includes a `serviceId` (a string representing the service's ID from the Publicize API) and an `iconResId` (an integer referencing the</t>
        </is>
      </c>
      <c r="E2542" t="n">
        <v>0.0037</v>
      </c>
      <c r="F2542" t="n">
        <v>0.0597</v>
      </c>
      <c r="G2542" t="n">
        <v>0.1154</v>
      </c>
      <c r="H2542" t="inlineStr">
        <is>
          <t>The code defines an enum `PublicizeServiceIcon` that maps publicize service IDs to their corresponding local icon resources. This allows for customization of icons in the WordPress Android app for various social media services.</t>
        </is>
      </c>
      <c r="I2542" t="n">
        <v>0.0056</v>
      </c>
      <c r="J2542" t="n">
        <v>0.0488</v>
      </c>
      <c r="K2542" t="n">
        <v>0.09520000000000001</v>
      </c>
      <c r="L2542" t="inlineStr">
        <is>
          <t>The `PublicizeServiceIcon` enum maps publicize services to their corresponding local icon resources, allowing for customization of the UI for these services. It includes icons for various platforms such as Bluesky, Facebook, Instagram, LinkedIn, Mastodon, Nextdoor, Threads, and Tumblr.</t>
        </is>
      </c>
      <c r="M2542" t="n">
        <v>0.0049</v>
      </c>
      <c r="N2542" t="n">
        <v>0.0435</v>
      </c>
      <c r="O2542" t="n">
        <v>0.09089999999999999</v>
      </c>
    </row>
    <row r="2543">
      <c r="A2543" t="inlineStr">
        <is>
          <t>wordpress</t>
        </is>
      </c>
      <c r="B2543" t="inlineStr">
        <is>
          <t>WordPress/src/main/java/org/wordpress/android/ui/publicize/PublicizeAccountChooserDialogFragment.java</t>
        </is>
      </c>
      <c r="C2543">
        <f>HYPERLINK("https://github.com/wordpress-mobile/WordPress-Android/blob/master/WordPress/src/main/java/org/wordpress/android/ui/publicize/PublicizeAccountChooserDialogFragment.java")</f>
        <v/>
      </c>
      <c r="D2543" t="inlineStr">
        <is>
          <t>The provided code is part of the WordPress Android app's Publicize feature, which allows users to connect their social media accounts with their WordPress site for sharing content. The code defines a `PublicizeConnectionsDialog` class that extends `DialogFragment`. This dialog displays a list of connected publicize services using a RecyclerView. It retrieves the list of connections from the database using the `PublicizeTable` model</t>
        </is>
      </c>
      <c r="E2543" t="n">
        <v>0.0029</v>
      </c>
      <c r="F2543" t="n">
        <v>0.0282</v>
      </c>
      <c r="G2543" t="n">
        <v>0.0746</v>
      </c>
      <c r="H2543" t="inlineStr">
        <is>
          <t>Manages publicize connections for WordPress sites using Android UI elements and RecyclerViews. Handles JSON data processing and event bus communication. Complexity is O(N) due to potential operations on large datasets.</t>
        </is>
      </c>
      <c r="I2543" t="n">
        <v>0.0062</v>
      </c>
      <c r="J2543" t="n">
        <v>0.0513</v>
      </c>
      <c r="K2543" t="n">
        <v>0.098</v>
      </c>
      <c r="L2543" t="inlineStr">
        <is>
          <t>This Android fragment displays a dialog listing publicize connections for a given site, allowing users to manage them. It uses a RecyclerView to display the list of services and their associated connection details. The fragment is part of the WordPress app's Publicize feature and integrates with EventBus for event handling.</t>
        </is>
      </c>
      <c r="M2543" t="n">
        <v>0.0044</v>
      </c>
      <c r="N2543" t="n">
        <v>0.0678</v>
      </c>
      <c r="O2543" t="n">
        <v>0.123</v>
      </c>
    </row>
    <row r="2544">
      <c r="A2544" t="inlineStr">
        <is>
          <t>wordpress</t>
        </is>
      </c>
      <c r="B2544" t="inlineStr">
        <is>
          <t>WordPress/src/main/java/org/wordpress/android/ui/publicize/services/PublicizeUpdateServicesV2.kt</t>
        </is>
      </c>
      <c r="C2544">
        <f>HYPERLINK("https://github.com/wordpress-mobile/WordPress-Android/blob/master/WordPress/src/main/java/org/wordpress/android/ui/publicize/services/PublicizeUpdateServicesV2.kt")</f>
        <v/>
      </c>
      <c r="D2544" t="inlineStr">
        <is>
          <t>The `PublicizeUpdateServicesV2` class is responsible for fetching and updating the list of publicize services available on a WordPress site using REST API requests. It uses dependency injection to inject a `RestClientProvider`. The `updateServices` function logs the start of the service update process, makes a request to fetch the latest service list from the server, parses the JSON response into a `Public</t>
        </is>
      </c>
      <c r="E2544" t="n">
        <v>0.003</v>
      </c>
      <c r="F2544" t="n">
        <v>0.029</v>
      </c>
      <c r="G2544" t="n">
        <v>0.0752</v>
      </c>
      <c r="H2544" t="inlineStr">
        <is>
          <t>This repository contains backend software components that implement core algorithms. The complexity is O(N), indicating linear time complexity for certain operations.</t>
        </is>
      </c>
      <c r="I2544" t="n">
        <v>0.012</v>
      </c>
      <c r="J2544" t="n">
        <v>0.2667</v>
      </c>
      <c r="K2544" t="n">
        <v>0.3394</v>
      </c>
      <c r="L2544" t="inlineStr">
        <is>
          <t>The `PublicizeUpdateServicesV2` class updates the list of publicize services for a given site using REST requests. It retrieves the latest service list from the WordPress REST API and compares it with the locally stored list. If there are any changes, it updates the local database accordingly. The method is called with callbacks for successful and failed updates.</t>
        </is>
      </c>
      <c r="M2544" t="n">
        <v>0.0032</v>
      </c>
      <c r="N2544" t="n">
        <v>0.0308</v>
      </c>
      <c r="O2544" t="n">
        <v>0.0775</v>
      </c>
    </row>
    <row r="2545">
      <c r="A2545" t="inlineStr">
        <is>
          <t>wordpress</t>
        </is>
      </c>
      <c r="B2545" t="inlineStr">
        <is>
          <t>WordPress/src/main/java/org/wordpress/android/ui/publicize/adapters/PublicizeConnectionAdapter.java</t>
        </is>
      </c>
      <c r="C2545">
        <f>HYPERLINK("https://github.com/wordpress-mobile/WordPress-Android/blob/master/WordPress/src/main/java/org/wordpress/android/ui/publicize/adapters/PublicizeConnectionAdapter.java")</f>
        <v/>
      </c>
      <c r="D2545" t="inlineStr">
        <is>
          <t>The provided code is part of a WordPress Android application's publicize feature, specifically within the `org.wordpress.android.ui.publicize.adapters` package. It implements a RecyclerView adapter to display and manage connections between WordPress sites and various social media services. The adapter handles data binding for each connection item, including displaying service icons, names, statuses, and buttons for connecting or disconnecting from services. The code uses</t>
        </is>
      </c>
      <c r="E2545" t="n">
        <v>0.0036</v>
      </c>
      <c r="F2545" t="n">
        <v>0.0533</v>
      </c>
      <c r="G2545" t="n">
        <v>0.1128</v>
      </c>
      <c r="H2545" t="inlineStr">
        <is>
          <t>Manages RecyclerView items for publicizing services in WordPress Android app.</t>
        </is>
      </c>
      <c r="I2545" t="n">
        <v>0</v>
      </c>
      <c r="J2545" t="n">
        <v>0</v>
      </c>
      <c r="K2545" t="n">
        <v>0</v>
      </c>
      <c r="L2545" t="inlineStr">
        <is>
          <t>This RecyclerView adapter is used to display publicize connections for WordPress sites within the Android application. It binds data from `PublicizeConnection` models to views that show service icons, connection status indicators, and action buttons like "Connect" or "Disconnect." The adapter handles layout inflation, view binding, and updates based on changes in the dataset.</t>
        </is>
      </c>
      <c r="M2545" t="n">
        <v>0.0041</v>
      </c>
      <c r="N2545" t="n">
        <v>0.06560000000000001</v>
      </c>
      <c r="O2545" t="n">
        <v>0.12</v>
      </c>
    </row>
    <row r="2546">
      <c r="A2546" t="inlineStr">
        <is>
          <t>wordpress</t>
        </is>
      </c>
      <c r="B2546" t="inlineStr">
        <is>
          <t>WordPress/src/main/java/org/wordpress/android/ui/publicize/adapters/PublicizeServiceAdapter.java</t>
        </is>
      </c>
      <c r="C2546">
        <f>HYPERLINK("https://github.com/wordpress-mobile/WordPress-Android/blob/master/WordPress/src/main/java/org/wordpress/android/ui/publicize/adapters/PublicizeServiceAdapter.java")</f>
        <v/>
      </c>
      <c r="D2546" t="inlineStr">
        <is>
          <t>The provided code is part of a WordPress Android application that manages publicizing content to various services such as social media platforms. It includes adapters for RecyclerViews in the app's UI, which display lists of connected publicize services and their respective icons. The code uses AsyncTask for background operations related to fetching service data from the database. The complexity of this code is O(N), where N represents the number of</t>
        </is>
      </c>
      <c r="E2546" t="n">
        <v>0.0026</v>
      </c>
      <c r="F2546" t="n">
        <v>0.025</v>
      </c>
      <c r="G2546" t="n">
        <v>0.1056</v>
      </c>
      <c r="H2546" t="inlineStr">
        <is>
          <t>Manages publicize connections for WordPress apps.</t>
        </is>
      </c>
      <c r="I2546" t="n">
        <v>0</v>
      </c>
      <c r="J2546" t="n">
        <v>0</v>
      </c>
      <c r="K2546" t="n">
        <v>0</v>
      </c>
      <c r="L2546" t="inlineStr">
        <is>
          <t>The provided code is part of a RecyclerView adapter for displaying publicize connections in a WordPress Android application. It handles data binding between models (PublicizeConnection and PublicizeService) and views, including loading service icons asynchronously. The adapter uses AsyncTask for background image fetching and updates UI elements accordingly.</t>
        </is>
      </c>
      <c r="M2546" t="n">
        <v>0.0039</v>
      </c>
      <c r="N2546" t="n">
        <v>0.0364</v>
      </c>
      <c r="O2546" t="n">
        <v>0.08400000000000001</v>
      </c>
    </row>
    <row r="2547">
      <c r="A2547" t="inlineStr">
        <is>
          <t>wordpress</t>
        </is>
      </c>
      <c r="B2547" t="inlineStr">
        <is>
          <t>WordPress/src/main/java/org/wordpress/android/ui/uploads/UploadServiceFacade.kt</t>
        </is>
      </c>
      <c r="C2547">
        <f>HYPERLINK("https://github.com/wordpress-mobile/WordPress-Android/blob/master/WordPress/src/main/java/org/wordpress/android/ui/uploads/UploadServiceFacade.kt")</f>
        <v/>
      </c>
      <c r="D2547" t="inlineStr">
        <is>
          <t>The `UploadServiceFacade` class provides an interface for uploading posts using the `UploadService`. It allows for testing by injecting dependencies and handling different scenarios such as retrying uploads with analytics tracking.</t>
        </is>
      </c>
      <c r="E2547" t="n">
        <v>0.0062</v>
      </c>
      <c r="F2547" t="n">
        <v>0.0526</v>
      </c>
      <c r="G2547" t="n">
        <v>0.098</v>
      </c>
      <c r="H2547" t="inlineStr">
        <is>
          <t>Manages uploads using the `UploadService`. Provides testability by wrapping it in an injectable facade. Handles both full posts and individual post IDs with optional analytics tracking and logging sources. Complexity is linear due to potential processing of multiple items.</t>
        </is>
      </c>
      <c r="I2547" t="n">
        <v>0.0047</v>
      </c>
      <c r="J2547" t="n">
        <v>0.0426</v>
      </c>
      <c r="K2547" t="n">
        <v>0.0901</v>
      </c>
      <c r="L2547" t="inlineStr">
        <is>
          <t>This class provides an interface for uploading posts using the `UploadService`. It allows for testing by injecting dependencies and starting the service with specific parameters such as the post model, analytics tracking flag, and logging source.</t>
        </is>
      </c>
      <c r="M2547" t="n">
        <v>0.0061</v>
      </c>
      <c r="N2547" t="n">
        <v>0.09089999999999999</v>
      </c>
      <c r="O2547" t="n">
        <v>0.1389</v>
      </c>
    </row>
    <row r="2548">
      <c r="A2548" t="inlineStr">
        <is>
          <t>wordpress</t>
        </is>
      </c>
      <c r="B2548" t="inlineStr">
        <is>
          <t>WordPress/src/main/java/org/wordpress/android/ui/uploads/UploadService.java</t>
        </is>
      </c>
      <c r="C2548">
        <f>HYPERLINK("https://github.com/wordpress-mobile/WordPress-Android/blob/master/WordPress/src/main/java/org/wordpress/android/ui/uploads/UploadService.java")</f>
        <v/>
      </c>
      <c r="D2548" t="inlineStr">
        <is>
          <t>The provided code is part of the WordPress Android app's uploads service. It handles media upload operations using FluxC for data management and EventBus for event handling. The service listens for events related to post changes and triggers media uploads when necessary. It uses GreenRobot's EventBus for communication between different parts of the application.</t>
        </is>
      </c>
      <c r="E2548" t="n">
        <v>0.0034</v>
      </c>
      <c r="F2548" t="n">
        <v>0.0312</v>
      </c>
      <c r="G2548" t="n">
        <v>0.0794</v>
      </c>
      <c r="H2548" t="inlineStr">
        <is>
          <t>Manages media uploads in WordPress Android app using FluxC for data management and EventBus for event handling. Complexity is high due to extensive logic involving media models and flux actions.</t>
        </is>
      </c>
      <c r="I2548" t="n">
        <v>0.0062</v>
      </c>
      <c r="J2548" t="n">
        <v>0.1053</v>
      </c>
      <c r="K2548" t="n">
        <v>0.098</v>
      </c>
      <c r="L2548" t="inlineStr">
        <is>
          <t>This Android service handles media uploads for WordPress posts using FluxC for data management and EventBus for event handling. It processes incoming intents related to media upload requests, dispatches actions to update post states, and tracks analytics events during the process. The service is designed to be efficient with a time complexity of O(N), where N represents the number of media items being uploaded.</t>
        </is>
      </c>
      <c r="M2548" t="n">
        <v>0.0034</v>
      </c>
      <c r="N2548" t="n">
        <v>0.0548</v>
      </c>
      <c r="O2548" t="n">
        <v>0.1103</v>
      </c>
    </row>
    <row r="2549">
      <c r="A2549" t="inlineStr">
        <is>
          <t>wordpress</t>
        </is>
      </c>
      <c r="B2549" t="inlineStr">
        <is>
          <t>WordPress/src/main/java/org/wordpress/android/ui/uploads/UploadActionUseCase.kt</t>
        </is>
      </c>
      <c r="C2549">
        <f>HYPERLINK("https://github.com/wordpress-mobile/WordPress-Android/blob/master/WordPress/src/main/java/org/wordpress/android/ui/uploads/UploadActionUseCase.kt")</f>
        <v/>
      </c>
      <c r="D2549" t="inlineStr">
        <is>
          <t>The `UploadActionUseCase` class is a Dagger-reusable component that handles various actions related to uploads in WordPress Android applications. It interacts with the `PostStore`, `UploadStore`, and other utility classes like `DateTimeUtils`. The class provides methods for uploading posts as drafts or remotely saving them, along with handling auto-save retries up to three times within two days.</t>
        </is>
      </c>
      <c r="E2549" t="n">
        <v>0.0033</v>
      </c>
      <c r="F2549" t="n">
        <v>0.0308</v>
      </c>
      <c r="G2549" t="n">
        <v>0.0394</v>
      </c>
      <c r="H2549" t="inlineStr">
        <is>
          <t>Manages post uploads with retry logic and auto-save features using Dagger for dependency injection.</t>
        </is>
      </c>
      <c r="I2549" t="n">
        <v>0.0143</v>
      </c>
      <c r="J2549" t="n">
        <v>0.08699999999999999</v>
      </c>
      <c r="K2549" t="n">
        <v>0.1163</v>
      </c>
      <c r="L2549" t="inlineStr">
        <is>
          <t>The `UploadActionUseCase` class is responsible for managing upload actions such as uploading posts, saving them remotely, and handling auto-save retries. It uses Dagger dependency injection to inject dependencies like `UploadStore` and `PostUtilsWrapper`. The class provides methods to perform these actions based on different conditions, including checking if a post should be uploaded automatically after two days without any changes.</t>
        </is>
      </c>
      <c r="M2549" t="n">
        <v>0.0031</v>
      </c>
      <c r="N2549" t="n">
        <v>0.0294</v>
      </c>
      <c r="O2549" t="n">
        <v>0.07630000000000001</v>
      </c>
    </row>
    <row r="2550">
      <c r="A2550" t="inlineStr">
        <is>
          <t>wordpress</t>
        </is>
      </c>
      <c r="B2550" t="inlineStr">
        <is>
          <t>WordPress/src/main/java/org/wordpress/android/ui/uploads/UploadHandler.java</t>
        </is>
      </c>
      <c r="C2550">
        <f>HYPERLINK("https://github.com/wordpress-mobile/WordPress-Android/blob/master/WordPress/src/main/java/org/wordpress/android/ui/uploads/UploadHandler.java")</f>
        <v/>
      </c>
      <c r="D2550" t="inlineStr">
        <is>
          <t>The `UploadHandler` interface in the `org.wordpress.android.ui.uploads` package defines methods for uploading objects, checking if there are ongoing uploads, and cancelling them. The complexity is O(1) for each method, indicating constant time operations regardless of input size.</t>
        </is>
      </c>
      <c r="E2550" t="n">
        <v>0.0052</v>
      </c>
      <c r="F2550" t="n">
        <v>0.0408</v>
      </c>
      <c r="G2550" t="n">
        <v>0.0463</v>
      </c>
      <c r="H2550" t="inlineStr">
        <is>
          <t>The provided code defines an `UploadHandler` interface in Java that specifies methods for uploading objects, checking if there are in-progress uploads, and cancelling them. The complexity is O(N) due to potential operations on lists or collections within these methods.</t>
        </is>
      </c>
      <c r="I2550" t="n">
        <v>0.0047</v>
      </c>
      <c r="J2550" t="n">
        <v>0.0408</v>
      </c>
      <c r="K2550" t="n">
        <v>0.045</v>
      </c>
      <c r="L2550" t="inlineStr">
        <is>
          <t>The `UploadHandler` interface defines methods for uploading objects, checking if there are ongoing uploads, and cancelling them. It is part of the Android application's backend component responsible for managing file uploads. The implementation complexity is O(N), as it may involve processing multiple files concurrently.</t>
        </is>
      </c>
      <c r="M2550" t="n">
        <v>0.0042</v>
      </c>
      <c r="N2550" t="n">
        <v>0.037</v>
      </c>
      <c r="O2550" t="n">
        <v>0.1293</v>
      </c>
    </row>
    <row r="2551">
      <c r="A2551" t="inlineStr">
        <is>
          <t>wordpress</t>
        </is>
      </c>
      <c r="B2551" t="inlineStr">
        <is>
          <t>WordPress/src/main/java/org/wordpress/android/ui/uploads/PostEvents.java</t>
        </is>
      </c>
      <c r="C2551">
        <f>HYPERLINK("https://github.com/wordpress-mobile/WordPress-Android/blob/master/WordPress/src/main/java/org/wordpress/android/ui/uploads/PostEvents.java")</f>
        <v/>
      </c>
      <c r="D2551" t="inlineStr">
        <is>
          <t>The `PostEvents` class in the `org.wordpress.android.ui.uploads` package defines several event classes for handling different upload-related actions in WordPress Android app. These events include:
- `PostUploadStarted`: Triggered when a post starts uploading.
- `PostUploadCanceled`: Triggers when a post's upload is canceled.
- `PostMediaCanceled`: Triggers when media associated with a post</t>
        </is>
      </c>
      <c r="E2551" t="n">
        <v>0</v>
      </c>
      <c r="F2551" t="n">
        <v>0</v>
      </c>
      <c r="G2551" t="n">
        <v>0</v>
      </c>
      <c r="H2551" t="inlineStr">
        <is>
          <t>Manages events related to posts in WordPress Android app's upload process.</t>
        </is>
      </c>
      <c r="I2551" t="n">
        <v>0</v>
      </c>
      <c r="J2551" t="n">
        <v>0</v>
      </c>
      <c r="K2551" t="n">
        <v>0</v>
      </c>
      <c r="L2551" t="inlineStr">
        <is>
          <t>The `PostEvents` class in the `org.wordpress.android.ui.uploads` package defines several event classes that represent different actions related to posts during their upload process within the WordPress Android app. These events include:
1. **PostUploadStarted**: Triggered when a post starts uploading.
2. **PostUploadCanceled**: Indicates that a post's upload has been canceled.
3. **PostMediaCanceled</t>
        </is>
      </c>
      <c r="M2551" t="n">
        <v>0</v>
      </c>
      <c r="N2551" t="n">
        <v>0</v>
      </c>
      <c r="O2551" t="n">
        <v>0</v>
      </c>
    </row>
    <row r="2552">
      <c r="A2552" t="inlineStr">
        <is>
          <t>wordpress</t>
        </is>
      </c>
      <c r="B2552" t="inlineStr">
        <is>
          <t>WordPress/src/main/java/org/wordpress/android/ui/uploads/VideoOptimizerContracts.kt</t>
        </is>
      </c>
      <c r="C2552">
        <f>HYPERLINK("https://github.com/wordpress-mobile/WordPress-Android/blob/master/WordPress/src/main/java/org/wordpress/android/ui/uploads/VideoOptimizerContracts.kt")</f>
        <v/>
      </c>
      <c r="D2552" t="inlineStr">
        <is>
          <t>The code defines interfaces for video optimization in WordPress Android app. It includes `VideoOptimizerProvider` to initiate video optimization and `VideoOptimizationListener` to handle events during optimization. The `ProgressEvent` data class is used to pass progress updates between these interfaces.</t>
        </is>
      </c>
      <c r="E2552" t="n">
        <v>0.0049</v>
      </c>
      <c r="F2552" t="n">
        <v>0.0435</v>
      </c>
      <c r="G2552" t="n">
        <v>0.09089999999999999</v>
      </c>
      <c r="H2552" t="inlineStr">
        <is>
          <t>Provides interfaces for starting video optimization and listening to its completion or progress events, along with a data class representing these events.</t>
        </is>
      </c>
      <c r="I2552" t="n">
        <v>0.008699999999999999</v>
      </c>
      <c r="J2552" t="n">
        <v>0.0667</v>
      </c>
      <c r="K2552" t="n">
        <v>0.0532</v>
      </c>
      <c r="L2552" t="inlineStr">
        <is>
          <t>The `VideoOptimizerProvider` interface provides methods for starting video optimization processes, while the `VideoOptimizationListener` interface defines callbacks for when video optimization completes or progresses. The `ProgressEvent` data class holds details about the media being optimized and its current progress percentage.</t>
        </is>
      </c>
      <c r="M2552" t="n">
        <v>0.0047</v>
      </c>
      <c r="N2552" t="n">
        <v>0.0426</v>
      </c>
      <c r="O2552" t="n">
        <v>0.045</v>
      </c>
    </row>
    <row r="2553">
      <c r="A2553" t="inlineStr">
        <is>
          <t>wordpress</t>
        </is>
      </c>
      <c r="B2553" t="inlineStr">
        <is>
          <t>WordPress/src/main/java/org/wordpress/android/ui/uploads/MediaUploadHandler.java</t>
        </is>
      </c>
      <c r="C2553">
        <f>HYPERLINK("https://github.com/wordpress-mobile/WordPress-Android/blob/master/WordPress/src/main/java/org/wordpress/android/ui/uploads/MediaUploadHandler.java")</f>
        <v/>
      </c>
      <c r="D2553" t="inlineStr">
        <is>
          <t>The provided code is part of a WordPress Android application that handles media uploads using FluxC for data management and EventBus for event handling. It includes methods to upload media files, cancel uploads, and track analytics events related to media uploads. The code uses GreenRobot's EventBus library for asynchronous communication between different parts of the app.</t>
        </is>
      </c>
      <c r="E2553" t="n">
        <v>0.0033</v>
      </c>
      <c r="F2553" t="n">
        <v>0.0308</v>
      </c>
      <c r="G2553" t="n">
        <v>0.0781</v>
      </c>
      <c r="H2553" t="inlineStr">
        <is>
          <t>Manages media uploads in WordPress Android app using FluxC for data management and EventBus for event handling. Complexity is high due to extensive logic involving multiple models and stores.</t>
        </is>
      </c>
      <c r="I2553" t="n">
        <v>0.0065</v>
      </c>
      <c r="J2553" t="n">
        <v>0.1081</v>
      </c>
      <c r="K2553" t="n">
        <v>0.099</v>
      </c>
      <c r="L2553" t="inlineStr">
        <is>
          <t>This Java class is part of the WordPress Android app's upload feature, handling media uploads using FluxC for data management and EventBus for event-driven communication. It manages media uploads by subscribing to events related to media uploads and cancellations, updating the UI accordingly, and tracking analytics when media is uploaded successfully. The class interacts with various stores (SiteStore, MediaStore) to fetch site details and manage media</t>
        </is>
      </c>
      <c r="M2553" t="n">
        <v>0.0033</v>
      </c>
      <c r="N2553" t="n">
        <v>0.0526</v>
      </c>
      <c r="O2553" t="n">
        <v>0.1087</v>
      </c>
    </row>
    <row r="2554">
      <c r="A2554" t="inlineStr">
        <is>
          <t>wordpress</t>
        </is>
      </c>
      <c r="B2554" t="inlineStr">
        <is>
          <t>WordPress/src/main/java/org/wordpress/android/ui/uploads/AutoSavePostIfNotDraftUseCase.kt</t>
        </is>
      </c>
      <c r="C2554">
        <f>HYPERLINK("https://github.com/wordpress-mobile/WordPress-Android/blob/master/WordPress/src/main/java/org/wordpress/android/ui/uploads/AutoSavePostIfNotDraftUseCase.kt")</f>
        <v/>
      </c>
      <c r="D2554" t="inlineStr">
        <is>
          <t>The provided code is part of a WordPress Android application that handles uploads for posts using coroutines and EventBus. It includes methods to launch background tasks, handle post changes, fetch remote post statuses, and manage errors related to posts. The `UploadManager` class manages these operations within a coroutine scope and uses EventBus to communicate with other parts of the app.</t>
        </is>
      </c>
      <c r="E2554" t="n">
        <v>0.003</v>
      </c>
      <c r="F2554" t="n">
        <v>0.0294</v>
      </c>
      <c r="G2554" t="n">
        <v>0.07580000000000001</v>
      </c>
      <c r="H2554" t="inlineStr">
        <is>
          <t>Manages post uploads using coroutines and EventBus for event handling in a WordPress Android application. Complexity is high due to multiple operations involving posts and events.</t>
        </is>
      </c>
      <c r="I2554" t="n">
        <v>0.0073</v>
      </c>
      <c r="J2554" t="n">
        <v>0.0588</v>
      </c>
      <c r="K2554" t="n">
        <v>0.102</v>
      </c>
      <c r="L2554" t="inlineStr">
        <is>
          <t>This class manages uploads for WordPress posts using coroutines and EventBus. It listens for post status changes and auto-saves remote posts when necessary. The `onPostChanged` method updates the UI based on post statuses, while `autoSaveRemotePosts` handles background tasks to save posts that have been marked as needing autosave.</t>
        </is>
      </c>
      <c r="M2554" t="n">
        <v>0.0045</v>
      </c>
      <c r="N2554" t="n">
        <v>0.0702</v>
      </c>
      <c r="O2554" t="n">
        <v>0.125</v>
      </c>
    </row>
    <row r="2555">
      <c r="A2555" t="inlineStr">
        <is>
          <t>wordpress</t>
        </is>
      </c>
      <c r="B2555" t="inlineStr">
        <is>
          <t>WordPress/src/main/java/org/wordpress/android/ui/uploads/MediaUploadReadyProcessor.java</t>
        </is>
      </c>
      <c r="C2555">
        <f>HYPERLINK("https://github.com/wordpress-mobile/WordPress-Android/blob/master/WordPress/src/main/java/org/wordpress/android/ui/uploads/MediaUploadReadyProcessor.java")</f>
        <v/>
      </c>
      <c r="D2555" t="inlineStr">
        <is>
          <t>The `MediaUploadReadyProcessor` is a component responsible for processing uploaded media files in a WordPress application. It injects dependencies using Dagger 2 and provides an implementation of the `MediaUploadReadyListener` interface to handle media file uploads. The processor replaces media files with their URLs in posts when they are ready to be used.</t>
        </is>
      </c>
      <c r="E2555" t="n">
        <v>0.0036</v>
      </c>
      <c r="F2555" t="n">
        <v>0.0339</v>
      </c>
      <c r="G2555" t="n">
        <v>0.122</v>
      </c>
      <c r="H2555" t="inlineStr">
        <is>
          <t>Manages media uploads for posts in WordPress Android app. Uses dependency injection to inject dependencies into the processor. Handles replacing media files with URLs in posts. Complexity is O(N), where N is the number of operations performed during processing.</t>
        </is>
      </c>
      <c r="I2555" t="n">
        <v>0</v>
      </c>
      <c r="J2555" t="n">
        <v>0</v>
      </c>
      <c r="K2555" t="n">
        <v>0.045</v>
      </c>
      <c r="L2555" t="inlineStr">
        <is>
          <t>The `MediaUploadReadyProcessor` is a component responsible for handling the replacement of media files within posts after they have been uploaded successfully. It integrates with the Aztec editor fragment and utilizes FluxC models to manage site and post data. The processor injects itself into the application's dependency injection container upon initialization and processes incoming media upload ready events by replacing local media IDs with URLs in the associated post model</t>
        </is>
      </c>
      <c r="M2555" t="n">
        <v>0.0026</v>
      </c>
      <c r="N2555" t="n">
        <v>0.0256</v>
      </c>
      <c r="O2555" t="n">
        <v>0.0355</v>
      </c>
    </row>
    <row r="2556">
      <c r="A2556" t="inlineStr">
        <is>
          <t>wordpress</t>
        </is>
      </c>
      <c r="B2556" t="inlineStr">
        <is>
          <t>WordPress/src/main/java/org/wordpress/android/ui/uploads/PostUploadHandler.java</t>
        </is>
      </c>
      <c r="C2556">
        <f>HYPERLINK("https://github.com/wordpress-mobile/WordPress-Android/blob/master/WordPress/src/main/java/org/wordpress/android/ui/uploads/PostUploadHandler.java")</f>
        <v/>
      </c>
      <c r="D2556" t="inlineStr">
        <is>
          <t>The provided code is part of the WordPress Android application's uploads module. It includes an `AsyncTask` that handles media upload operations to the WordPress server. The task retrieves image or video URIs from the device's media store based on user selection, constructs a list of media models for each URI, and then dispatches these models to the FluxC dispatcher to initiate the upload process. The class also</t>
        </is>
      </c>
      <c r="E2556" t="n">
        <v>0.0027</v>
      </c>
      <c r="F2556" t="n">
        <v>0.0519</v>
      </c>
      <c r="G2556" t="n">
        <v>0.07190000000000001</v>
      </c>
      <c r="H2556" t="inlineStr">
        <is>
          <t>Manages media uploads in WordPress Android app using FluxC for data flow and EventBus for event handling. Complexity is high due to large number of operations involved in managing multiple types of media (images and videos).</t>
        </is>
      </c>
      <c r="I2556" t="n">
        <v>0.0052</v>
      </c>
      <c r="J2556" t="n">
        <v>0.0455</v>
      </c>
      <c r="K2556" t="n">
        <v>0.0926</v>
      </c>
      <c r="L2556" t="inlineStr">
        <is>
          <t>This package contains Android UI components for handling uploads within WordPress applications. It uses AsyncTask to manage media uploads asynchronously, leveraging MediaStore APIs for image and video retrieval. The class processes uploaded files by extracting metadata such as title, description, tags, and categories from the URI. It also handles media upload states using FluxC framework actions and updates the application's analytics tracker accordingly.</t>
        </is>
      </c>
      <c r="M2556" t="n">
        <v>0.0034</v>
      </c>
      <c r="N2556" t="n">
        <v>0.0556</v>
      </c>
      <c r="O2556" t="n">
        <v>0.1111</v>
      </c>
    </row>
    <row r="2557">
      <c r="A2557" t="inlineStr">
        <is>
          <t>wordpress</t>
        </is>
      </c>
      <c r="B2557" t="inlineStr">
        <is>
          <t>WordPress/src/main/java/org/wordpress/android/ui/uploads/UploadUtils.java</t>
        </is>
      </c>
      <c r="C2557">
        <f>HYPERLINK("https://github.com/wordpress-mobile/WordPress-Android/blob/master/WordPress/src/main/java/org/wordpress/android/ui/uploads/UploadUtils.java")</f>
        <v/>
      </c>
      <c r="D2557" t="inlineStr">
        <is>
          <t>The provided code is part of the WordPress Android app's upload feature. It includes classes for handling media uploads, such as `MediaUploader`, which manages the process of uploading images or videos to a WordPress site. The class uses various methods from the FluxC library to interact with the server and manage the state of uploaded files in the local database using SQLite. The code also handles UI interactions like displaying snack</t>
        </is>
      </c>
      <c r="E2557" t="n">
        <v>0.0026</v>
      </c>
      <c r="F2557" t="n">
        <v>0.025</v>
      </c>
      <c r="G2557" t="n">
        <v>0.0699</v>
      </c>
      <c r="H2557" t="inlineStr">
        <is>
          <t>Manages media uploads for WordPress Android app using FluxC framework. Handles site model, post status, and media upload models to manage file uploads and store them in local database. Complexity is O(N) due to potential processing of multiple files or data sets.</t>
        </is>
      </c>
      <c r="I2557" t="n">
        <v>0.0044</v>
      </c>
      <c r="J2557" t="n">
        <v>0.0392</v>
      </c>
      <c r="K2557" t="n">
        <v>0.0877</v>
      </c>
      <c r="L2557" t="inlineStr">
        <is>
          <t>The code is part of the WordPress Android app's upload feature, handling media uploads for posts. It includes methods to start the upload process, handle user interactions, manage snackbar notifications, and update database entries after successful uploads. The code uses FluxC for data management and integrates with Material Design components like Snackbar.</t>
        </is>
      </c>
      <c r="M2557" t="n">
        <v>0.0035</v>
      </c>
      <c r="N2557" t="n">
        <v>0.0328</v>
      </c>
      <c r="O2557" t="n">
        <v>0.0806</v>
      </c>
    </row>
    <row r="2558">
      <c r="A2558" t="inlineStr">
        <is>
          <t>wordpress</t>
        </is>
      </c>
      <c r="B2558" t="inlineStr">
        <is>
          <t>WordPress/src/main/java/org/wordpress/android/ui/uploads/UploadUtilsWrapper.kt</t>
        </is>
      </c>
      <c r="C2558">
        <f>HYPERLINK("https://github.com/wordpress-mobile/WordPress-Android/blob/master/WordPress/src/main/java/org/wordpress/android/ui/uploads/UploadUtilsWrapper.kt")</f>
        <v/>
      </c>
      <c r="D2558" t="inlineStr">
        <is>
          <t>The `UploadUtilsWrapper` class provides an injectable wrapper for the `UploadUtils` interface, making it easier to test and mock in Android applications. It abstracts away some of the complexity associated with using static methods from the `UploadUtils` interface by encapsulating them within a single instance that can be injected into other classes. This approach enhances modularity and maintainability by allowing developers to focus</t>
        </is>
      </c>
      <c r="E2558" t="n">
        <v>0.0035</v>
      </c>
      <c r="F2558" t="n">
        <v>0.0571</v>
      </c>
      <c r="G2558" t="n">
        <v>0.1119</v>
      </c>
      <c r="H2558" t="inlineStr">
        <is>
          <t>Manages uploads in WordPress Android app using Dagger for dependency injection. Wraps UploadUtils with additional features for easier testing. Complexity involves handling multiple models and actions related to posts and media.</t>
        </is>
      </c>
      <c r="I2558" t="n">
        <v>0.006</v>
      </c>
      <c r="J2558" t="n">
        <v>0.0513</v>
      </c>
      <c r="K2558" t="n">
        <v>0.09710000000000001</v>
      </c>
      <c r="L2558" t="inlineStr">
        <is>
          <t>This class provides an injectable wrapper for `UploadUtils`, making it easier to test by allowing access to its internal methods through dependency injection. The primary function is to abstract away the complexities of `UploadUtils`'s static methods, enabling developers to mock them during unit tests without affecting other parts of the application.</t>
        </is>
      </c>
      <c r="M2558" t="n">
        <v>0.0036</v>
      </c>
      <c r="N2558" t="n">
        <v>0.0667</v>
      </c>
      <c r="O2558" t="n">
        <v>0.0813</v>
      </c>
    </row>
    <row r="2559">
      <c r="A2559" t="inlineStr">
        <is>
          <t>wordpress</t>
        </is>
      </c>
      <c r="B2559" t="inlineStr">
        <is>
          <t>WordPress/src/main/java/org/wordpress/android/ui/uploads/VideoOptimizer.java</t>
        </is>
      </c>
      <c r="C2559">
        <f>HYPERLINK("https://github.com/wordpress-mobile/WordPress-Android/blob/master/WordPress/src/main/java/org/wordpress/android/ui/uploads/VideoOptimizer.java")</f>
        <v/>
      </c>
      <c r="D2559" t="inlineStr">
        <is>
          <t>The provided code is part of the WordPress Android app's uploads module. It includes classes for handling video optimization using M4M Media Composer library. The code processes media files to optimize their size while maintaining quality, which helps in reducing upload times and storage requirements on mobile devices. Key functionalities include:
- **Media Optimization**: Uses M4M Media Composer to compress videos.
- **Analytics Tracking**: Logs</t>
        </is>
      </c>
      <c r="E2559" t="n">
        <v>0.0028</v>
      </c>
      <c r="F2559" t="n">
        <v>0.0556</v>
      </c>
      <c r="G2559" t="n">
        <v>0.073</v>
      </c>
      <c r="H2559" t="inlineStr">
        <is>
          <t>This repository contains backend software components for media processing in WordPress Android app. It includes implementations of core algorithms for video optimization and other related functionalities. The complexity is high due to the extensive amount of code involved in handling various aspects of media uploads and optimizations.</t>
        </is>
      </c>
      <c r="I2559" t="n">
        <v>0.0055</v>
      </c>
      <c r="J2559" t="n">
        <v>0.2182</v>
      </c>
      <c r="K2559" t="n">
        <v>0.2101</v>
      </c>
      <c r="L2559" t="inlineStr">
        <is>
          <t>This Android application component handles video uploads by optimizing media files before sending them to WordPress servers. It uses M4M for optimization and integrates with WordPress's FluxC model for data management. The code processes videos based on their size and quality, applying optimizations when necessary to reduce upload time and bandwidth usage.</t>
        </is>
      </c>
      <c r="M2559" t="n">
        <v>0.0042</v>
      </c>
      <c r="N2559" t="n">
        <v>0.06560000000000001</v>
      </c>
      <c r="O2559" t="n">
        <v>0.121</v>
      </c>
    </row>
    <row r="2560">
      <c r="A2560" t="inlineStr">
        <is>
          <t>wordpress</t>
        </is>
      </c>
      <c r="B2560" t="inlineStr">
        <is>
          <t>WordPress/src/main/java/org/wordpress/android/ui/uploads/PostMediaHandler.kt</t>
        </is>
      </c>
      <c r="C2560">
        <f>HYPERLINK("https://github.com/wordpress-mobile/WordPress-Android/blob/master/WordPress/src/main/java/org/wordpress/android/ui/uploads/PostMediaHandler.kt")</f>
        <v/>
      </c>
      <c r="D2560" t="inlineStr">
        <is>
          <t>The `PostMediaHandler` class is part of the WordPress Android application's upload feature. It provides functionality to update media associated with posts without changing their parent IDs. The handler uses dependency injection for the `mediaStore` and `dispatcher`. The method `updateMediaWithoutPostId` takes a site and a post as parameters, retrieves media associated with that post, filters out media items without a post</t>
        </is>
      </c>
      <c r="E2560" t="n">
        <v>0.0036</v>
      </c>
      <c r="F2560" t="n">
        <v>0.058</v>
      </c>
      <c r="G2560" t="n">
        <v>0.07580000000000001</v>
      </c>
      <c r="H2560" t="inlineStr">
        <is>
          <t>Manages updates to media associated with posts in WordPress Android app using FluxC library for data management.</t>
        </is>
      </c>
      <c r="I2560" t="n">
        <v>0</v>
      </c>
      <c r="J2560" t="n">
        <v>0</v>
      </c>
      <c r="K2560" t="n">
        <v>0.0562</v>
      </c>
      <c r="L2560" t="inlineStr">
        <is>
          <t>The `PostMediaHandler` class is responsible for updating media associated with posts that have remote IDs without affecting other posts. It uses dependency injection to access the `MediaStore` and `Dispatcher`. The method `updateMediaWithoutPostId` filters media items linked to the specified post and updates their parent ID to match the post's remote ID, ensuring consistency across different posts.</t>
        </is>
      </c>
      <c r="M2560" t="n">
        <v>0.0033</v>
      </c>
      <c r="N2560" t="n">
        <v>0.0308</v>
      </c>
      <c r="O2560" t="n">
        <v>0.0781</v>
      </c>
    </row>
    <row r="2561">
      <c r="A2561" t="inlineStr">
        <is>
          <t>wordpress</t>
        </is>
      </c>
      <c r="B2561" t="inlineStr">
        <is>
          <t>WordPress/src/main/java/org/wordpress/android/ui/uploads/PostUploadNotifier.java</t>
        </is>
      </c>
      <c r="C2561">
        <f>HYPERLINK("https://github.com/wordpress-mobile/WordPress-Android/blob/master/WordPress/src/main/java/org/wordpress/android/ui/uploads/PostUploadNotifier.java")</f>
        <v/>
      </c>
      <c r="D2561" t="inlineStr">
        <is>
          <t>The provided code is part of the WordPress Android app's uploads module. It handles notifications for media uploads, including creating and managing notification channels, building notifications with appropriate intents, and updating the notification manager based on upload statuses. The code uses EventBus for event handling and integrates with the FluxC model to manage post data.</t>
        </is>
      </c>
      <c r="E2561" t="n">
        <v>0.0033</v>
      </c>
      <c r="F2561" t="n">
        <v>0.0625</v>
      </c>
      <c r="G2561" t="n">
        <v>0.07870000000000001</v>
      </c>
      <c r="H2561" t="inlineStr">
        <is>
          <t>Manages notifications for WordPress uploads in Android applications. Handles media model updates, post status changes, and notification types to display relevant messages to users. Complexity is high due to handling multiple data models and event bus events.</t>
        </is>
      </c>
      <c r="I2561" t="n">
        <v>0.005</v>
      </c>
      <c r="J2561" t="n">
        <v>0.0444</v>
      </c>
      <c r="K2561" t="n">
        <v>0.0459</v>
      </c>
      <c r="L2561" t="inlineStr">
        <is>
          <t>The provided code is part of a WordPress Android application that handles notifications for media uploads. It manages notification creation, updating, and cancellation based on different events such as upload start, progress updates, and completion. The code uses EventBus for event handling and integrates with the FluxC library for data management. Notifications are displayed using NotificationCompat.Builder and TaskStackBuilder to provide context when users click them. The code</t>
        </is>
      </c>
      <c r="M2561" t="n">
        <v>0.0027</v>
      </c>
      <c r="N2561" t="n">
        <v>0.0263</v>
      </c>
      <c r="O2561" t="n">
        <v>0.07190000000000001</v>
      </c>
    </row>
    <row r="2562">
      <c r="A2562" t="inlineStr">
        <is>
          <t>wordpress</t>
        </is>
      </c>
      <c r="B2562" t="inlineStr">
        <is>
          <t>WordPress/src/main/java/org/wordpress/android/ui/uploads/UploadStarter.kt</t>
        </is>
      </c>
      <c r="C2562">
        <f>HYPERLINK("https://github.com/wordpress-mobile/WordPress-Android/blob/master/WordPress/src/main/java/org/wordpress/android/ui/uploads/UploadStarter.kt")</f>
        <v/>
      </c>
      <c r="D2562" t="inlineStr">
        <is>
          <t>The provided code is part of the WordPress Android app's uploads feature. It includes classes for managing upload lifecycle events and processing uploads using coroutines. The `UploadManager` class observes process life cycle changes to handle upload operations appropriately. The `UploadJob` class manages individual upload jobs with cancellation support. The `CoroutineUtils` class provides utility functions for coroutine management. Overall, it handles the background processing</t>
        </is>
      </c>
      <c r="E2562" t="n">
        <v>0.0029</v>
      </c>
      <c r="F2562" t="n">
        <v>0.0278</v>
      </c>
      <c r="G2562" t="n">
        <v>0.0741</v>
      </c>
      <c r="H2562" t="inlineStr">
        <is>
          <t>Manages uploads for WordPress sites using FluxC framework. Handles site-specific data operations such as page and post stores, with concurrency support through coroutines and lifecycle observers. Complexity is high due to multiple data sources and asynchronous operations.</t>
        </is>
      </c>
      <c r="I2562" t="n">
        <v>0.005</v>
      </c>
      <c r="J2562" t="n">
        <v>0.0435</v>
      </c>
      <c r="K2562" t="n">
        <v>0.0917</v>
      </c>
      <c r="L2562" t="inlineStr">
        <is>
          <t>This package contains backend software components for handling uploads within WordPress Android applications. It includes classes that manage upload lifecycle events using LiveData and LifecycleObservers, handle site-specific data updates through FluxC stores like PostStore and PageStore, and utilize coroutines for asynchronous operations such as uploading media files. The code is designed to be efficient, with complexity at O(N), and leverages Kotlin's concurrency features to ensure</t>
        </is>
      </c>
      <c r="M2562" t="n">
        <v>0.0037</v>
      </c>
      <c r="N2562" t="n">
        <v>0.0789</v>
      </c>
      <c r="O2562" t="n">
        <v>0.146</v>
      </c>
    </row>
    <row r="2563">
      <c r="A2563" t="inlineStr">
        <is>
          <t>wordpress</t>
        </is>
      </c>
      <c r="B2563" t="inlineStr">
        <is>
          <t>WordPress/src/main/java/org/wordpress/android/ui/uploads/VideoOptimizerBase.java</t>
        </is>
      </c>
      <c r="C2563">
        <f>HYPERLINK("https://github.com/wordpress-mobile/WordPress-Android/blob/master/WordPress/src/main/java/org/wordpress/android/ui/uploads/VideoOptimizerBase.java")</f>
        <v/>
      </c>
      <c r="D2563" t="inlineStr">
        <is>
          <t>The `VideoOptimizerBase` class is an abstract base class for video optimization in the WordPress Android app. It provides methods to optimize media files, track analytics events, and handle file operations. The class uses various utility classes from the app's libraries such as `FileUtils`, `MediaUtils`, and `AnalyticsUtils`. It also includes fields for caching directories, media models, and listeners for tracking progress</t>
        </is>
      </c>
      <c r="E2563" t="n">
        <v>0.003</v>
      </c>
      <c r="F2563" t="n">
        <v>0.029</v>
      </c>
      <c r="G2563" t="n">
        <v>0.07580000000000001</v>
      </c>
      <c r="H2563" t="inlineStr">
        <is>
          <t>Manages video optimization for media uploads in WordPress Android app. Uses caching and analytics tracking to optimize videos before uploading. Complexity is high due to extensive processing logic.</t>
        </is>
      </c>
      <c r="I2563" t="n">
        <v>0.008</v>
      </c>
      <c r="J2563" t="n">
        <v>0.1111</v>
      </c>
      <c r="K2563" t="n">
        <v>0.15</v>
      </c>
      <c r="L2563" t="inlineStr">
        <is>
          <t>The `VideoOptimizerBase` class is an abstract base implementation for optimizing video files in WordPress Android applications. It provides methods for handling media optimization tasks such as resizing videos based on specified dimensions and formats. The class uses various utility classes from the application's libraries to manage file operations, analytics tracking, and media processing. It includes fields for caching directories, media models, and listeners to notify about optimization progress</t>
        </is>
      </c>
      <c r="M2563" t="n">
        <v>0.0027</v>
      </c>
      <c r="N2563" t="n">
        <v>0.0519</v>
      </c>
      <c r="O2563" t="n">
        <v>0.1071</v>
      </c>
    </row>
    <row r="2564">
      <c r="A2564" t="inlineStr">
        <is>
          <t>wordpress</t>
        </is>
      </c>
      <c r="B2564" t="inlineStr">
        <is>
          <t>WordPress/src/main/java/org/wordpress/android/ui/mediapicker/PhotoThumbnailViewHolder.kt</t>
        </is>
      </c>
      <c r="C2564">
        <f>HYPERLINK("https://github.com/wordpress-mobile/WordPress-Android/blob/master/WordPress/src/main/java/org/wordpress/android/ui/mediapicker/PhotoThumbnailViewHolder.kt")</f>
        <v/>
      </c>
      <c r="D2564" t="inlineStr">
        <is>
          <t>The `PhotoThumbnailViewHolder` class is a view holder for displaying photo thumbnails in a media picker UI. It extends `ThumbnailViewHolder`, which likely handles common functionalities like setting up views and managing selection states. The class initializes an `ImageView` to display the thumbnail and a `TextView` to show the number of selected items. The `bind` method updates these views based on the provided `MediaPicker</t>
        </is>
      </c>
      <c r="E2564" t="n">
        <v>0.0029</v>
      </c>
      <c r="F2564" t="n">
        <v>0.0571</v>
      </c>
      <c r="G2564" t="n">
        <v>0.0746</v>
      </c>
      <c r="H2564" t="inlineStr">
        <is>
          <t>This repository contains backend software components with complexity O(N), implementing core algorithms. The commits include an initial codebase commit. The code size is 1000 lines.</t>
        </is>
      </c>
      <c r="I2564" t="n">
        <v>0.01</v>
      </c>
      <c r="J2564" t="n">
        <v>0.2353</v>
      </c>
      <c r="K2564" t="n">
        <v>0.3254</v>
      </c>
      <c r="L2564" t="inlineStr">
        <is>
          <t>This class `PhotoThumbnailViewHolder` is responsible for displaying photo thumbnails within a media picker UI. It uses an `ImageView` to render the thumbnail and a `TextView` to show selection counts. The view holder binds data from a `MediaPickerUiItem.PhotoItem`, setting up text selection counts based on whether the item is selected. The implementation includes methods for binding data and handling animations related to selections</t>
        </is>
      </c>
      <c r="M2564" t="n">
        <v>0.0035</v>
      </c>
      <c r="N2564" t="n">
        <v>0.08450000000000001</v>
      </c>
      <c r="O2564" t="n">
        <v>0.1493</v>
      </c>
    </row>
    <row r="2565">
      <c r="A2565" t="inlineStr">
        <is>
          <t>wordpress</t>
        </is>
      </c>
      <c r="B2565" t="inlineStr">
        <is>
          <t>WordPress/src/main/java/org/wordpress/android/ui/mediapicker/VideoThumbnailViewHolder.kt</t>
        </is>
      </c>
      <c r="C2565">
        <f>HYPERLINK("https://github.com/wordpress-mobile/WordPress-Android/blob/master/WordPress/src/main/java/org/wordpress/android/ui/mediapicker/VideoThumbnailViewHolder.kt")</f>
        <v/>
      </c>
      <c r="D2565" t="inlineStr">
        <is>
          <t>The provided code defines a `VideoThumbnailViewHolder` class within the `org.wordpress.android.ui.mediapicker` package. This class is responsible for displaying thumbnails of videos in a media picker UI. It uses Kotlin coroutines to handle asynchronous operations related to image loading, leveraging the `ImageManager` from the Android utility library. The view holder includes views for the thumbnail image (`imgThumbnail`),</t>
        </is>
      </c>
      <c r="E2565" t="n">
        <v>0.0033</v>
      </c>
      <c r="F2565" t="n">
        <v>0.0299</v>
      </c>
      <c r="G2565" t="n">
        <v>0.07870000000000001</v>
      </c>
      <c r="H2565" t="inlineStr">
        <is>
          <t>This repository contains backend software components implementing core algorithms with a time complexity of O(N). The comments indicate that this is the initial implementation of the codebase. The total size of the codebase is 1000 lines.</t>
        </is>
      </c>
      <c r="I2565" t="n">
        <v>0.0068</v>
      </c>
      <c r="J2565" t="n">
        <v>0.1778</v>
      </c>
      <c r="K2565" t="n">
        <v>0.1852</v>
      </c>
      <c r="L2565" t="inlineStr">
        <is>
          <t>This class `VideoThumbnailViewHolder` is responsible for displaying video thumbnails within a media picker UI. It uses a layout defined by `R.layout.media_picker_thumbnail_item`, which includes views for an image thumbnail (`imgThumbnail`), a text view for selection count (`txtSelectionCount`), and a video overlay (`videoOverlay`). The constructor initializes these views using their respective IDs from the layout. The `</t>
        </is>
      </c>
      <c r="M2565" t="n">
        <v>0.004</v>
      </c>
      <c r="N2565" t="n">
        <v>0.0597</v>
      </c>
      <c r="O2565" t="n">
        <v>0.1181</v>
      </c>
    </row>
    <row r="2566">
      <c r="A2566" t="inlineStr">
        <is>
          <t>wordpress</t>
        </is>
      </c>
      <c r="B2566" t="inlineStr">
        <is>
          <t>WordPress/src/main/java/org/wordpress/android/ui/mediapicker/MediaType.kt</t>
        </is>
      </c>
      <c r="C2566">
        <f>HYPERLINK("https://github.com/wordpress-mobile/WordPress-Android/blob/master/WordPress/src/main/java/org/wordpress/android/ui/mediapicker/MediaType.kt")</f>
        <v/>
      </c>
      <c r="D2566" t="inlineStr">
        <is>
          <t>The code defines an enumeration `MediaType` with four possible values: IMAGE, VIDEO, AUDIO, and DOCUMENT. The README indicates that this is part of a larger project containing backend software components, but does not provide details on its complexity or implementation specifics. The comments suggest it implements core algorithms, though no specific algorithmic details are given. The total size of the code is 105 lines.</t>
        </is>
      </c>
      <c r="E2566" t="n">
        <v>0.0072</v>
      </c>
      <c r="F2566" t="n">
        <v>0.1111</v>
      </c>
      <c r="G2566" t="n">
        <v>0.3135</v>
      </c>
      <c r="H2566" t="inlineStr">
        <is>
          <t>The provided code defines an enumeration `MediaType` in the package `org.wordpress.android.ui.mediapicker`, which includes four media types: IMAGE, VIDEO, AUDIO, and DOCUMENT. The README file describes this as "backend software components" with complexity O(N), indicating that it involves processing or iterating over N elements. Comments suggest its implementation of core algorithms, while commits mention the initial creation of the</t>
        </is>
      </c>
      <c r="I2566" t="n">
        <v>0.0041</v>
      </c>
      <c r="J2566" t="n">
        <v>0.1127</v>
      </c>
      <c r="K2566" t="n">
        <v>0.1923</v>
      </c>
      <c r="L2566" t="inlineStr">
        <is>
          <t>The `MediaType` enum in the `org.wordpress.android.ui.mediapicker` package defines four types of media files that can be selected for upload: images, videos, audio, and documents. It provides a simple enumeration to categorize different types of media, which is useful for handling various media content within the application's media picker feature.</t>
        </is>
      </c>
      <c r="M2566" t="n">
        <v>0.0037</v>
      </c>
      <c r="N2566" t="n">
        <v>0.0323</v>
      </c>
      <c r="O2566" t="n">
        <v>0.08260000000000001</v>
      </c>
    </row>
    <row r="2567">
      <c r="A2567" t="inlineStr">
        <is>
          <t>wordpress</t>
        </is>
      </c>
      <c r="B2567" t="inlineStr">
        <is>
          <t>WordPress/src/main/java/org/wordpress/android/ui/mediapicker/MediaPickerUiItem.kt</t>
        </is>
      </c>
      <c r="C2567">
        <f>HYPERLINK("https://github.com/wordpress-mobile/WordPress-Android/blob/master/WordPress/src/main/java/org/wordpress/android/ui/mediapicker/MediaPickerUiItem.kt")</f>
        <v/>
      </c>
      <c r="D2567" t="inlineStr">
        <is>
          <t>The provided code defines a sealed class `MediaPickerUiItem` in the package `org.wordpress.android.ui.mediapicker`, which represents different types of media items that can be displayed in a media picker UI. The class includes:
- A sealed class with four subclasses representing different types of media items: PHOTO, VIDEO, NEXT_PAGE_LOADER, and FILE.
- Data classes for each subclass to</t>
        </is>
      </c>
      <c r="E2567" t="n">
        <v>0.0033</v>
      </c>
      <c r="F2567" t="n">
        <v>0.0294</v>
      </c>
      <c r="G2567" t="n">
        <v>0.0391</v>
      </c>
      <c r="H2567" t="inlineStr">
        <is>
          <t>Manages media items for a photo/video picker in WordPress Android app. Contains sealed classes for different types of media items (PhotoItem, VideoItem), each with specific properties like URL, identifier, selection status, order, and actions. Complexity is O(N) due to potential processing or filtering operations on large datasets.</t>
        </is>
      </c>
      <c r="I2567" t="n">
        <v>0.0039</v>
      </c>
      <c r="J2567" t="n">
        <v>0.0351</v>
      </c>
      <c r="K2567" t="n">
        <v>0.042</v>
      </c>
      <c r="L2567" t="inlineStr">
        <is>
          <t>The `MediaPickerUiItem` sealed class is used to represent different types of media items that can be displayed in a media picker UI. It includes photo and video item classes with properties such as URL, identifier, selection status, order, and actions for toggling and clicking. The class supports various types like FILE, NEXT_PAGE_LOADER, PHOTO, and VIDEO, allowing for flexible representation of media</t>
        </is>
      </c>
      <c r="M2567" t="n">
        <v>0.003</v>
      </c>
      <c r="N2567" t="n">
        <v>0.0282</v>
      </c>
      <c r="O2567" t="n">
        <v>0.0752</v>
      </c>
    </row>
    <row r="2568">
      <c r="A2568" t="inlineStr">
        <is>
          <t>wordpress</t>
        </is>
      </c>
      <c r="B2568" t="inlineStr">
        <is>
          <t>WordPress/src/main/java/org/wordpress/android/ui/mediapicker/MediaNavigationEvent.kt</t>
        </is>
      </c>
      <c r="C2568">
        <f>HYPERLINK("https://github.com/wordpress-mobile/WordPress-Android/blob/master/WordPress/src/main/java/org/wordpress/android/ui/mediapicker/MediaNavigationEvent.kt")</f>
        <v/>
      </c>
      <c r="D2568" t="inlineStr">
        <is>
          <t>The provided code defines a sealed class `MediaNavigationEvent` in the package `org.wordpress.android.ui.mediapicker`. This class is used to represent different navigation events that can occur within a media picker feature in an Android application. The events include:
1. **PreviewUrl**: Represents a request to preview a URL.
2. **PreviewMedia**: Represents a request to preview a specific media model</t>
        </is>
      </c>
      <c r="E2568" t="n">
        <v>0.0033</v>
      </c>
      <c r="F2568" t="n">
        <v>0.0294</v>
      </c>
      <c r="G2568" t="n">
        <v>0.0781</v>
      </c>
      <c r="H2568" t="inlineStr">
        <is>
          <t>Manages navigation events for the media picker feature in WordPress Android app.</t>
        </is>
      </c>
      <c r="I2568" t="n">
        <v>0</v>
      </c>
      <c r="J2568" t="n">
        <v>0</v>
      </c>
      <c r="K2568" t="n">
        <v>0</v>
      </c>
      <c r="L2568" t="inlineStr">
        <is>
          <t>This code defines a sealed class `MediaNavigationEvent` that represents different navigation events related to media picker functionalities within the WordPress Android app. It includes events for previewing URLs, media models, editing multiple media items, inserting media using identifiers, handling icon clicks, and exiting the media picker. The class is part of the backend software components and has a complexity of O(1), as it primarily deals</t>
        </is>
      </c>
      <c r="M2568" t="n">
        <v>0.0037</v>
      </c>
      <c r="N2568" t="n">
        <v>0.08110000000000001</v>
      </c>
      <c r="O2568" t="n">
        <v>0.146</v>
      </c>
    </row>
    <row r="2569">
      <c r="A2569" t="inlineStr">
        <is>
          <t>wordpress</t>
        </is>
      </c>
      <c r="B2569" t="inlineStr">
        <is>
          <t>WordPress/src/main/java/org/wordpress/android/ui/mediapicker/MediaThumbnailViewUtils.kt</t>
        </is>
      </c>
      <c r="C2569">
        <f>HYPERLINK("https://github.com/wordpress-mobile/WordPress-Android/blob/master/WordPress/src/main/java/org/wordpress/android/ui/mediapicker/MediaThumbnailViewUtils.kt")</f>
        <v/>
      </c>
      <c r="D2569" t="inlineStr">
        <is>
          <t>The `MediaThumbnailViewUtils` class in the `org.wordpress.android.ui.mediapicker` package is responsible for setting up listeners on media thumbnail views within the WordPress Android application. It handles click actions to open or edit media items and toggle actions to select or deselect them. The class uses various utility methods from other packages such as `AccessibilityUtils`, `AniUtils`, `ColorUtils`,</t>
        </is>
      </c>
      <c r="E2569" t="n">
        <v>0.0034</v>
      </c>
      <c r="F2569" t="n">
        <v>0.0303</v>
      </c>
      <c r="G2569" t="n">
        <v>0.0794</v>
      </c>
      <c r="H2569" t="inlineStr">
        <is>
          <t>This repository contains backend software components implementing core algorithms. Complexity is O(N), with comments indicating implementation details. Initial codebase commit was made. The total size of the codebase is 1000 lines.</t>
        </is>
      </c>
      <c r="I2569" t="n">
        <v>0.007900000000000001</v>
      </c>
      <c r="J2569" t="n">
        <v>0.2</v>
      </c>
      <c r="K2569" t="n">
        <v>0.1942</v>
      </c>
      <c r="L2569" t="inlineStr">
        <is>
          <t>This class provides utility methods for setting up listeners on `ImageView` thumbnails within a media picker UI component. It includes functionalities such as handling click actions (e.g., opening images), toggle actions (e.g., selecting/deselecting items), and managing accessibility features like context clicks being redirected to long press listeners. The class uses various utilities from WordPress Android libraries to enhance image display and interaction capabilities.</t>
        </is>
      </c>
      <c r="M2569" t="n">
        <v>0.0034</v>
      </c>
      <c r="N2569" t="n">
        <v>0.08110000000000001</v>
      </c>
      <c r="O2569" t="n">
        <v>0.1111</v>
      </c>
    </row>
    <row r="2570">
      <c r="A2570" t="inlineStr">
        <is>
          <t>wordpress</t>
        </is>
      </c>
      <c r="B2570" t="inlineStr">
        <is>
          <t>WordPress/src/main/java/org/wordpress/android/ui/mediapicker/MediaPickerFragment.kt</t>
        </is>
      </c>
      <c r="C2570">
        <f>HYPERLINK("https://github.com/wordpress-mobile/WordPress-Android/blob/master/WordPress/src/main/java/org/wordpress/android/ui/mediapicker/MediaPickerFragment.kt")</f>
        <v/>
      </c>
      <c r="D2570" t="inlineStr">
        <is>
          <t>The provided code is part of an Android application that implements a media picker feature within the WordPress Android app. It allows users to select images or videos from their device's storage using intents. The code includes:
- Permissions for accessing external storage.
- Intent actions for getting content (images/videos) and opening documents.
- A fragment (`MediaPickerFragment`) that manages the UI for selecting media items.
-</t>
        </is>
      </c>
      <c r="E2570" t="n">
        <v>0.0033</v>
      </c>
      <c r="F2570" t="n">
        <v>0.0556</v>
      </c>
      <c r="G2570" t="n">
        <v>0.1087</v>
      </c>
      <c r="H2570" t="inlineStr">
        <is>
          <t>Manages media picker functionality in Android applications using RecyclerView for displaying images or videos. Implements search view for filtering items and provides options to open documents or content from external sources. Uses ViewModel for data management and lifecycle-aware operations.</t>
        </is>
      </c>
      <c r="I2570" t="n">
        <v>0.0056</v>
      </c>
      <c r="J2570" t="n">
        <v>0.0833</v>
      </c>
      <c r="K2570" t="n">
        <v>0.1351</v>
      </c>
      <c r="L2570" t="inlineStr">
        <is>
          <t>This fragment is part of a media picker application for Android that allows users to select images from their device's storage. It uses RecyclerView to display a grid of image thumbnails and includes features such as searching and sorting by date. The fragment handles permissions, intent actions, and lifecycle events related to displaying and managing selected images.</t>
        </is>
      </c>
      <c r="M2570" t="n">
        <v>0.0038</v>
      </c>
      <c r="N2570" t="n">
        <v>0.0606</v>
      </c>
      <c r="O2570" t="n">
        <v>0.1163</v>
      </c>
    </row>
    <row r="2571">
      <c r="A2571" t="inlineStr">
        <is>
          <t>wordpress</t>
        </is>
      </c>
      <c r="B2571" t="inlineStr">
        <is>
          <t>WordPress/src/main/java/org/wordpress/android/ui/mediapicker/FileThumbnailViewHolder.kt</t>
        </is>
      </c>
      <c r="C2571">
        <f>HYPERLINK("https://github.com/wordpress-mobile/WordPress-Android/blob/master/WordPress/src/main/java/org/wordpress/android/ui/mediapicker/FileThumbnailViewHolder.kt")</f>
        <v/>
      </c>
      <c r="D2571" t="inlineStr">
        <is>
          <t>The provided code defines a `FileThumbnailViewHolder` class within the `org.wordpress.android.ui.mediapicker` package. This class is responsible for displaying file thumbnails in a grid view using Android's RecyclerView framework. It binds data to views such as the thumbnail image, file type text, file name text, and selection count text based on the input `MediaPickerUiItem.FileItem`. The `</t>
        </is>
      </c>
      <c r="E2571" t="n">
        <v>0.004</v>
      </c>
      <c r="F2571" t="n">
        <v>0.0597</v>
      </c>
      <c r="G2571" t="n">
        <v>0.119</v>
      </c>
      <c r="H2571" t="inlineStr">
        <is>
          <t>This repository contains backend software components implementing core algorithms. Complexity is O(N), with comments indicating implementation details. The code size is 1000 lines.</t>
        </is>
      </c>
      <c r="I2571" t="n">
        <v>0.0109</v>
      </c>
      <c r="J2571" t="n">
        <v>0.25</v>
      </c>
      <c r="K2571" t="n">
        <v>0.2105</v>
      </c>
      <c r="L2571" t="inlineStr">
        <is>
          <t>The `FileThumbnailViewHolder` class is responsible for displaying file thumbnails in a media picker UI. It binds data from a `MediaPickerUiItem.FileItem` object to views within the view holder, including setting image resources, text labels, and selection counts based on whether the item is selected. The class uses `MediaThumbnailViewUtils` to manage thumbnail display and updates.</t>
        </is>
      </c>
      <c r="M2571" t="n">
        <v>0.0035</v>
      </c>
      <c r="N2571" t="n">
        <v>0.0323</v>
      </c>
      <c r="O2571" t="n">
        <v>0.08</v>
      </c>
    </row>
    <row r="2572">
      <c r="A2572" t="inlineStr">
        <is>
          <t>wordpress</t>
        </is>
      </c>
      <c r="B2572" t="inlineStr">
        <is>
          <t>WordPress/src/main/java/org/wordpress/android/ui/mediapicker/MediaPickerAdapterDiffCallback.kt</t>
        </is>
      </c>
      <c r="C2572">
        <f>HYPERLINK("https://github.com/wordpress-mobile/WordPress-Android/blob/master/WordPress/src/main/java/org/wordpress/android/ui/mediapicker/MediaPickerAdapterDiffCallback.kt")</f>
        <v/>
      </c>
      <c r="D2572" t="inlineStr">
        <is>
          <t>The `MediaPickerAdapterDiffCallback` class is a diff utility used in Android to efficiently update a RecyclerView when the data set changes. It compares two lists of media picker UI items (`oldItems` and `updatedItems`) and determines which items have changed or been added/removed. The callback provides methods to calculate the number of differences between the old and new lists, check if specific items are the</t>
        </is>
      </c>
      <c r="E2572" t="n">
        <v>0.0029</v>
      </c>
      <c r="F2572" t="n">
        <v>0.0278</v>
      </c>
      <c r="G2572" t="n">
        <v>0.0741</v>
      </c>
      <c r="H2572" t="inlineStr">
        <is>
          <t>Manages differences between old and new lists of media picker UI items using RecyclerView's DiffUtil for efficient updates in Android applications.</t>
        </is>
      </c>
      <c r="I2572" t="n">
        <v>0.0091</v>
      </c>
      <c r="J2572" t="n">
        <v>0.0667</v>
      </c>
      <c r="K2572" t="n">
        <v>0.1075</v>
      </c>
      <c r="L2572" t="inlineStr">
        <is>
          <t>This class implements `DiffUtil.Callback` for comparing two lists of media picker UI items (`oldItems` and `updatedItems`). It calculates differences based on item type changes (e.g., PhotoItem vs VideoItem), selection state changes, and count changes. The implementation is designed to efficiently update RecyclerViews when data changes occur.</t>
        </is>
      </c>
      <c r="M2572" t="n">
        <v>0.0053</v>
      </c>
      <c r="N2572" t="n">
        <v>0.1071</v>
      </c>
      <c r="O2572" t="n">
        <v>0.1271</v>
      </c>
    </row>
    <row r="2573">
      <c r="A2573" t="inlineStr">
        <is>
          <t>wordpress</t>
        </is>
      </c>
      <c r="B2573" t="inlineStr">
        <is>
          <t>WordPress/src/main/java/org/wordpress/android/ui/mediapicker/LoaderViewHolder.kt</t>
        </is>
      </c>
      <c r="C2573">
        <f>HYPERLINK("https://github.com/wordpress-mobile/WordPress-Android/blob/master/WordPress/src/main/java/org/wordpress/android/ui/mediapicker/LoaderViewHolder.kt")</f>
        <v/>
      </c>
      <c r="D2573" t="inlineStr">
        <is>
          <t>The `LoaderViewHolder` class is responsible for displaying loading indicators in a media picker UI. It uses a Staggered Grid Layout Manager to ensure that items fill available space horizontally. The view holder binds data from a `MediaPickerUiItem.NextPageLoader`, showing either a progress bar or a retry button based on whether the load action is currently being performed. If the load is successful, it hides</t>
        </is>
      </c>
      <c r="E2573" t="n">
        <v>0</v>
      </c>
      <c r="F2573" t="n">
        <v>0</v>
      </c>
      <c r="G2573" t="n">
        <v>0.037</v>
      </c>
      <c r="H2573" t="inlineStr">
        <is>
          <t>This repository contains backend software components implementing core algorithms with a time complexity of \(O(N)\). The README provides details about the implementation and commits made to the initial codebase.</t>
        </is>
      </c>
      <c r="I2573" t="n">
        <v>0.0092</v>
      </c>
      <c r="J2573" t="n">
        <v>0.2632</v>
      </c>
      <c r="K2573" t="n">
        <v>0.2475</v>
      </c>
      <c r="L2573" t="inlineStr">
        <is>
          <t>This class `LoaderViewHolder` is responsible for displaying loading indicators and retry buttons in a media picker UI. It binds data from a `MediaPickerUiItem.NextPageLoader`, setting the view's width to full and updating visibility based on whether the loader is active or not. When inactive, it displays a retry button that triggers the load action when clicked.</t>
        </is>
      </c>
      <c r="M2573" t="n">
        <v>0.004</v>
      </c>
      <c r="N2573" t="n">
        <v>0.0615</v>
      </c>
      <c r="O2573" t="n">
        <v>0.07870000000000001</v>
      </c>
    </row>
    <row r="2574">
      <c r="A2574" t="inlineStr">
        <is>
          <t>wordpress</t>
        </is>
      </c>
      <c r="B2574" t="inlineStr">
        <is>
          <t>WordPress/src/main/java/org/wordpress/android/ui/mediapicker/MediaPickerViewModel.kt</t>
        </is>
      </c>
      <c r="C2574">
        <f>HYPERLINK("https://github.com/wordpress-mobile/WordPress-Android/blob/master/WordPress/src/main/java/org/wordpress/android/ui/mediapicker/MediaPickerViewModel.kt")</f>
        <v/>
      </c>
      <c r="D2574" t="inlineStr">
        <is>
          <t>The provided code is part of a media picker feature in the WordPress Android app. It manages the lifecycle of media items within the application, handling navigation events such as editing or exiting the media picker, and updating UI elements based on changes to the selected media list. The code uses coroutines for asynchronous operations and LiveData for data binding with the UI.</t>
        </is>
      </c>
      <c r="E2574" t="n">
        <v>0.0029</v>
      </c>
      <c r="F2574" t="n">
        <v>0.0282</v>
      </c>
      <c r="G2574" t="n">
        <v>0.0741</v>
      </c>
      <c r="H2574" t="inlineStr">
        <is>
          <t>This repository contains backend software components implementing core algorithms.</t>
        </is>
      </c>
      <c r="I2574" t="n">
        <v>0.0316</v>
      </c>
      <c r="J2574" t="n">
        <v>0.4706</v>
      </c>
      <c r="K2574" t="n">
        <v>0.3897</v>
      </c>
      <c r="L2574" t="inlineStr">
        <is>
          <t>This package contains backend software components for managing media picker functionalities within WordPress Android applications. It includes classes such as MediaPickerViewModel, which handles live data updates related to media items, navigation events like EditMedia and Exit, and icon click events. The implementation is optimized for performance using coroutines and channels, ensuring efficient handling of media-related tasks across different threads.</t>
        </is>
      </c>
      <c r="M2574" t="n">
        <v>0.0041</v>
      </c>
      <c r="N2574" t="n">
        <v>0.1176</v>
      </c>
      <c r="O2574" t="n">
        <v>0.1908</v>
      </c>
    </row>
    <row r="2575">
      <c r="A2575" t="inlineStr">
        <is>
          <t>wordpress</t>
        </is>
      </c>
      <c r="B2575" t="inlineStr">
        <is>
          <t>WordPress/src/main/java/org/wordpress/android/ui/mediapicker/MediaPickerActivity.kt</t>
        </is>
      </c>
      <c r="C2575">
        <f>HYPERLINK("https://github.com/wordpress-mobile/WordPress-Android/blob/master/WordPress/src/main/java/org/wordpress/android/ui/mediapicker/MediaPickerActivity.kt")</f>
        <v/>
      </c>
      <c r="D2575" t="inlineStr">
        <is>
          <t>The provided code is part of a media picker feature in WordPress Android app. It handles activities related to selecting or editing images from various sources such as camera, gallery, or image editor. The code uses fragments for navigation and interacts with the FluxC store to manage media data. It includes handling different request codes for photo selection, taking photos, and opening the image editor. The complexity is O(N)</t>
        </is>
      </c>
      <c r="E2575" t="n">
        <v>0.0026</v>
      </c>
      <c r="F2575" t="n">
        <v>0.0256</v>
      </c>
      <c r="G2575" t="n">
        <v>0.0709</v>
      </c>
      <c r="H2575" t="inlineStr">
        <is>
          <t>The repository contains backend software components implementing core algorithms.</t>
        </is>
      </c>
      <c r="I2575" t="n">
        <v>0.0285</v>
      </c>
      <c r="J2575" t="n">
        <v>0.3529</v>
      </c>
      <c r="K2575" t="n">
        <v>0.3155</v>
      </c>
      <c r="L2575" t="inlineStr">
        <is>
          <t>The provided code is for an Android application that manages media picker functionalities within WordPress Android app. It includes activities like Media Picker Activity, Photo Picker, Take Photo, Image Editor Edit Image, and Media Library. The code handles image selection from various sources such as camera, gallery, and other apps, processes these images using FluxC store for data management, and provides options for editing and viewing selected images.</t>
        </is>
      </c>
      <c r="M2575" t="n">
        <v>0.0027</v>
      </c>
      <c r="N2575" t="n">
        <v>0.0526</v>
      </c>
      <c r="O2575" t="n">
        <v>0.07140000000000001</v>
      </c>
    </row>
    <row r="2576">
      <c r="A2576" t="inlineStr">
        <is>
          <t>wordpress</t>
        </is>
      </c>
      <c r="B2576" t="inlineStr">
        <is>
          <t>WordPress/src/main/java/org/wordpress/android/ui/mediapicker/MediaPickerTracker.kt</t>
        </is>
      </c>
      <c r="C2576">
        <f>HYPERLINK("https://github.com/wordpress-mobile/WordPress-Android/blob/master/WordPress/src/main/java/org/wordpress/android/ui/mediapicker/MediaPickerTracker.kt")</f>
        <v/>
      </c>
      <c r="D2576" t="inlineStr">
        <is>
          <t>The provided code is part of the WordPress Android app's media picker feature. It includes functions for tracking analytics events related to different actions in the media picker UI, such as opening various library types (device, GIF, stock), selecting or unselecting items, previewing images, and selecting recent media. The code uses Kotlin coroutines for asynchronous operations and leverages the `AnalyticsTracker` class to</t>
        </is>
      </c>
      <c r="E2576" t="n">
        <v>0.0029</v>
      </c>
      <c r="F2576" t="n">
        <v>0.0563</v>
      </c>
      <c r="G2576" t="n">
        <v>0.0746</v>
      </c>
      <c r="H2576" t="inlineStr">
        <is>
          <t>Manages media picker functionalities for WordPress Android app by tracking analytics events related to different media library options (device, GIF, stock, WP Media) and previewing selected items. Complexity is O(N) due to potential processing of multiple media items.</t>
        </is>
      </c>
      <c r="I2576" t="n">
        <v>0.0049</v>
      </c>
      <c r="J2576" t="n">
        <v>0.0851</v>
      </c>
      <c r="K2576" t="n">
        <v>0.09089999999999999</v>
      </c>
      <c r="L2576" t="inlineStr">
        <is>
          <t>This package contains backend software components for managing media picker functionalities within WordPress Android applications. It includes functions for opening different types of media libraries (device library, GIF library, stock library, WP Media), handling item selection/unselection events, tracking analytics statistics related to these actions, and previewing selected media items. The code is designed to be efficient with a time complexity of O(N).</t>
        </is>
      </c>
      <c r="M2576" t="n">
        <v>0.0039</v>
      </c>
      <c r="N2576" t="n">
        <v>0.1111</v>
      </c>
      <c r="O2576" t="n">
        <v>0.1493</v>
      </c>
    </row>
    <row r="2577">
      <c r="A2577" t="inlineStr">
        <is>
          <t>wordpress</t>
        </is>
      </c>
      <c r="B2577" t="inlineStr">
        <is>
          <t>WordPress/src/main/java/org/wordpress/android/ui/mediapicker/MediaItem.kt</t>
        </is>
      </c>
      <c r="C2577">
        <f>HYPERLINK("https://github.com/wordpress-mobile/WordPress-Android/blob/master/WordPress/src/main/java/org/wordpress/android/ui/mediapicker/MediaItem.kt")</f>
        <v/>
      </c>
      <c r="D2577" t="inlineStr">
        <is>
          <t>The `MediaItem` class in the `org.wordpress.android.ui.mediapicker` package represents a media item with various attributes such as its unique identifier, URL, name, type, MIME type, and last modified date. It includes different types of identifiers (LOCAL_URI, REMOTE_ID, LOCAL_ID, STOCK_MEDIA_IDENTIFIER) to handle different sources of media items. The class is defined using</t>
        </is>
      </c>
      <c r="E2577" t="n">
        <v>0.0037</v>
      </c>
      <c r="F2577" t="n">
        <v>0.0299</v>
      </c>
      <c r="G2577" t="n">
        <v>0.082</v>
      </c>
      <c r="H2577" t="inlineStr">
        <is>
          <t>This repository contains backend software components implementing core algorithms. Complexity is O(N), with comments indicating implementation details. The code size is 1000 lines.</t>
        </is>
      </c>
      <c r="I2577" t="n">
        <v>0.0109</v>
      </c>
      <c r="J2577" t="n">
        <v>0.25</v>
      </c>
      <c r="K2577" t="n">
        <v>0.2105</v>
      </c>
      <c r="L2577" t="inlineStr">
        <is>
          <t>The `MediaItem` class encapsulates metadata for media files, including their unique identifiers (such as local URI, remote ID, local ID, or stock media identifier), URL, name, type, MIME type, and last modified date. It is used within the Android application's media picker component to manage various types of media items efficiently. The class uses a data class pattern for easy instantiation and serialization</t>
        </is>
      </c>
      <c r="M2577" t="n">
        <v>0.0029</v>
      </c>
      <c r="N2577" t="n">
        <v>0.0278</v>
      </c>
      <c r="O2577" t="n">
        <v>0.0741</v>
      </c>
    </row>
    <row r="2578">
      <c r="A2578" t="inlineStr">
        <is>
          <t>wordpress</t>
        </is>
      </c>
      <c r="B2578" t="inlineStr">
        <is>
          <t>WordPress/src/main/java/org/wordpress/android/ui/mediapicker/ThumbnailViewHolder.kt</t>
        </is>
      </c>
      <c r="C2578">
        <f>HYPERLINK("https://github.com/wordpress-mobile/WordPress-Android/blob/master/WordPress/src/main/java/org/wordpress/android/ui/mediapicker/ThumbnailViewHolder.kt")</f>
        <v/>
      </c>
      <c r="D2578" t="inlineStr">
        <is>
          <t>The provided code defines a `ThumbnailViewHolder` class that extends `RecyclerView.ViewHolder`. This class is used to create view holders for displaying thumbnails in a RecyclerView within the WordPress Android application's media picker feature. The constructor takes a `ViewGroup` and an integer representing the layout resource ID, inflating the specified layout into a new view holder instance using `LayoutInflater`. This setup allows for efficient management of views</t>
        </is>
      </c>
      <c r="E2578" t="n">
        <v>0.0033</v>
      </c>
      <c r="F2578" t="n">
        <v>0.0533</v>
      </c>
      <c r="G2578" t="n">
        <v>0.1095</v>
      </c>
      <c r="H2578" t="inlineStr">
        <is>
          <t>The code defines a `ThumbnailViewHolder` class that extends `RecyclerView.ViewHolder`. It takes a `ViewGroup` and a layout resource ID as parameters to inflate a view for use in a RecyclerView. The complexity is O(N), where N is the number of views created by inflating the layout.</t>
        </is>
      </c>
      <c r="I2578" t="n">
        <v>0.0041</v>
      </c>
      <c r="J2578" t="n">
        <v>0.0364</v>
      </c>
      <c r="K2578" t="n">
        <v>0.08550000000000001</v>
      </c>
      <c r="L2578" t="inlineStr">
        <is>
          <t>This RecyclerView adapter holds a view holder for displaying thumbnails of devices. It uses Android's `LayoutInflater` to inflate a specified layout into a new `ViewHolder`. The constructor takes a `ViewGroup` as the parent container and an integer representing the layout resource ID.</t>
        </is>
      </c>
      <c r="M2578" t="n">
        <v>0.0052</v>
      </c>
      <c r="N2578" t="n">
        <v>0.0784</v>
      </c>
      <c r="O2578" t="n">
        <v>0.1316</v>
      </c>
    </row>
    <row r="2579">
      <c r="A2579" t="inlineStr">
        <is>
          <t>wordpress</t>
        </is>
      </c>
      <c r="B2579" t="inlineStr">
        <is>
          <t>WordPress/src/main/java/org/wordpress/android/ui/mediapicker/MediaPickerAdapter.kt</t>
        </is>
      </c>
      <c r="C2579">
        <f>HYPERLINK("https://github.com/wordpress-mobile/WordPress-Android/blob/master/WordPress/src/main/java/org/wordpress/android/ui/mediapicker/MediaPickerAdapter.kt")</f>
        <v/>
      </c>
      <c r="D2579" t="inlineStr">
        <is>
          <t>The `MediaPickerAdapter` class is a RecyclerView adapter for displaying media items in a media picker UI. It handles different types of media items such as photos, videos, and file items. The adapter uses a DiffUtil callback to efficiently update the list when changes occur, including selection changes and count changes. It also utilizes a coroutine scope for asynchronous operations related to media loading and processing. The complexity of</t>
        </is>
      </c>
      <c r="E2579" t="n">
        <v>0.0027</v>
      </c>
      <c r="F2579" t="n">
        <v>0.0263</v>
      </c>
      <c r="G2579" t="n">
        <v>0.07140000000000001</v>
      </c>
      <c r="H2579" t="inlineStr">
        <is>
          <t>The `MediaPickerAdapter` class is a RecyclerView adapter for displaying media items in a list format. It handles different types of media items such as photos, videos, and file items, using DiffUtils for efficient updates to the UI when data changes occur. The adapter uses a custom `ImageManager` for handling image loading and processing, and it runs coroutines within a specified scope. The complexity of</t>
        </is>
      </c>
      <c r="I2579" t="n">
        <v>0.0028</v>
      </c>
      <c r="J2579" t="n">
        <v>0.0278</v>
      </c>
      <c r="K2579" t="n">
        <v>0.0735</v>
      </c>
      <c r="L2579" t="inlineStr">
        <is>
          <t>The `MediaPickerAdapter` class is an Android RecyclerView adapter that manages the display of media items such as photos, videos, and next page loaders within a media picker UI component. It uses a custom diff callback (`MediaPickerAdapterDiffCallback`) to efficiently update the view when data changes, handling both item count and selection state changes. The adapter also utilizes coroutines for asynchronous tasks related to image management</t>
        </is>
      </c>
      <c r="M2579" t="n">
        <v>0.0028</v>
      </c>
      <c r="N2579" t="n">
        <v>0.0278</v>
      </c>
      <c r="O2579" t="n">
        <v>0.0735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2026-04-23T18:31:06Z</dcterms:created>
  <dcterms:modified xsi:type="dcterms:W3CDTF">2026-04-23T18:31:06Z</dcterms:modified>
</cp:coreProperties>
</file>